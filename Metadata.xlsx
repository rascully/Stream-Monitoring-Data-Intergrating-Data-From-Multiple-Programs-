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1929"/>
  <workbookPr defaultThemeVersion="166925"/>
  <mc:AlternateContent xmlns:mc="http://schemas.openxmlformats.org/markup-compatibility/2006">
    <mc:Choice Requires="x15">
      <x15ac:absPath xmlns:x15ac="http://schemas.microsoft.com/office/spreadsheetml/2010/11/ac" url="C:\Users\rscully\Documents\Projects\Habitat Data Sharing\2019_2020\Code\Intergrating-Stream-Monitoring-Data-From-Multiple-Programs\"/>
    </mc:Choice>
  </mc:AlternateContent>
  <xr:revisionPtr revIDLastSave="0" documentId="13_ncr:1_{48090450-4AE6-4D48-BCAE-7331F1696AD7}" xr6:coauthVersionLast="44" xr6:coauthVersionMax="44" xr10:uidLastSave="{00000000-0000-0000-0000-000000000000}"/>
  <bookViews>
    <workbookView xWindow="-108" yWindow="-108" windowWidth="23256" windowHeight="12720" firstSheet="5" activeTab="6" xr2:uid="{00000000-000D-0000-FFFF-FFFF00000000}"/>
  </bookViews>
  <sheets>
    <sheet name="Program Design" sheetId="1" r:id="rId1"/>
    <sheet name="FAIR Assessment" sheetId="16" r:id="rId2"/>
    <sheet name="Master_crosswalk " sheetId="11" r:id="rId3"/>
    <sheet name="Master_crosswalk_Metadata" sheetId="17" r:id="rId4"/>
    <sheet name="Terminology" sheetId="13" r:id="rId5"/>
    <sheet name="AREMP" sheetId="5" r:id="rId6"/>
    <sheet name="BLM " sheetId="6" r:id="rId7"/>
    <sheet name="PIBO " sheetId="8" r:id="rId8"/>
    <sheet name="PIBO_Invert" sheetId="9" r:id="rId9"/>
    <sheet name="Sheet1" sheetId="18" r:id="rId10"/>
    <sheet name="EPA 20014-10 04-05 physical hab" sheetId="7" r:id="rId11"/>
    <sheet name="EPA 2015-09 08-09 physical ha" sheetId="14" r:id="rId12"/>
    <sheet name="EPA 2008 Macroinvertbrate" sheetId="15" r:id="rId13"/>
    <sheet name="BLM Benchmarks" sheetId="10" r:id="rId14"/>
    <sheet name="Covairates" sheetId="12" r:id="rId15"/>
  </sheets>
  <definedNames>
    <definedName name="_xlnm._FilterDatabase" localSheetId="5" hidden="1">AREMP!$A$1:$Z$162</definedName>
    <definedName name="_xlnm._FilterDatabase" localSheetId="6" hidden="1">'BLM '!$A$1:$Z$96</definedName>
    <definedName name="_xlnm._FilterDatabase" localSheetId="14" hidden="1">Covairates!$A$2:$AN$28</definedName>
    <definedName name="_xlnm._FilterDatabase" localSheetId="10" hidden="1">'EPA 20014-10 04-05 physical hab'!$A$1:$Y$199</definedName>
    <definedName name="_xlnm._FilterDatabase" localSheetId="2" hidden="1">'Master_crosswalk '!$A$1:$BK$345</definedName>
    <definedName name="_xlnm._FilterDatabase" localSheetId="3" hidden="1">Master_crosswalk_Metadata!$A$1:$C$55</definedName>
    <definedName name="_xlnm._FilterDatabase" localSheetId="7" hidden="1">'PIBO '!$A$2:$F$52</definedName>
    <definedName name="Z_F8A80BD0_400C_4134_83E8_E47FF7FF017B_.wvu.FilterData" localSheetId="10" hidden="1">'EPA 20014-10 04-05 physical hab'!$A$1:$Y$199</definedName>
  </definedNames>
  <calcPr calcId="191029"/>
  <customWorkbookViews>
    <customWorkbookView name="Filter 1" guid="{F8A80BD0-400C-4134-83E8-E47FF7FF017B}" maximized="1" windowWidth="0" windowHeight="0" activeSheetId="0"/>
  </customWorkbookViews>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B232" i="11" l="1"/>
  <c r="B233" i="11" s="1"/>
  <c r="B234" i="11" s="1"/>
  <c r="B235" i="11" s="1"/>
  <c r="B236" i="11" s="1"/>
  <c r="B237" i="11" s="1"/>
  <c r="B238" i="11" s="1"/>
  <c r="B239" i="11" s="1"/>
  <c r="B240" i="11" s="1"/>
  <c r="B241" i="11" s="1"/>
  <c r="B242" i="11" s="1"/>
  <c r="B243" i="11" s="1"/>
  <c r="B244" i="11" s="1"/>
  <c r="B245" i="11" s="1"/>
  <c r="B246" i="11" s="1"/>
  <c r="B247" i="11" s="1"/>
  <c r="B248" i="11" s="1"/>
  <c r="B249" i="11" s="1"/>
  <c r="B250" i="11" s="1"/>
  <c r="B251" i="11" s="1"/>
  <c r="B252" i="11" s="1"/>
  <c r="B253" i="11" s="1"/>
  <c r="B254" i="11" s="1"/>
  <c r="B255" i="11" s="1"/>
  <c r="B256" i="11" s="1"/>
  <c r="B257" i="11" s="1"/>
  <c r="B258" i="11" s="1"/>
  <c r="B259" i="11" s="1"/>
  <c r="B260" i="11" s="1"/>
  <c r="B261" i="11" s="1"/>
  <c r="B262" i="11" s="1"/>
  <c r="B263" i="11" s="1"/>
  <c r="B264" i="11" s="1"/>
  <c r="B265" i="11" s="1"/>
  <c r="B266" i="11" s="1"/>
  <c r="B267" i="11" s="1"/>
  <c r="B268" i="11" s="1"/>
  <c r="B269" i="11" s="1"/>
  <c r="B270" i="11" s="1"/>
  <c r="B271" i="11" s="1"/>
  <c r="B272" i="11" s="1"/>
  <c r="B273" i="11" s="1"/>
  <c r="B274" i="11" s="1"/>
  <c r="B275" i="11" s="1"/>
  <c r="B276" i="11" s="1"/>
  <c r="B277" i="11" s="1"/>
  <c r="B278" i="11" s="1"/>
  <c r="B279" i="11" s="1"/>
  <c r="B280" i="11" s="1"/>
  <c r="B281" i="11" s="1"/>
  <c r="B282" i="11" s="1"/>
  <c r="B283" i="11" s="1"/>
  <c r="B284" i="11" s="1"/>
  <c r="B285" i="11" s="1"/>
  <c r="B286" i="11" s="1"/>
  <c r="B287" i="11" s="1"/>
  <c r="B288" i="11" s="1"/>
  <c r="B289" i="11" s="1"/>
  <c r="B290" i="11" s="1"/>
  <c r="B291" i="11" s="1"/>
  <c r="B292" i="11" s="1"/>
  <c r="B293" i="11" s="1"/>
  <c r="B294" i="11" s="1"/>
  <c r="B295" i="11" s="1"/>
  <c r="B296" i="11" s="1"/>
  <c r="B297" i="11" s="1"/>
  <c r="B298" i="11" s="1"/>
  <c r="B299" i="11" s="1"/>
  <c r="B300" i="11" s="1"/>
  <c r="B301" i="11" s="1"/>
  <c r="B302" i="11" s="1"/>
  <c r="B303" i="11" s="1"/>
  <c r="B304" i="11" s="1"/>
  <c r="B305" i="11" s="1"/>
  <c r="B306" i="11" s="1"/>
  <c r="B307" i="11" s="1"/>
  <c r="B308" i="11" s="1"/>
  <c r="B309" i="11" s="1"/>
  <c r="B310" i="11" s="1"/>
  <c r="B311" i="11" s="1"/>
  <c r="B312" i="11" s="1"/>
  <c r="B313" i="11" s="1"/>
  <c r="B314" i="11" s="1"/>
  <c r="B315" i="11" s="1"/>
  <c r="B316" i="11" s="1"/>
  <c r="B317" i="11" s="1"/>
  <c r="B318" i="11" s="1"/>
  <c r="B319" i="11" s="1"/>
  <c r="B320" i="11" s="1"/>
  <c r="B321" i="11" s="1"/>
  <c r="B322" i="11" s="1"/>
  <c r="B323" i="11" s="1"/>
  <c r="BJ232" i="11"/>
  <c r="BJ233" i="11"/>
  <c r="BJ234" i="11"/>
  <c r="BJ235" i="11"/>
  <c r="BJ236" i="11"/>
  <c r="BJ237" i="11"/>
  <c r="BJ238" i="11"/>
  <c r="BJ239" i="11"/>
  <c r="BJ240" i="11"/>
  <c r="BJ241" i="11"/>
  <c r="BJ242" i="11"/>
  <c r="BJ243" i="11"/>
  <c r="BJ244" i="11"/>
  <c r="BJ245" i="11"/>
  <c r="BJ246" i="11"/>
  <c r="BJ247" i="11"/>
  <c r="BJ248" i="11"/>
  <c r="BJ249" i="11"/>
  <c r="BJ250" i="11"/>
  <c r="BJ251" i="11"/>
  <c r="BJ252" i="11"/>
  <c r="BJ253" i="11"/>
  <c r="BJ254" i="11"/>
  <c r="BJ255" i="11"/>
  <c r="BJ256" i="11"/>
  <c r="BJ257" i="11"/>
  <c r="BJ258" i="11"/>
  <c r="BJ259" i="11"/>
  <c r="BJ260" i="11"/>
  <c r="BJ261" i="11"/>
  <c r="BJ262" i="11"/>
  <c r="BJ263" i="11"/>
  <c r="BJ264" i="11"/>
  <c r="BJ265" i="11"/>
  <c r="BJ266" i="11"/>
  <c r="BJ267" i="11"/>
  <c r="BJ268" i="11"/>
  <c r="BJ269" i="11"/>
  <c r="BJ270" i="11"/>
  <c r="BJ271" i="11"/>
  <c r="BJ272" i="11"/>
  <c r="BJ273" i="11"/>
  <c r="BJ274" i="11"/>
  <c r="BJ275" i="11"/>
  <c r="BJ276" i="11"/>
  <c r="BJ277" i="11"/>
  <c r="BJ278" i="11"/>
  <c r="BJ279" i="11"/>
  <c r="BJ280" i="11"/>
  <c r="BJ281" i="11"/>
  <c r="BJ282" i="11"/>
  <c r="BJ283" i="11"/>
  <c r="BJ284" i="11"/>
  <c r="BJ285" i="11"/>
  <c r="BJ286" i="11"/>
  <c r="BJ287" i="11"/>
  <c r="BJ288" i="11"/>
  <c r="BJ289" i="11"/>
  <c r="BJ290" i="11"/>
  <c r="BJ291" i="11"/>
  <c r="BJ292" i="11"/>
  <c r="BJ293" i="11"/>
  <c r="BJ294" i="11"/>
  <c r="BJ295" i="11"/>
  <c r="BJ296" i="11"/>
  <c r="BJ297" i="11"/>
  <c r="BJ298" i="11"/>
  <c r="BJ299" i="11"/>
  <c r="BJ300" i="11"/>
  <c r="BJ301" i="11"/>
  <c r="BJ302" i="11"/>
  <c r="BJ303" i="11"/>
  <c r="BJ304" i="11"/>
  <c r="BJ305" i="11"/>
  <c r="BJ306" i="11"/>
  <c r="BJ307" i="11"/>
  <c r="BJ308" i="11"/>
  <c r="BJ309" i="11"/>
  <c r="BJ310" i="11"/>
  <c r="BJ311" i="11"/>
  <c r="BJ312" i="11"/>
  <c r="BJ313" i="11"/>
  <c r="BJ314" i="11"/>
  <c r="BJ315" i="11"/>
  <c r="BJ316" i="11"/>
  <c r="BJ317" i="11"/>
  <c r="BJ318" i="11"/>
  <c r="BJ319" i="11"/>
  <c r="BJ320" i="11"/>
  <c r="BJ321" i="11"/>
  <c r="BJ322" i="11"/>
  <c r="BJ323" i="11"/>
  <c r="H3" i="15"/>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2" i="15"/>
  <c r="F4" i="7"/>
  <c r="F3" i="7"/>
  <c r="H125" i="11" l="1"/>
  <c r="H237" i="11"/>
  <c r="H234" i="11"/>
  <c r="H184" i="11"/>
  <c r="H183" i="11"/>
  <c r="H143" i="11"/>
  <c r="H142" i="11"/>
  <c r="H141" i="11"/>
  <c r="H140" i="11"/>
  <c r="H139" i="11"/>
  <c r="H101" i="11"/>
  <c r="H100" i="11"/>
  <c r="H99" i="11"/>
  <c r="H98" i="11"/>
  <c r="H93" i="11"/>
  <c r="H90" i="11"/>
  <c r="H71" i="11"/>
  <c r="H70" i="11"/>
  <c r="H69" i="11"/>
  <c r="H68" i="11"/>
  <c r="H67" i="11"/>
  <c r="H66" i="11"/>
  <c r="H65" i="11"/>
  <c r="H52" i="11"/>
  <c r="H50" i="11"/>
  <c r="H49" i="11"/>
  <c r="H48" i="11"/>
  <c r="H33" i="11"/>
  <c r="H31" i="11"/>
  <c r="H30" i="11"/>
  <c r="H29" i="11"/>
  <c r="H27" i="11"/>
  <c r="H10" i="11"/>
  <c r="H8" i="11"/>
  <c r="H7" i="11"/>
  <c r="H5" i="11"/>
  <c r="H3" i="11"/>
  <c r="H2" i="11"/>
  <c r="I2" i="6" l="1"/>
  <c r="I3" i="6"/>
  <c r="I3" i="5" l="1"/>
  <c r="I4" i="5"/>
  <c r="I5" i="5"/>
  <c r="I6" i="5"/>
  <c r="I7" i="5"/>
  <c r="I8" i="5"/>
  <c r="I9" i="5"/>
  <c r="BJ230" i="11" l="1"/>
  <c r="BJ197" i="11"/>
  <c r="BJ198" i="11"/>
  <c r="BJ199" i="11"/>
  <c r="BJ200" i="11"/>
  <c r="BJ201" i="11"/>
  <c r="BJ202" i="11"/>
  <c r="BJ203" i="11"/>
  <c r="BJ204" i="11"/>
  <c r="BJ205" i="11"/>
  <c r="BJ206" i="11"/>
  <c r="BJ207" i="11"/>
  <c r="BJ208" i="11"/>
  <c r="F3" i="9"/>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2" i="9"/>
  <c r="F4" i="8"/>
  <c r="F5" i="8"/>
  <c r="F6" i="8"/>
  <c r="F7" i="8"/>
  <c r="F8" i="8"/>
  <c r="F9" i="8"/>
  <c r="F10" i="8"/>
  <c r="F11" i="8"/>
  <c r="F12" i="8"/>
  <c r="F13" i="8"/>
  <c r="F14" i="8"/>
  <c r="F15" i="8"/>
  <c r="F16" i="8"/>
  <c r="F17" i="8"/>
  <c r="F18" i="8"/>
  <c r="F19" i="8"/>
  <c r="F20" i="8"/>
  <c r="F21" i="8"/>
  <c r="F22" i="8"/>
  <c r="F23" i="8"/>
  <c r="F24" i="8"/>
  <c r="F25" i="8"/>
  <c r="F26" i="8"/>
  <c r="F27" i="8"/>
  <c r="F28" i="8"/>
  <c r="F29" i="8"/>
  <c r="F30" i="8"/>
  <c r="F31" i="8"/>
  <c r="F32" i="8"/>
  <c r="F33" i="8"/>
  <c r="F34" i="8"/>
  <c r="F35" i="8"/>
  <c r="F36" i="8"/>
  <c r="F37" i="8"/>
  <c r="F38" i="8"/>
  <c r="F39" i="8"/>
  <c r="F40" i="8"/>
  <c r="F41" i="8"/>
  <c r="F42" i="8"/>
  <c r="F43" i="8"/>
  <c r="F44" i="8"/>
  <c r="F45" i="8"/>
  <c r="F46" i="8"/>
  <c r="F47" i="8"/>
  <c r="F48" i="8"/>
  <c r="F49" i="8"/>
  <c r="F50" i="8"/>
  <c r="F51" i="8"/>
  <c r="F52" i="8"/>
  <c r="F3" i="8"/>
  <c r="F5" i="7"/>
  <c r="F6" i="7"/>
  <c r="F7" i="7"/>
  <c r="F8" i="7"/>
  <c r="F9" i="7"/>
  <c r="F10" i="7"/>
  <c r="F11" i="7"/>
  <c r="F12" i="7"/>
  <c r="F13" i="7"/>
  <c r="F14" i="7"/>
  <c r="F15" i="7"/>
  <c r="F16" i="7"/>
  <c r="F17" i="7"/>
  <c r="F18" i="7"/>
  <c r="F19" i="7"/>
  <c r="F20" i="7"/>
  <c r="F21" i="7"/>
  <c r="F22" i="7"/>
  <c r="F23" i="7"/>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10" i="7"/>
  <c r="F111" i="7"/>
  <c r="F112" i="7"/>
  <c r="F113" i="7"/>
  <c r="F114" i="7"/>
  <c r="F115" i="7"/>
  <c r="F116" i="7"/>
  <c r="F117" i="7"/>
  <c r="F118" i="7"/>
  <c r="F119" i="7"/>
  <c r="F120" i="7"/>
  <c r="F121" i="7"/>
  <c r="F122" i="7"/>
  <c r="F123" i="7"/>
  <c r="F124" i="7"/>
  <c r="F125" i="7"/>
  <c r="F126" i="7"/>
  <c r="F127" i="7"/>
  <c r="F128" i="7"/>
  <c r="F129" i="7"/>
  <c r="F130" i="7"/>
  <c r="F131" i="7"/>
  <c r="F132" i="7"/>
  <c r="F133" i="7"/>
  <c r="F134" i="7"/>
  <c r="F135" i="7"/>
  <c r="F136" i="7"/>
  <c r="F137" i="7"/>
  <c r="F138" i="7"/>
  <c r="F139" i="7"/>
  <c r="F140" i="7"/>
  <c r="F141" i="7"/>
  <c r="F142" i="7"/>
  <c r="F143" i="7"/>
  <c r="F144" i="7"/>
  <c r="F145" i="7"/>
  <c r="F146" i="7"/>
  <c r="F147" i="7"/>
  <c r="F148" i="7"/>
  <c r="F149" i="7"/>
  <c r="F150" i="7"/>
  <c r="F151" i="7"/>
  <c r="F152" i="7"/>
  <c r="F153" i="7"/>
  <c r="F154" i="7"/>
  <c r="F155" i="7"/>
  <c r="F156" i="7"/>
  <c r="F157" i="7"/>
  <c r="F158" i="7"/>
  <c r="F159" i="7"/>
  <c r="F160" i="7"/>
  <c r="F161" i="7"/>
  <c r="F162" i="7"/>
  <c r="F163" i="7"/>
  <c r="F164" i="7"/>
  <c r="F165" i="7"/>
  <c r="F166" i="7"/>
  <c r="F167" i="7"/>
  <c r="F168" i="7"/>
  <c r="F169" i="7"/>
  <c r="F170" i="7"/>
  <c r="F171" i="7"/>
  <c r="F172" i="7"/>
  <c r="F173" i="7"/>
  <c r="F174" i="7"/>
  <c r="F175" i="7"/>
  <c r="F176" i="7"/>
  <c r="F177" i="7"/>
  <c r="F178" i="7"/>
  <c r="F179" i="7"/>
  <c r="F180" i="7"/>
  <c r="F181" i="7"/>
  <c r="F182" i="7"/>
  <c r="F183" i="7"/>
  <c r="F184" i="7"/>
  <c r="F185" i="7"/>
  <c r="F186" i="7"/>
  <c r="F187" i="7"/>
  <c r="F188" i="7"/>
  <c r="F189" i="7"/>
  <c r="F190" i="7"/>
  <c r="F191" i="7"/>
  <c r="F192" i="7"/>
  <c r="F193" i="7"/>
  <c r="F194" i="7"/>
  <c r="F195" i="7"/>
  <c r="F196" i="7"/>
  <c r="F197" i="7"/>
  <c r="F198" i="7"/>
  <c r="F199" i="7"/>
  <c r="F2" i="7"/>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0" i="5"/>
  <c r="I11" i="5"/>
  <c r="I12" i="5"/>
  <c r="I13" i="5"/>
  <c r="I14" i="5"/>
  <c r="I15" i="5"/>
  <c r="I16" i="5"/>
  <c r="I17" i="5"/>
  <c r="I18" i="5"/>
  <c r="I19" i="5"/>
  <c r="I20" i="5"/>
  <c r="I21" i="5"/>
  <c r="I22" i="5"/>
  <c r="I23" i="5"/>
  <c r="I24" i="5"/>
  <c r="I25" i="5"/>
  <c r="I26" i="5"/>
  <c r="I2" i="5"/>
  <c r="I8" i="6"/>
  <c r="I16" i="6"/>
  <c r="I17" i="6"/>
  <c r="I18" i="6"/>
  <c r="I19" i="6"/>
  <c r="I20" i="6"/>
  <c r="I21" i="6"/>
  <c r="I22" i="6"/>
  <c r="I23" i="6"/>
  <c r="I24" i="6"/>
  <c r="I25" i="6"/>
  <c r="I26" i="6"/>
  <c r="I27" i="6"/>
  <c r="I28" i="6"/>
  <c r="I29" i="6"/>
  <c r="I30" i="6"/>
  <c r="I31" i="6"/>
  <c r="I32" i="6"/>
  <c r="I33" i="6"/>
  <c r="I34" i="6"/>
  <c r="I35" i="6"/>
  <c r="I36" i="6"/>
  <c r="I37" i="6"/>
  <c r="I38" i="6"/>
  <c r="I39" i="6"/>
  <c r="I40" i="6"/>
  <c r="I41" i="6"/>
  <c r="I42" i="6"/>
  <c r="I43" i="6"/>
  <c r="I44" i="6"/>
  <c r="I45" i="6"/>
  <c r="I46" i="6"/>
  <c r="I47" i="6"/>
  <c r="I48" i="6"/>
  <c r="I49" i="6"/>
  <c r="I50" i="6"/>
  <c r="I51" i="6"/>
  <c r="I52" i="6"/>
  <c r="I53" i="6"/>
  <c r="I54" i="6"/>
  <c r="I55" i="6"/>
  <c r="I56" i="6"/>
  <c r="I57" i="6"/>
  <c r="I58" i="6"/>
  <c r="I59" i="6"/>
  <c r="I60" i="6"/>
  <c r="I61" i="6"/>
  <c r="I62" i="6"/>
  <c r="I63" i="6"/>
  <c r="I6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4" i="6"/>
  <c r="I5" i="6"/>
  <c r="I6" i="6"/>
  <c r="I7" i="6"/>
  <c r="I9" i="6"/>
  <c r="I10" i="6"/>
  <c r="I11" i="6"/>
  <c r="I12" i="6"/>
  <c r="I13" i="6"/>
  <c r="I14" i="6"/>
  <c r="I15" i="6"/>
  <c r="BJ345" i="11" l="1"/>
  <c r="BJ344" i="11"/>
  <c r="BJ343" i="11"/>
  <c r="BJ342" i="11"/>
  <c r="BJ341" i="11"/>
  <c r="BJ340" i="11"/>
  <c r="BJ339" i="11"/>
  <c r="BJ338" i="11"/>
  <c r="BJ337" i="11"/>
  <c r="BJ336" i="11"/>
  <c r="BJ335" i="11"/>
  <c r="BJ334" i="11"/>
  <c r="BJ333" i="11"/>
  <c r="BJ332" i="11"/>
  <c r="BJ331" i="11"/>
  <c r="BJ330" i="11"/>
  <c r="BJ329" i="11"/>
  <c r="BJ328" i="11"/>
  <c r="BJ327" i="11"/>
  <c r="BJ326" i="11"/>
  <c r="BJ325" i="11"/>
  <c r="BJ324" i="11"/>
  <c r="BJ231" i="11"/>
  <c r="BJ229" i="11"/>
  <c r="BJ228" i="11"/>
  <c r="BJ227" i="11"/>
  <c r="BJ226" i="11"/>
  <c r="BJ225" i="11"/>
  <c r="BJ224" i="11"/>
  <c r="BJ223" i="11"/>
  <c r="BJ222" i="11"/>
  <c r="BJ221" i="11"/>
  <c r="BJ220" i="11"/>
  <c r="BJ219" i="11"/>
  <c r="BJ218" i="11"/>
  <c r="BJ217" i="11"/>
  <c r="BJ216" i="11"/>
  <c r="BJ215" i="11"/>
  <c r="BJ214" i="11"/>
  <c r="BJ213" i="11"/>
  <c r="BJ212" i="11"/>
  <c r="BJ211" i="11"/>
  <c r="BJ210" i="11"/>
  <c r="BJ209" i="11"/>
  <c r="BJ196" i="11"/>
  <c r="BJ195" i="11"/>
  <c r="BJ194" i="11"/>
  <c r="BJ193" i="11"/>
  <c r="BJ192" i="11"/>
  <c r="BJ191" i="11"/>
  <c r="BJ190" i="11"/>
  <c r="BJ189" i="11"/>
  <c r="BJ188" i="11"/>
  <c r="BJ187" i="11"/>
  <c r="BJ186" i="11"/>
  <c r="BJ185" i="11"/>
  <c r="BJ184" i="11"/>
  <c r="BJ183" i="11"/>
  <c r="BJ182" i="11"/>
  <c r="BJ181" i="11"/>
  <c r="BJ180" i="11"/>
  <c r="BJ179" i="11"/>
  <c r="BJ178" i="11"/>
  <c r="BJ177" i="11"/>
  <c r="BJ176" i="11"/>
  <c r="BJ175" i="11"/>
  <c r="BJ174" i="11"/>
  <c r="BJ173" i="11"/>
  <c r="BJ172" i="11"/>
  <c r="BJ171" i="11"/>
  <c r="BJ170" i="11"/>
  <c r="BJ167" i="11"/>
  <c r="BJ166" i="11"/>
  <c r="BJ165" i="11"/>
  <c r="BJ164" i="11"/>
  <c r="BJ163" i="11"/>
  <c r="BJ162" i="11"/>
  <c r="BJ161" i="11"/>
  <c r="BJ160" i="11"/>
  <c r="BJ159" i="11"/>
  <c r="BJ158" i="11"/>
  <c r="BJ157" i="11"/>
  <c r="BJ156" i="11"/>
  <c r="BJ155" i="11"/>
  <c r="BJ154" i="11"/>
  <c r="BJ153" i="11"/>
  <c r="BJ152" i="11"/>
  <c r="BJ146" i="11"/>
  <c r="BJ151" i="11"/>
  <c r="BJ150" i="11"/>
  <c r="BJ149" i="11"/>
  <c r="BJ148" i="11"/>
  <c r="BJ147" i="11"/>
  <c r="BJ143" i="11"/>
  <c r="BJ145" i="11"/>
  <c r="BJ144" i="11"/>
  <c r="BJ141" i="11"/>
  <c r="BJ140" i="11"/>
  <c r="BJ142" i="11"/>
  <c r="BJ139" i="11"/>
  <c r="BJ138" i="11"/>
  <c r="BJ137" i="11"/>
  <c r="BJ136" i="11"/>
  <c r="BJ135" i="11"/>
  <c r="BJ134" i="11"/>
  <c r="BJ133" i="11"/>
  <c r="BJ132" i="11"/>
  <c r="BJ131" i="11"/>
  <c r="BJ130" i="11"/>
  <c r="BJ129" i="11"/>
  <c r="BJ128" i="11"/>
  <c r="BJ127" i="11"/>
  <c r="BJ126" i="11"/>
  <c r="BJ124" i="11"/>
  <c r="BJ123" i="11"/>
  <c r="BJ122" i="11"/>
  <c r="BJ121" i="11"/>
  <c r="BJ120" i="11"/>
  <c r="BJ119" i="11"/>
  <c r="BJ118" i="11"/>
  <c r="BJ117" i="11"/>
  <c r="BJ116" i="11"/>
  <c r="BJ115" i="11"/>
  <c r="BJ114" i="11"/>
  <c r="BJ113" i="11"/>
  <c r="BJ112" i="11"/>
  <c r="BJ111" i="11"/>
  <c r="BJ110" i="11"/>
  <c r="BJ109" i="11"/>
  <c r="BJ108" i="11"/>
  <c r="BJ107" i="11"/>
  <c r="BJ106" i="11"/>
  <c r="BJ105" i="11"/>
  <c r="BJ104" i="11"/>
  <c r="BJ103" i="11"/>
  <c r="BJ102" i="11"/>
  <c r="BJ101" i="11"/>
  <c r="BJ100" i="11"/>
  <c r="BJ99" i="11"/>
  <c r="BJ98" i="11"/>
  <c r="BJ96" i="11"/>
  <c r="BJ95" i="11"/>
  <c r="BJ94" i="11"/>
  <c r="BJ93" i="11"/>
  <c r="BJ92" i="11"/>
  <c r="BJ91" i="11"/>
  <c r="BJ90" i="11"/>
  <c r="BJ89" i="11"/>
  <c r="BJ88" i="11"/>
  <c r="BJ87" i="11"/>
  <c r="BJ86" i="11"/>
  <c r="BJ85" i="11"/>
  <c r="BJ84" i="11"/>
  <c r="BJ83" i="11"/>
  <c r="BJ82" i="11"/>
  <c r="BJ81" i="11"/>
  <c r="BJ80" i="11"/>
  <c r="BJ79" i="11"/>
  <c r="BJ78" i="11"/>
  <c r="BJ77" i="11"/>
  <c r="BJ76" i="11"/>
  <c r="BJ75" i="11"/>
  <c r="BJ74" i="11"/>
  <c r="BJ71" i="11"/>
  <c r="BJ70" i="11"/>
  <c r="BJ69" i="11"/>
  <c r="BJ68" i="11"/>
  <c r="BJ67" i="11"/>
  <c r="BJ66" i="11"/>
  <c r="BJ65" i="11"/>
  <c r="BJ63" i="11"/>
  <c r="BJ62" i="11"/>
  <c r="BJ61" i="11"/>
  <c r="BJ60" i="11"/>
  <c r="BJ59" i="11"/>
  <c r="BJ58" i="11"/>
  <c r="BJ57" i="11"/>
  <c r="BJ56" i="11"/>
  <c r="BJ64" i="11"/>
  <c r="BJ46" i="11"/>
  <c r="BJ45" i="11"/>
  <c r="BJ44" i="11"/>
  <c r="BJ43" i="11"/>
  <c r="BJ42" i="11"/>
  <c r="BJ41" i="11"/>
  <c r="BJ40" i="11"/>
  <c r="BJ33" i="11"/>
  <c r="BJ39" i="11"/>
  <c r="BJ38" i="11"/>
  <c r="BJ37" i="11"/>
  <c r="BJ31" i="11"/>
  <c r="BJ30" i="11"/>
  <c r="BJ29" i="11"/>
  <c r="BJ54" i="11"/>
  <c r="BJ26" i="11"/>
  <c r="BJ25" i="11"/>
  <c r="BJ24" i="11"/>
  <c r="BJ23" i="11"/>
  <c r="BJ22" i="11"/>
  <c r="BJ53" i="11"/>
  <c r="BJ21" i="11"/>
  <c r="BJ20" i="11"/>
  <c r="BJ19" i="11"/>
  <c r="BJ18" i="11"/>
  <c r="BJ17" i="11"/>
  <c r="BJ16" i="11"/>
  <c r="BJ15" i="11"/>
  <c r="BJ14" i="11"/>
  <c r="BJ13" i="11"/>
  <c r="BJ12" i="11"/>
  <c r="BJ11" i="11"/>
  <c r="BJ52" i="11"/>
  <c r="BJ50" i="11"/>
  <c r="BJ49" i="11"/>
  <c r="BJ27" i="11"/>
</calcChain>
</file>

<file path=xl/sharedStrings.xml><?xml version="1.0" encoding="utf-8"?>
<sst xmlns="http://schemas.openxmlformats.org/spreadsheetml/2006/main" count="7384" uniqueCount="2075">
  <si>
    <t xml:space="preserve">Entity </t>
  </si>
  <si>
    <t xml:space="preserve">Bureau of Land Management </t>
  </si>
  <si>
    <t xml:space="preserve">US Forest Service and Bureau of Land Management </t>
  </si>
  <si>
    <t xml:space="preserve">Environmental Protection Agency </t>
  </si>
  <si>
    <t xml:space="preserve">US Forest Service </t>
  </si>
  <si>
    <t xml:space="preserve">Program </t>
  </si>
  <si>
    <t xml:space="preserve">Assessment, Inventory, and Monitoring </t>
  </si>
  <si>
    <t xml:space="preserve">Aquatic and Riparian Effective Monitoring Program </t>
  </si>
  <si>
    <t xml:space="preserve">National Rivers and Streams Assessment </t>
  </si>
  <si>
    <t xml:space="preserve">PACFISH/INFISH Biological Opinion Effectiveness Monitoring </t>
  </si>
  <si>
    <t xml:space="preserve">Abbreviation </t>
  </si>
  <si>
    <t xml:space="preserve">AIM Aquatic </t>
  </si>
  <si>
    <t xml:space="preserve">AREMP </t>
  </si>
  <si>
    <t>NRSA</t>
  </si>
  <si>
    <t xml:space="preserve">PIBO EM </t>
  </si>
  <si>
    <t xml:space="preserve">Primary Objective </t>
  </si>
  <si>
    <t xml:space="preserve">A consistent, quantitative approach for determining the attainment of BLM land health standards for perennial wadeable streams and rivers, among other applications.  Monitoring
objectives are established by project managers and will determine the number of
reaches to be sampled and whether a randomized, targeted, or mixed site
selection approach is appropriate. </t>
  </si>
  <si>
    <t xml:space="preserve">Status and Trend </t>
  </si>
  <si>
    <t xml:space="preserve">A collaborative survey that provides information on the ecological condition of the nation’s rivers and streams and the key stressors that affect them, both on a national and an ecoregional scale. 
The goals of the NRSA are to determine the extent to which rivers and streams support a healthy biological condition and the extent of major stressors that affect them. The survey supports a longer-term goal: to determine whether our rivers and streams are getting cleaner and how we might best invest in protecting and restoring them. </t>
  </si>
  <si>
    <t xml:space="preserve">The primary objective is to determine whether
priority biological and physical attributes, processes, and functions of riparian
and aquatic systems are being degraded, maintained, or restored in the
PIBO monitoring area. </t>
  </si>
  <si>
    <t xml:space="preserve">Year Started </t>
  </si>
  <si>
    <t xml:space="preserve">Site Length </t>
  </si>
  <si>
    <t>20 x bankfull width, a minimum of 150m</t>
  </si>
  <si>
    <t>20x bankfull width categories, range 150m-500m</t>
  </si>
  <si>
    <t xml:space="preserve">20x channel-widths, a minimum of 150m </t>
  </si>
  <si>
    <t xml:space="preserve"> 20x bankfull channel
widths, range from 160m-480m</t>
  </si>
  <si>
    <t xml:space="preserve">Spatial Design </t>
  </si>
  <si>
    <t>Stratified GRTS, Targeted sites</t>
  </si>
  <si>
    <t xml:space="preserve">Non-stratified GRTS </t>
  </si>
  <si>
    <t xml:space="preserve">GRTS </t>
  </si>
  <si>
    <t xml:space="preserve">GRTS, Targeted sites </t>
  </si>
  <si>
    <t xml:space="preserve">Target Population </t>
  </si>
  <si>
    <t xml:space="preserve">Surveys conducted in wadeable streams within BLM Bruneau Field Offices </t>
  </si>
  <si>
    <t xml:space="preserve">Surveys conducted in wadeable stream within the Northwest Forest Plan Area in Watersheds with at least 25% of the 1:100K streams layers within federal ownership. </t>
  </si>
  <si>
    <t xml:space="preserve">Target popultion cosists of 6th fieldhydrologic unit code (HUC) watersheds within perennial streams and greater than 50 percent Federal ownership above the sample reach.
 </t>
  </si>
  <si>
    <t xml:space="preserve">Master Sample Details </t>
  </si>
  <si>
    <t xml:space="preserve">Resolution ? </t>
  </si>
  <si>
    <t xml:space="preserve">Additional Spatial Design Details </t>
  </si>
  <si>
    <t>The survey design consists of two separate designs to address the dual objectives of: 
(1)estimating current status and (2) estimating change in status for all flowing waters:
• Resample design applied to NRSA 2008/09 and NRSA 2013/14 sites.
• New site design for NRSA 2018/19.
The survey design is explicitly stratified by state for both designs. The unequal probability categories are specific to the survey design used for the NRSA 2008/09, NRSA 2013/14, and NRSA 2018/19. In all cases the categories are specific combinations of Strahler order categories and nine National Aquatic Resource Survey (NARS) aggregated ecoregions. In addition, a minimum of 20 sites (Resample and New) was guaranteed in each state and a maximum of 75 sites was the limit for an individual state. There are 983 unique sites in the Resample Design and 825 unique sites in the New Site Design. Approximately 10% of the total NRSA sites are scheduled for repeated sampling (revisit sites) in the same year of the two year NRSA field cycle. The sample frame was derived from the medium resolution National Hydrography Dataset (NHD), in particular NHDPlus V2. Additional details on the NRSA survey design are found in the National Rivers and Streams Assessment Survey Design: 2018/19 documents.</t>
  </si>
  <si>
    <t xml:space="preserve">Base Temporal Scale </t>
  </si>
  <si>
    <t xml:space="preserve">Annual </t>
  </si>
  <si>
    <t>2008-2009, 2013-2014, 2018-2019</t>
  </si>
  <si>
    <t xml:space="preserve">Annual (5-year rotating panel) </t>
  </si>
  <si>
    <t xml:space="preserve">Temporal Design </t>
  </si>
  <si>
    <t>We will then resample the same watersheds over subsequent 5-year periods. This design is represented as a rotating panel that is serially augmented and alternates over a given period (Urquhart and others 1998). Initially, we will randomly select the subsample of reference and managed watersheds within the group. Our goal will be to select an even number of “reference” and “managed” watersheds for sampling. Because the number of “reference” watersheds is generally low, we will sample as many as possible within the group, up to half of the total number of watersheds.</t>
  </si>
  <si>
    <t xml:space="preserve">Sample Period </t>
  </si>
  <si>
    <t>o Beginning of June through end of September for most regions.
o Sites in the select ecoregions or States can be sampled starting in the end of
April with approval from the EPA Project Coordinator.</t>
  </si>
  <si>
    <t xml:space="preserve">Quality Control </t>
  </si>
  <si>
    <t>Field personnel training, standard protocol</t>
  </si>
  <si>
    <t xml:space="preserve">Field personnel training, standard protocol, 9 watersheds are surveyed </t>
  </si>
  <si>
    <t xml:space="preserve">Protocol </t>
  </si>
  <si>
    <t>https://aim.landscapetoolbox.org/wp-content/uploads/2018/10/TR_1735-02.pdf</t>
  </si>
  <si>
    <t>Order</t>
  </si>
  <si>
    <t>Category</t>
  </si>
  <si>
    <t xml:space="preserve">Name </t>
  </si>
  <si>
    <t>ShortName</t>
  </si>
  <si>
    <t>Long Column Name</t>
  </si>
  <si>
    <t>Explanation</t>
  </si>
  <si>
    <t>Units</t>
  </si>
  <si>
    <t>Indicator or Column Heading</t>
  </si>
  <si>
    <t>Description</t>
  </si>
  <si>
    <t>Predicted response to stress</t>
  </si>
  <si>
    <t>Minimum possible value</t>
  </si>
  <si>
    <t>Maximum likely or possible value</t>
  </si>
  <si>
    <t>DATA_COLUMN</t>
  </si>
  <si>
    <t>SAMPLE_TYPE</t>
  </si>
  <si>
    <t>LABEL_BOATABLE</t>
  </si>
  <si>
    <t>Becca Notes</t>
  </si>
  <si>
    <t>Long Name- PIBO</t>
  </si>
  <si>
    <t>Short Name (column header)</t>
  </si>
  <si>
    <t>Units / Format</t>
  </si>
  <si>
    <t xml:space="preserve">http://www.reo
.gov/monitoring
/reports/watershed/2010.Field Protocol.Final.pdf
</t>
  </si>
  <si>
    <t>https://www.epa.gov/sites/production/files/2019-05/documents/nrsa_1819_fom_wadeable_version_1.2_0.pdf</t>
  </si>
  <si>
    <t>Identification</t>
  </si>
  <si>
    <t>Reach ID number</t>
  </si>
  <si>
    <t>ReachID</t>
  </si>
  <si>
    <t>site_survey_id</t>
  </si>
  <si>
    <t>https://www.fs.usda.gov/Internet/FSE_DOCUMENTS/fseprd494543.pdf</t>
  </si>
  <si>
    <t>UID</t>
  </si>
  <si>
    <t>Unique code for an individual site visit. This is the database primary key.</t>
  </si>
  <si>
    <t>NA</t>
  </si>
  <si>
    <t xml:space="preserve">Comments </t>
  </si>
  <si>
    <t xml:space="preserve">Survey conducted in wadable and bootable streams across the United States. Sampling locations are selected using a modern survey design approach called a probability-based sample design. In such a design, every element in the population has a known probability of being selected for sampling. This important feature ensures that the results of the survey reflect the full range in character and variation among flowing waters across the U.S. Site selection rules included weighting to provide balance in the number of river and stream sites from each of the size classes. </t>
  </si>
  <si>
    <t xml:space="preserve">Survey conducted in wadeable streams within the interior ColumbiaRiver basin on lands managed by U.S.orest Service (FS) Regions 1, 4, and 6 and the Idaho and Oregon/Washington State Offices of the Bureau of Land Management (BLM). (AND UPPER MISSOURI? ) </t>
  </si>
  <si>
    <t>Unique site visit ID</t>
  </si>
  <si>
    <t xml:space="preserve">Additional References </t>
  </si>
  <si>
    <t>RchID</t>
  </si>
  <si>
    <t>https://aim.landscapetoolbox.org/wp-content/uploads/2018/01/AIM-strategy011818.pdf</t>
  </si>
  <si>
    <t>Unique number that identifies one sample of a particular site.</t>
  </si>
  <si>
    <t>integer</t>
  </si>
  <si>
    <t>https://www.fs.usda.gov/detail/r4/landmanagement/resourcemanagement/?cid=stelprd3845865</t>
  </si>
  <si>
    <t>Site ID number</t>
  </si>
  <si>
    <t>SiteID</t>
  </si>
  <si>
    <t>site_id</t>
  </si>
  <si>
    <t>MasterCode</t>
  </si>
  <si>
    <t>Code used to identify a unique location. SiteCode may (or may not) change on site revisits. However, MasterCode will remain the same across all site visits.</t>
  </si>
  <si>
    <t>SITE_ID</t>
  </si>
  <si>
    <t>Site identification code</t>
  </si>
  <si>
    <t>Number that identifies a unique sampling location. A site is a stream segment with a fixed starting and ending location for sampling.</t>
  </si>
  <si>
    <t xml:space="preserve">Sample Year </t>
  </si>
  <si>
    <t>Year</t>
  </si>
  <si>
    <t xml:space="preserve">Int </t>
  </si>
  <si>
    <t>survey_year</t>
  </si>
  <si>
    <t>YEAR</t>
  </si>
  <si>
    <t>Sampling year</t>
  </si>
  <si>
    <t>Sampling Year</t>
  </si>
  <si>
    <t>Yr</t>
  </si>
  <si>
    <t xml:space="preserve">Sample Date </t>
  </si>
  <si>
    <t>Date</t>
  </si>
  <si>
    <t xml:space="preserve">What data type is a date?  </t>
  </si>
  <si>
    <t>survey_date</t>
  </si>
  <si>
    <t>Sample date (units: m/d/yyyy)</t>
  </si>
  <si>
    <t>m/d/yyyy</t>
  </si>
  <si>
    <t>DATE_COL</t>
  </si>
  <si>
    <t>Date of field collection</t>
  </si>
  <si>
    <t xml:space="preserve">PIBO Use of Site </t>
  </si>
  <si>
    <t>Intended use of site</t>
  </si>
  <si>
    <t>Project</t>
  </si>
  <si>
    <t xml:space="preserve">CRB = Site included in PIBO EM rotating 5-year sample design within the Upper Columbia River Basin study area.
MRB = Site included in PIBO EM rotating 5-year sample design within the Upper Missouri River Basin study area.
CNTRCT = Sampling funded by local Forest Service or BLM field units.
FS = Sites sampled by Forest Service employees using PIBO EM sampling protocol.
</t>
  </si>
  <si>
    <t>categorical: CRB, MRB, CNTRCT, FS</t>
  </si>
  <si>
    <t xml:space="preserve">PIBO Sample Type </t>
  </si>
  <si>
    <t>PIBO sample type</t>
  </si>
  <si>
    <t>Type</t>
  </si>
  <si>
    <t xml:space="preserve">In general, type refers to the 1) site selection criteria, and 2) the sampling methods used to collect data.
I = In-stream habitat, stream temperature, aquatic macroinvertebrate, and riparian vegetation are collected. Integrator sites are the most downstream stream segment within a randomly selected ICBEMP 6th field hydrologic unit less than 3% gradient (ideally), no tributaries, and no beaver activity when sites are established.
S = Sentinels, Type I sites that are sampled annually.
P = Prairie sites. These, typically dry, streambeds are evaluated under a separate protocol and are not comparable to other site types.
K = Designated Monitoring Area (DMA). Riparian vegetation data and a subset of in-stream habitat data are collected. Sampling locations are identified by local field unit personnel as locations utilized for livestock grazing implementation monitoring (IM).
</t>
  </si>
  <si>
    <t>categorical: I, IS, IK, IKS, K, P</t>
  </si>
  <si>
    <t>Panel year</t>
  </si>
  <si>
    <t>PanelYr</t>
  </si>
  <si>
    <t>Relevant to CRB and MRB sites which are sampled on a 5-year rotation. Panel year 1 sites are sampled 2001, 2006, 2011, etc. Panel year 2 sites are sampled 2002, 2007, 2012, etc.</t>
  </si>
  <si>
    <t xml:space="preserve">EPA Site Class </t>
  </si>
  <si>
    <t>SITE_CLASS</t>
  </si>
  <si>
    <t>Site class (NAWQA, PROB, HAND)</t>
  </si>
  <si>
    <t xml:space="preserve">EPA X Site Status </t>
  </si>
  <si>
    <t>VALXSITE</t>
  </si>
  <si>
    <t>X-site sampling status sub-category</t>
  </si>
  <si>
    <t>Use visit in NRSA population estimates</t>
  </si>
  <si>
    <t>USE_NRSA</t>
  </si>
  <si>
    <t>EPA Great river site</t>
  </si>
  <si>
    <t>GREAT_RIVER</t>
  </si>
  <si>
    <t>Great river site</t>
  </si>
  <si>
    <t xml:space="preserve">Count of Visits per Year </t>
  </si>
  <si>
    <t>VISIT_NO</t>
  </si>
  <si>
    <t>Visit number for that year</t>
  </si>
  <si>
    <t>Site Name</t>
  </si>
  <si>
    <t>SiteName</t>
  </si>
  <si>
    <t>Concatenation of Group-Order-Type</t>
  </si>
  <si>
    <t>PIBO Group</t>
  </si>
  <si>
    <t>Group</t>
  </si>
  <si>
    <t>A group is a 3-digit numeric code used to identify a spatial cluster of ~20 6th field sub-watersheds. Groups 1-177 are in the CRB, 200-299 are in the MRB. Group numbers &gt;500 are used to label CNTRCT and FS sites.</t>
  </si>
  <si>
    <t xml:space="preserve">PIBO Order </t>
  </si>
  <si>
    <t>An order is a randomly assigned, 2-digit, numeric code that uniquely identifies 6th field sub-watersheds within a group.</t>
  </si>
  <si>
    <t>Protocol</t>
  </si>
  <si>
    <t>Protocol used for collecting the data (wadeable or boatable)</t>
  </si>
  <si>
    <t>Wadeable</t>
  </si>
  <si>
    <t>Boatable</t>
  </si>
  <si>
    <t xml:space="preserve">BLM Merge of Site Code </t>
  </si>
  <si>
    <t>MergeSiteCodes</t>
  </si>
  <si>
    <t>List of existing monitoring sites that fall in the same location as this site. All such sites have been screened for merging using the site scouting protocol</t>
  </si>
  <si>
    <t>Visit Number</t>
  </si>
  <si>
    <t>VisitNumber</t>
  </si>
  <si>
    <t>A sequential number indicating the number of times the site has been visited up to the date of this sample.</t>
  </si>
  <si>
    <t># of visits</t>
  </si>
  <si>
    <t>None</t>
  </si>
  <si>
    <t xml:space="preserve">BLM Project </t>
  </si>
  <si>
    <t>Project associated with data collection</t>
  </si>
  <si>
    <t xml:space="preserve">BLM Stratum </t>
  </si>
  <si>
    <t>Stratum</t>
  </si>
  <si>
    <t>The original design stratum for the site</t>
  </si>
  <si>
    <t xml:space="preserve">Targeted or Random </t>
  </si>
  <si>
    <t>Targeted</t>
  </si>
  <si>
    <t>Specifies whether the site was a part of a probabilistic random design (Random) or whether it was selected as a targeted site to address a specific management concern (Targeted)</t>
  </si>
  <si>
    <t>Random</t>
  </si>
  <si>
    <t>Field Status Notes</t>
  </si>
  <si>
    <t>FieldStatus</t>
  </si>
  <si>
    <t>Whether the reach was fully sampled, partially sampled, or sampled with interrupted flow. Data from partially sampled sites or sites with interrupted flow should be examined carefully to insure crews followed the modified protocols properly.</t>
  </si>
  <si>
    <t>Location</t>
  </si>
  <si>
    <t>Latitude</t>
  </si>
  <si>
    <t>BRLat</t>
  </si>
  <si>
    <t xml:space="preserve">Long </t>
  </si>
  <si>
    <t>lattitude</t>
  </si>
  <si>
    <t>Bottom of reach latitude in NAD 83 (units: decimal degrees)</t>
  </si>
  <si>
    <t>decimal degrees</t>
  </si>
  <si>
    <t>XLAT_DD</t>
  </si>
  <si>
    <t>X-site GPS latitude decimal degrees</t>
  </si>
  <si>
    <t xml:space="preserve">Decimal Degrees </t>
  </si>
  <si>
    <t>Lat</t>
  </si>
  <si>
    <t>Coordinates for mapping. Coordinates were derived by: 1) plotting NAD 1927 (WGS 1984 for 2012 - p) UTM coordinates recorded by field crews in GIS; 2) moving each point to the appropriate location on the 1:24000 National Hydrography Dataset (NHD; http://nhd.usgs.gov/) stream line if necessary; 3) converting units to Latitude/Longitude coordinates in Albers Equal Area. NOTE: these coordinates are not suitable for locating sites on the ground.</t>
  </si>
  <si>
    <t>Decimal degree</t>
  </si>
  <si>
    <t>Longitude</t>
  </si>
  <si>
    <t>BRLong</t>
  </si>
  <si>
    <t>longitude</t>
  </si>
  <si>
    <t>Bottom of reach longitude in NAD 83 (units: decimal degrees)</t>
  </si>
  <si>
    <t>XLON_DD</t>
  </si>
  <si>
    <t>X-site GPS longitude decimal degrees</t>
  </si>
  <si>
    <t>Long</t>
  </si>
  <si>
    <t>Stream Name</t>
  </si>
  <si>
    <t>StreamName</t>
  </si>
  <si>
    <t>Stream name based off the USGS National Hydrography Dataset (NHD) layer</t>
  </si>
  <si>
    <t>Stream</t>
  </si>
  <si>
    <t>FS Region or BLM State Office</t>
  </si>
  <si>
    <t xml:space="preserve">Region </t>
  </si>
  <si>
    <t>State</t>
  </si>
  <si>
    <t>BLM Administrative State where the site is located</t>
  </si>
  <si>
    <t>Region</t>
  </si>
  <si>
    <t>Forest Service Region, BLM state office, or overseeing federal agency where site occurs.</t>
  </si>
  <si>
    <t>FS Forest or BLM District</t>
  </si>
  <si>
    <t xml:space="preserve">Forest </t>
  </si>
  <si>
    <t>District</t>
  </si>
  <si>
    <t>BLM District where the site is located</t>
  </si>
  <si>
    <t>Forest</t>
  </si>
  <si>
    <t>Forest Service Forest or BLM District where site occurs.</t>
  </si>
  <si>
    <t>Forest Service District or BLM Field Office/Resource Area</t>
  </si>
  <si>
    <t xml:space="preserve">District </t>
  </si>
  <si>
    <t>FieldOffice</t>
  </si>
  <si>
    <t>BLM Field Office where the site is located</t>
  </si>
  <si>
    <t>FS District, ID BLM Field Office, or OR-WA BLM Resource Area where site occurs.</t>
  </si>
  <si>
    <t>state</t>
  </si>
  <si>
    <t>Two letter state code.</t>
  </si>
  <si>
    <t>Nominal latitude in decimal degrees</t>
  </si>
  <si>
    <t>LAT_DD83</t>
  </si>
  <si>
    <t>Nominal longitude in decimal degrees</t>
  </si>
  <si>
    <t>LON_DD83</t>
  </si>
  <si>
    <t xml:space="preserve">Creek Code </t>
  </si>
  <si>
    <t>creek_code</t>
  </si>
  <si>
    <t xml:space="preserve">Mid Reach Latitude </t>
  </si>
  <si>
    <t>MidLat</t>
  </si>
  <si>
    <t>Latitude of the reach midpoint in NAD 83 (units: decimal degrees)</t>
  </si>
  <si>
    <t xml:space="preserve">Mid Reach Longitude </t>
  </si>
  <si>
    <t>MidLong</t>
  </si>
  <si>
    <t>Longitude of the reach midpoint in NAD 83 (units: decimal degrees)</t>
  </si>
  <si>
    <t xml:space="preserve">Top of Reach Latitude </t>
  </si>
  <si>
    <t>TRLat</t>
  </si>
  <si>
    <t>Top of reach latitude in NAD 83 (units: decimal degrees)</t>
  </si>
  <si>
    <t xml:space="preserve">Top of Reach Longitude </t>
  </si>
  <si>
    <t>TRLong</t>
  </si>
  <si>
    <t>Top of reach longitude in NAD 83 (units: decimal degrees)</t>
  </si>
  <si>
    <t>Environment</t>
  </si>
  <si>
    <t>NRCS Hydrologic Unit Code for 6th field sub-watersheds</t>
  </si>
  <si>
    <t>HUC6</t>
  </si>
  <si>
    <t>USDA Natural Resources Conservation Service (NRCS), Hydrologic Unit Code for 6th field sub-watersheds.</t>
  </si>
  <si>
    <t>Three climatic regions of the US used in WSA in indicator development: Eastern Highlands, West, and Plains and Lowlands</t>
  </si>
  <si>
    <t>FW_ECO3</t>
  </si>
  <si>
    <t>Aggregated level 3 ecoregions used in WSA</t>
  </si>
  <si>
    <t>FW_ECO9</t>
  </si>
  <si>
    <t>Catchment area upstream from the site</t>
  </si>
  <si>
    <t>Area</t>
  </si>
  <si>
    <t>Total area of the catchment upstream from the site.</t>
  </si>
  <si>
    <t>km2</t>
  </si>
  <si>
    <t>Elevation at the bottom of stream reach</t>
  </si>
  <si>
    <t>Elev</t>
  </si>
  <si>
    <t>Derived from 10 m Digital Elevation Models (DEM) from the USGS National Elevation Dataset: http://seamless.usgs.gov/. Acquired from the remote sensing application center (RSAC).</t>
  </si>
  <si>
    <t>m</t>
  </si>
  <si>
    <t>Annual Average Precipitation</t>
  </si>
  <si>
    <t>AvgPrecip</t>
  </si>
  <si>
    <t>Average annual precipitation at a site derived from PRISM Group climate grids.</t>
  </si>
  <si>
    <t>EcoregionHybrid10</t>
  </si>
  <si>
    <t>EPA hybrid level III ecoregion</t>
  </si>
  <si>
    <t xml:space="preserve">EPA Climatic Zone </t>
  </si>
  <si>
    <t>Climate</t>
  </si>
  <si>
    <t>EPA climatic zone (Mountain, Xeric, Plains)</t>
  </si>
  <si>
    <t>NAMC Benchmark</t>
  </si>
  <si>
    <t>NAMC_Benchmark</t>
  </si>
  <si>
    <t>NAMC assigned category used to determine default benchmarks for making indicator specific condition ratings. This field is a combination of EcoregionHybrid10 and StreamSizeBankfull.</t>
  </si>
  <si>
    <t>Channel dimensions</t>
  </si>
  <si>
    <t>Average bankfull width from transects</t>
  </si>
  <si>
    <t>BFWidth</t>
  </si>
  <si>
    <t xml:space="preserve">Double </t>
  </si>
  <si>
    <t>ave_bfwidth</t>
  </si>
  <si>
    <t>BankfullWidth</t>
  </si>
  <si>
    <t>Average bankfull width across 11 transects (units: m, n= 11)</t>
  </si>
  <si>
    <t>XBKF_W</t>
  </si>
  <si>
    <t>CHANNEL MORPHOLOGY</t>
  </si>
  <si>
    <t>Mean Bankfull Width (m)</t>
  </si>
  <si>
    <t>Bf</t>
  </si>
  <si>
    <t>Bankfull widths are measured at each transect. This is the average of the 21-25 transects typically measured at each reach.</t>
  </si>
  <si>
    <t>Gradient of stream reach</t>
  </si>
  <si>
    <t>Grad</t>
  </si>
  <si>
    <t>gradient</t>
  </si>
  <si>
    <t>Slope</t>
  </si>
  <si>
    <t>Reach slope measured from the water's surface. In most cases, the reported value is an average of 2 independent measurements that were within 10% of one another. (units: %, min: 0, max: ~45, n= 2)</t>
  </si>
  <si>
    <t>%</t>
  </si>
  <si>
    <t>~45</t>
  </si>
  <si>
    <t>XSLOPE</t>
  </si>
  <si>
    <t>SLOPE AND BEARING</t>
  </si>
  <si>
    <t>Mean Slope of water surface (%)</t>
  </si>
  <si>
    <t>The difference between the elevation of the water surface at the bottom of the reach and the elevation of the water surface at the top of the reach divided by the reach length (measured along the thalweg). The result is multiplied by 100 to express the value as a percent.</t>
  </si>
  <si>
    <t>percent</t>
  </si>
  <si>
    <t>Length of sampling reach</t>
  </si>
  <si>
    <t>RchLen</t>
  </si>
  <si>
    <t>reach_length</t>
  </si>
  <si>
    <t>TotRchlen</t>
  </si>
  <si>
    <t>Total length of the reach (m) measured along the thalweg as calculated by 20 times average bankfull width (wadeable) or 40 times wetted width (boatable), with a min of 150 m and a max of 4000 m. This field is provided for context for the site but sampled reach lengths may differ from this total reach length for partially sampled sites (FieldStatus= Sampled - Partial). (units: m, min: 150, max: 4000, n=1)</t>
  </si>
  <si>
    <t>REACHLEN</t>
  </si>
  <si>
    <t>GENERAL</t>
  </si>
  <si>
    <t>Sample Reach Length (m)</t>
  </si>
  <si>
    <t>Length of sampling reach measured along the thalweg</t>
  </si>
  <si>
    <t>Bankfull width-to-depth ratio at transects</t>
  </si>
  <si>
    <t>BF_WDRatio</t>
  </si>
  <si>
    <t>ave_widthDepth_ratio</t>
  </si>
  <si>
    <t>BFWD_RAT</t>
  </si>
  <si>
    <t>Bankfull Width/Depth Ratio</t>
  </si>
  <si>
    <t xml:space="preserve">ratio </t>
  </si>
  <si>
    <t>WDTrans</t>
  </si>
  <si>
    <t>2001-2008; Average of the bankfull width-to-depth ratios from four channel cross-sections. Cross-sections were measured at the widest location (bankfull width) in the first 4 riffles within straight stream segments. 2009 - P; Average of the bankfull width-to-depth ratio from 10 cross sections at / near even numbered transects 2-20. If there were &lt;6 suitable measurements no value is reported. Each ratio was calculated as bankfull width divided by the bankfull depth. Bankfull depth was calculated as the total bankfull area divided by the bankfull width.</t>
  </si>
  <si>
    <t>ratio</t>
  </si>
  <si>
    <t>Bankfull Height</t>
  </si>
  <si>
    <t>BF_Height</t>
  </si>
  <si>
    <t>ave_bfdepth</t>
  </si>
  <si>
    <t>BankfullHeight</t>
  </si>
  <si>
    <t>Average bankfull height measured from water surface across 11 transects (units: m, n = 11)</t>
  </si>
  <si>
    <t>Increase</t>
  </si>
  <si>
    <t>XBKF_H</t>
  </si>
  <si>
    <t>Mean Bankfull Height above wetted channel (m)</t>
  </si>
  <si>
    <t>Average wetted width from transects</t>
  </si>
  <si>
    <t>WetWidth</t>
  </si>
  <si>
    <t>WettedWidth</t>
  </si>
  <si>
    <t>Average wetted width across 21 transects (units: m, n= 21)</t>
  </si>
  <si>
    <t>XWIDTH</t>
  </si>
  <si>
    <t>Mean Wetted Width (m)</t>
  </si>
  <si>
    <t>Wetted width-to-depth ratio at transects</t>
  </si>
  <si>
    <t>WetWidthToDepth</t>
  </si>
  <si>
    <t>XWD_RAT</t>
  </si>
  <si>
    <t>Mean Wetted Width/Thalweg Depth ratio</t>
  </si>
  <si>
    <t>WDwetTrans</t>
  </si>
  <si>
    <t>2001-2008. Average ratio of wetted width-to-depth ratio from four channel cross-sections. Cross-sections were measured at the widest location (bankfull width) in the first 4 riffles within straight stream segments. 2009 - P; Average of the wetted width-to-depth ratio from 10 cross sections at / near even numbered transects 2-20. If there were &lt;6 suitable measurements no value is reported. Each ratio was calculated as wetted width divided by the wetted depth. Wetted depth was calculated as the total wetted area divided by the wetted width.</t>
  </si>
  <si>
    <t xml:space="preserve">CV Wetted Width </t>
  </si>
  <si>
    <t>CVWetWidth</t>
  </si>
  <si>
    <t>CVWIDTH</t>
  </si>
  <si>
    <t>INTERPRETATION</t>
  </si>
  <si>
    <t>CV of Wetted Width (SDWIDTH/XWidth)</t>
  </si>
  <si>
    <t>PCTCLINOMETER</t>
  </si>
  <si>
    <t>Percent of slope values based on hand held clinometer</t>
  </si>
  <si>
    <t xml:space="preserve">percent </t>
  </si>
  <si>
    <t xml:space="preserve">Mean Flow Direction of Reach </t>
  </si>
  <si>
    <t>XBEARING</t>
  </si>
  <si>
    <t>Mean Flow Direction of reach (degrees)</t>
  </si>
  <si>
    <t xml:space="preserve">Degrees </t>
  </si>
  <si>
    <t>Mean Slope From Field Based Measurements</t>
  </si>
  <si>
    <t>XSLOPE_FIELD</t>
  </si>
  <si>
    <t>Reach mean channel slope according to field-based measurements</t>
  </si>
  <si>
    <t xml:space="preserve">Mean Slope From Map-Based Calculations </t>
  </si>
  <si>
    <t>XSLOPE_MAP</t>
  </si>
  <si>
    <t>Reach mean channel slope according to map-based calculations</t>
  </si>
  <si>
    <t xml:space="preserve">Mean wetted width X Thalweg Depth </t>
  </si>
  <si>
    <t>XWXD</t>
  </si>
  <si>
    <t>Mean Wetted Width x Thalweg depth (m2)</t>
  </si>
  <si>
    <t>m2</t>
  </si>
  <si>
    <t>SDINC_H</t>
  </si>
  <si>
    <t>Channel Incision Ht.-Std. Dev. (m)</t>
  </si>
  <si>
    <t>Std Dev of Width/Depth Ratio (m/m)</t>
  </si>
  <si>
    <t>SDWD_RAT</t>
  </si>
  <si>
    <t>Standard Deviation  of Width/Depth Ratio (m/m)</t>
  </si>
  <si>
    <t>m/m</t>
  </si>
  <si>
    <t>Standard Deviation . of Wetted Width (m)</t>
  </si>
  <si>
    <t>SDWIDTH</t>
  </si>
  <si>
    <t>Standard Deviation . of Wetted Width x Thalweg Depth (m2)</t>
  </si>
  <si>
    <t>SDWXD</t>
  </si>
  <si>
    <t xml:space="preserve">Average Bankfull Area </t>
  </si>
  <si>
    <t>ave_bfarea</t>
  </si>
  <si>
    <t>min_bfwidth</t>
  </si>
  <si>
    <t>max_bfwidth</t>
  </si>
  <si>
    <t>Floodplain Height</t>
  </si>
  <si>
    <t>FloodplainHeight</t>
  </si>
  <si>
    <t>Average floodplain height measured from water surface across 11 transects (units: m, n = 11)</t>
  </si>
  <si>
    <t xml:space="preserve">Terrace Height Above Water </t>
  </si>
  <si>
    <t>XINC_H</t>
  </si>
  <si>
    <t>Terrace Height above water level (m)</t>
  </si>
  <si>
    <t>reach_length_original</t>
  </si>
  <si>
    <t xml:space="preserve">CV Thalweg Depth </t>
  </si>
  <si>
    <t xml:space="preserve">CVThalwag Depth </t>
  </si>
  <si>
    <t>ThalwegDepthCV</t>
  </si>
  <si>
    <t>Indicator of bed heterogenity computed as the coefficient of variation of 100-300 thalweg depth measurements (units: none, n= 1)</t>
  </si>
  <si>
    <t>Decrease</t>
  </si>
  <si>
    <t>CVDTH</t>
  </si>
  <si>
    <t>CV of thalweg depth (SDDEPTH/XDEPTH)</t>
  </si>
  <si>
    <t xml:space="preserve">Average Thalweg Depth </t>
  </si>
  <si>
    <t>MeanThalwegDepth</t>
  </si>
  <si>
    <t>ThalwegDepthMean</t>
  </si>
  <si>
    <t>Mean thalweg depth. Metric of how deep water was at the site. (units: m, min: 0, max: none, n variable depending on reach length (100 - 300))</t>
  </si>
  <si>
    <t>XDEPTH_CM</t>
  </si>
  <si>
    <t>Mean thalweg depth (cm), converted from raw data in m</t>
  </si>
  <si>
    <t>Mean thalweg depth (cm)</t>
  </si>
  <si>
    <t xml:space="preserve">cm </t>
  </si>
  <si>
    <t xml:space="preserve">Pools </t>
  </si>
  <si>
    <t>Residual pool depth</t>
  </si>
  <si>
    <t xml:space="preserve">RPD </t>
  </si>
  <si>
    <t>ave_residual_depth</t>
  </si>
  <si>
    <t>ResPoolDepth</t>
  </si>
  <si>
    <t>Average residual pool depth as assessed using the core pool method (units: m, n= variable depending on number of pools)</t>
  </si>
  <si>
    <t>not currently available for data collected in 2013</t>
  </si>
  <si>
    <t>RP100</t>
  </si>
  <si>
    <t>RESIDUAL POOLS</t>
  </si>
  <si>
    <t>Mean Residual Depth at thalweg (cm)</t>
  </si>
  <si>
    <t>Average of the residual pool depth values for all pools in a reach. Residual pool depth is calculated for each qualifying pool by subtracting the pool tail depth from the max depth.</t>
  </si>
  <si>
    <t xml:space="preserve">Maxiam Residual Pool Depth in Reach </t>
  </si>
  <si>
    <t>RPMXDEP_CM</t>
  </si>
  <si>
    <t>Maximum residual depth in reach (cm), converted from raw data in m</t>
  </si>
  <si>
    <t>Maximum residual depth in reach (cm)</t>
  </si>
  <si>
    <t>Mean Residual Pool Depth Per Pool</t>
  </si>
  <si>
    <t>RPXDEP_CM</t>
  </si>
  <si>
    <t>Mean residual pool depth in reach (cm/pool), converted from raw data in m</t>
  </si>
  <si>
    <t>Mean residual pool depth in reach (cm/pool)</t>
  </si>
  <si>
    <t>Percent pools</t>
  </si>
  <si>
    <t>PctPools</t>
  </si>
  <si>
    <t>Percent of the sample reach (linear extent) classified as pool habitat as assessed using the core pool method (units: %, min: 0, max: 100, n=1)</t>
  </si>
  <si>
    <t>PCT_POOL</t>
  </si>
  <si>
    <t>CHANNEL HABITAT</t>
  </si>
  <si>
    <t>Pools -- All Types (% of reach)</t>
  </si>
  <si>
    <t xml:space="preserve">% </t>
  </si>
  <si>
    <t>PoolPct</t>
  </si>
  <si>
    <t>Sum of all qualifying pool lengths divided by the reach length. The result is multiplied by 100 to express the value as a percent.</t>
  </si>
  <si>
    <t>Number of pools per kilometer</t>
  </si>
  <si>
    <t>PoolFreq</t>
  </si>
  <si>
    <t>Frequency of pools in the reach as assessed using the core pool method (units: # pools/km, n=1)</t>
  </si>
  <si>
    <t># pools/km</t>
  </si>
  <si>
    <t>Number of pools per kilometer.</t>
  </si>
  <si>
    <t>Number of pools within the sampled reach standardized to pools per kilometer.</t>
  </si>
  <si>
    <t># / km</t>
  </si>
  <si>
    <t xml:space="preserve">Residual pool depth Greater then 50 cm per reach </t>
  </si>
  <si>
    <t>RPGT50</t>
  </si>
  <si>
    <t>Resid Pools &gt;50cm deep (number/reach)</t>
  </si>
  <si>
    <t xml:space="preserve">number/reach </t>
  </si>
  <si>
    <t xml:space="preserve">Residual pool depth Greater then 75 cm per reach </t>
  </si>
  <si>
    <t>RPGT75</t>
  </si>
  <si>
    <t>Resid Pools &gt;75cm deep (number/reach)</t>
  </si>
  <si>
    <t xml:space="preserve">Residual pool proportion </t>
  </si>
  <si>
    <t>RPRAT</t>
  </si>
  <si>
    <t>Residual Depth proportion (RP100/XDepth)</t>
  </si>
  <si>
    <t>CHANNEL CHARACTERISTICS</t>
  </si>
  <si>
    <t>Sinuosity of Local Stream Reach</t>
  </si>
  <si>
    <t xml:space="preserve">Sin </t>
  </si>
  <si>
    <t>Sinuosity</t>
  </si>
  <si>
    <t>Reach sinuosity (reach length along the thalweg/straight line distance between BR and TR coordinates) (units: none, min: 1, max: NA, n= 1)</t>
  </si>
  <si>
    <t>SINU</t>
  </si>
  <si>
    <t>Sinuosity of sample reach.</t>
  </si>
  <si>
    <t>Sin</t>
  </si>
  <si>
    <t>Reach length measured along the thalweg divided by the straight valley length from the bottom of the reach to the top of the reach. Straight valley length is presently determined using UTM coordinates, but was measured using a tape measure &lt;2009.</t>
  </si>
  <si>
    <t xml:space="preserve">Percent of Reach that is Dry </t>
  </si>
  <si>
    <t>PctDry</t>
  </si>
  <si>
    <t>dry_pcnt</t>
  </si>
  <si>
    <t>Percent of the reach that was dry. This is calculated as the number of dry thalweg measurements divided by the total number of thalweg measurements collected and expressed as a percentage. (units: %, min: 0, max: 100, n= variable depending on reach length (100-300))</t>
  </si>
  <si>
    <t>PCT_DRS</t>
  </si>
  <si>
    <t>Percent of Reach dry or submerged flow</t>
  </si>
  <si>
    <t>Not sure the difference between BCT_DRS and PCT_DR</t>
  </si>
  <si>
    <t xml:space="preserve">Beaver Sign at Reach  </t>
  </si>
  <si>
    <t>Beaver</t>
  </si>
  <si>
    <t>beaver_impacted</t>
  </si>
  <si>
    <t>BeaverSign</t>
  </si>
  <si>
    <t>Qualitative visual assessment of frequency of beaver signs (e.g. chewed logs) within the reach (ABSENT, RARE, COMMON)</t>
  </si>
  <si>
    <t>ABSENT</t>
  </si>
  <si>
    <t>COMMON</t>
  </si>
  <si>
    <t xml:space="preserve">Stream Order </t>
  </si>
  <si>
    <t>StreamOrder</t>
  </si>
  <si>
    <t>Strahler stream order of the site</t>
  </si>
  <si>
    <t>STRAHLERORDER</t>
  </si>
  <si>
    <t>Strahler stream order from RF3 stream data</t>
  </si>
  <si>
    <t>PCT_DR</t>
  </si>
  <si>
    <t>Percent of Reach that is Dry</t>
  </si>
  <si>
    <t>Constraining features</t>
  </si>
  <si>
    <t>CONFEATURES</t>
  </si>
  <si>
    <t>Channel pattern</t>
  </si>
  <si>
    <t>CONPATTERN</t>
  </si>
  <si>
    <t>Percent of channel length in contact with constraining features</t>
  </si>
  <si>
    <t>CONPERCENT</t>
  </si>
  <si>
    <t>Channel Constraint Type</t>
  </si>
  <si>
    <t>CONSTRAINT</t>
  </si>
  <si>
    <t>Channel constraint type</t>
  </si>
  <si>
    <t xml:space="preserve">Estimated Valley Width </t>
  </si>
  <si>
    <t>CONVALLEY</t>
  </si>
  <si>
    <t>Valley width, estimated</t>
  </si>
  <si>
    <t>Valley Boarders not Seen</t>
  </si>
  <si>
    <t>CONVALLEYBOX</t>
  </si>
  <si>
    <t>Valley boarders not seen</t>
  </si>
  <si>
    <t xml:space="preserve">Percent of Reach Ability to See Over Bank </t>
  </si>
  <si>
    <t>PCT_OVRB</t>
  </si>
  <si>
    <t>Ability to see over bank (% reach)</t>
  </si>
  <si>
    <t xml:space="preserve">Distance (m) from shoreline to vegetation </t>
  </si>
  <si>
    <t>XSHOR2VG</t>
  </si>
  <si>
    <t>Distance (m) from shoreline to vegetation Boatable only</t>
  </si>
  <si>
    <t>Percent of Reach that is Falls</t>
  </si>
  <si>
    <t>PCT_FA</t>
  </si>
  <si>
    <t>Falls (% of reach)</t>
  </si>
  <si>
    <t>Percent Fast Water Habitat</t>
  </si>
  <si>
    <t>PCT_FAST</t>
  </si>
  <si>
    <t>Glide (% of reach)</t>
  </si>
  <si>
    <t>PCT_GL</t>
  </si>
  <si>
    <t>Percent of reach with Pool or Glide Habitat</t>
  </si>
  <si>
    <t>PCT_SLOW</t>
  </si>
  <si>
    <t>Percent of reach with Pool or Glide Habitat.</t>
  </si>
  <si>
    <t>Floodplain Connectivity</t>
  </si>
  <si>
    <t>FloodplainConnectivity</t>
  </si>
  <si>
    <t>Logarithm of the difference between average bankfull height and average floodplain height= log(FloodplainHeight - BankHeight + 0.1) (units: none, min: -1, max: 2, n=11)</t>
  </si>
  <si>
    <t>Instream Habitat Complexity</t>
  </si>
  <si>
    <t>InstreamHabitatComplexity</t>
  </si>
  <si>
    <t>Aggregate measure of average cover provided by boulders, overhanging vegetation, live trees and roots, LWD, small woody debris, and stream banks for stream fishes measured at 11 plots. Proportional cover was binned into four classes (0.875, 0.575, 0.25, and 0.5), averaged across transects, and then summed across six types of cover. (units: none, min: 0, max: 2.3, n= 66)</t>
  </si>
  <si>
    <t>Flood Prone Width</t>
  </si>
  <si>
    <t>FloodWidth</t>
  </si>
  <si>
    <t>Average flood prone width as defined as valley width at 2 times bankfull height. The larger the value the larger the floodplain is. (units: m, n= 2)</t>
  </si>
  <si>
    <t>only available for sites collected in 2016 and on</t>
  </si>
  <si>
    <t xml:space="preserve">Percent of the Reach With a Side Channel or Backwater </t>
  </si>
  <si>
    <t>PCT_SIDE</t>
  </si>
  <si>
    <t>Percent of reach with side Channels/Bkwtrs</t>
  </si>
  <si>
    <t xml:space="preserve">Percent </t>
  </si>
  <si>
    <t xml:space="preserve">Entrench Ratio </t>
  </si>
  <si>
    <t>Entrench</t>
  </si>
  <si>
    <t>Entrenchment ratio = average floodprone width divided by average bankfull width. Ratios of 1-1.4 represent entrenched streams; 1.41-2.2 represent moderately entrenched streams; and ratios greater than 2.2 indicate rivers only slightly entrenched in a well-developed floodplain (Rosgen 1996). This entrenchment value can then be used with other ancillary site data such as slope and incision to determine stream type (Rosgen 1996) and the potential of the system for floodplain formation. (units: none, min: 1, max: 3, n= 1)</t>
  </si>
  <si>
    <t xml:space="preserve">Beaver Flow Modification </t>
  </si>
  <si>
    <t>BeaverFlowMod</t>
  </si>
  <si>
    <t>Qualitative visual assessment of extent of beaver flow modifications within the reach (NONE, MINOR, MAJOR)</t>
  </si>
  <si>
    <t>NONE</t>
  </si>
  <si>
    <t>MAJOR</t>
  </si>
  <si>
    <t>Water Withdrawal (Y/N)</t>
  </si>
  <si>
    <t>WaterWithdrawal</t>
  </si>
  <si>
    <t>Presence or absence of water withdrawals</t>
  </si>
  <si>
    <t>PRESENT</t>
  </si>
  <si>
    <t xml:space="preserve">Stream Order Category </t>
  </si>
  <si>
    <t>StreamSizeOrder</t>
  </si>
  <si>
    <t>Stream size category as defined in the design by grouping Strahler stream orders together. Generally, SS- Small Streams (Stream Order:1-2) , LS-Large Streams (Stream Order:3-4), RV-Rivers (Stream Order &gt;5), RM-River Major (only streams designated as major rivers).</t>
  </si>
  <si>
    <t>Stream Size Category</t>
  </si>
  <si>
    <t>StreamSizeBankfull</t>
  </si>
  <si>
    <t>Stream size category as defined by bankfull width and protocol. SmallWadeable: wadeable streams &lt;10 m bankfull width, LargeWadeable: wadeable stream &gt;10 m bankfull width, Boatable: All boatable streams regardless of bankfull width.</t>
  </si>
  <si>
    <t>Streambanks</t>
  </si>
  <si>
    <t>Bank angle</t>
  </si>
  <si>
    <t>BankAngle</t>
  </si>
  <si>
    <t>Measured angle of the stream bank; banks with obtuse angles = &gt;90° and undercut banks with acute angles = &lt;90° (units: degrees, min: 0, max: 180, n= 22)</t>
  </si>
  <si>
    <t>degrees</t>
  </si>
  <si>
    <t>XBKA</t>
  </si>
  <si>
    <t>BANK MORPHOLOGY</t>
  </si>
  <si>
    <t>Bank Angle--mean (degrees)</t>
  </si>
  <si>
    <t>Average of all bank angle measurements. Bank angles &lt;45 degrees are summarized as 45 degrees.</t>
  </si>
  <si>
    <t>Percent stable banks</t>
  </si>
  <si>
    <t xml:space="preserve">PctStab </t>
  </si>
  <si>
    <t>BankStability</t>
  </si>
  <si>
    <t>Percent of 42 banks lacking visible signs of active erosion (e.g., slump, slough, fracture) (units: %, min: 0, max: 100, n= 42)</t>
  </si>
  <si>
    <t>Stab</t>
  </si>
  <si>
    <t>The number of covered stable, uncovered stable, and false bank measurements divided by the total number of measurements. The result is multiplied by 100 to express the value as a percent.</t>
  </si>
  <si>
    <t xml:space="preserve">Median Bank Angle </t>
  </si>
  <si>
    <t>MEDBK_A</t>
  </si>
  <si>
    <t>Bank Angle--Median (degrees)</t>
  </si>
  <si>
    <t xml:space="preserve">Median Undercut Distance </t>
  </si>
  <si>
    <t>MEDBKUN</t>
  </si>
  <si>
    <t>Undercut Distance--Median (m)</t>
  </si>
  <si>
    <t xml:space="preserve">m </t>
  </si>
  <si>
    <t xml:space="preserve">Mean Undercut Distance </t>
  </si>
  <si>
    <t>XUN</t>
  </si>
  <si>
    <t>Undercut Distance--Mean (m)</t>
  </si>
  <si>
    <t xml:space="preserve">Mode of bank slope category </t>
  </si>
  <si>
    <t>BANGMODE</t>
  </si>
  <si>
    <t>Mode of bank slope category (Zar 1984)</t>
  </si>
  <si>
    <t>Percent of bank angles &lt; 90o</t>
  </si>
  <si>
    <t>UnCutPct</t>
  </si>
  <si>
    <t>Number of transect locations with bank angles &lt;90 degrees divided by the total number of transect bank measurements. The result is multiplied by 100 to express the value as a percent.</t>
  </si>
  <si>
    <t xml:space="preserve">Bank Cover </t>
  </si>
  <si>
    <t>BankCover</t>
  </si>
  <si>
    <t>Percent of 42 erosional banks with greater than 50% cover provided by perennial vegetation, wood or mineral substrate &gt; 15 cm (units: %, min: 0, max: 100, n= 42)</t>
  </si>
  <si>
    <t xml:space="preserve">Bank Cover Stability </t>
  </si>
  <si>
    <t>BnkCover_Stab</t>
  </si>
  <si>
    <t>Percent of 42 banks both stable (lacking visible signs of active erosions (e.g., slump, slough, fracture)) and covered (greater than 50% cover provided by perennial vegetation, wood or mineral substrate &gt; 15 cm) (units: %, min: 0, max: 100, n= 42)</t>
  </si>
  <si>
    <t xml:space="preserve">Bank Cover Bedrock </t>
  </si>
  <si>
    <t>BnkCoverBedrock</t>
  </si>
  <si>
    <t>Average bank cover composed of bedrock (units: %, min: 0, max: 100, n= 42)</t>
  </si>
  <si>
    <t xml:space="preserve">Bank Cover Cobble </t>
  </si>
  <si>
    <t>BnkCoverCobble</t>
  </si>
  <si>
    <t>Average bank cover composed of cobble &gt; 15 cm (units: %, min: 0, max: 100, n= 42)</t>
  </si>
  <si>
    <t xml:space="preserve">Bank Cover Large Wood Debris </t>
  </si>
  <si>
    <t>BnkCoverLWD</t>
  </si>
  <si>
    <t>Average bank cover composed of LWD (units: %, min: 0, max: 100, n= 42)</t>
  </si>
  <si>
    <t>BnkCoverVeg</t>
  </si>
  <si>
    <t>Average bank cover composed of vegetation (units: %, min: 0, max: 100, n= 42)</t>
  </si>
  <si>
    <t>Substrate</t>
  </si>
  <si>
    <t>Diameter of the 50th percentile streambed particle</t>
  </si>
  <si>
    <t>D50</t>
  </si>
  <si>
    <t>Particle size corresponding to the 50th percentile of measured particles (units: mm, min: 1, max: 4098, n=210)</t>
  </si>
  <si>
    <t>mm</t>
  </si>
  <si>
    <t>Diameter of the 16th, 50th, 84th percentile particles. Typically more than 100 particles measured per reach. Bedrock and bank particles are measured but later excluded from the calculation. Sampling methods have changed. Presently, five particles are collected along each transect (2004-present). From 1998 - Present, measured particles were gathered within riffle habitat.</t>
  </si>
  <si>
    <t>Percent pool tail fines &lt; 2mm</t>
  </si>
  <si>
    <t>PoolTailFines</t>
  </si>
  <si>
    <t>pcnt_pool_fines</t>
  </si>
  <si>
    <t>Average percent fine sediment (&lt; 2mm) on the pool tail (units %, min: 0, max: 100, n= 3 per pool)</t>
  </si>
  <si>
    <t>supplemental indicator, only available for sites collected in 2016 and on</t>
  </si>
  <si>
    <t>Quantified using a 0.36m x 0.36m grid with 50 intersections. The grid is placed at 3 locations along each pool tail. The percentage of particles &lt;2mm and &lt;6mm is calculated for each grid, averaged for each pool, then averaged for all pools within the reach.</t>
  </si>
  <si>
    <t>Percent of streambed particles &lt;2mm</t>
  </si>
  <si>
    <t>PctFines2</t>
  </si>
  <si>
    <t>pcnt_fines_tran2</t>
  </si>
  <si>
    <t>PctFines</t>
  </si>
  <si>
    <t>Percent of 210 particles with a b-axis &lt; 2 mm (units: %, min: 0, max: 100, n=210)</t>
  </si>
  <si>
    <t>particles collected in 2013 were collected only within the wetted channel</t>
  </si>
  <si>
    <t>PCT_SAFN</t>
  </si>
  <si>
    <t>SUBSTRATE CHARACTERIZATION</t>
  </si>
  <si>
    <t>Bed Surface Percent Sand or smaller (&lt;2.0mm)</t>
  </si>
  <si>
    <t>Percent of streambed particles &lt;6mm</t>
  </si>
  <si>
    <t>PctFines6</t>
  </si>
  <si>
    <t>pcnt_fines_tran6</t>
  </si>
  <si>
    <t>Percent of 210 particles with a b-axis &lt; 6 mm (units: %, min: 0, max: 100, n=210)</t>
  </si>
  <si>
    <t>PCT_FN</t>
  </si>
  <si>
    <t>Bed Surface % Fines &lt;0.06mm</t>
  </si>
  <si>
    <t>Diameter of the 16th percentile streambed particle</t>
  </si>
  <si>
    <t>D16</t>
  </si>
  <si>
    <t>Particle size corresponding to the 16th percentile of measured particles (units: mm, min: 1, max: 4098, n=210)</t>
  </si>
  <si>
    <t>Diameter of the 84th percentile streambed particle</t>
  </si>
  <si>
    <t>D84</t>
  </si>
  <si>
    <t>Particle size corresponding to the 84th percentile of measured particles (units: mm, min: 1, max: 4098, n=210)</t>
  </si>
  <si>
    <t>Percent pool tail fines &lt; 6mm</t>
  </si>
  <si>
    <t>PoolTailFines6</t>
  </si>
  <si>
    <t>Average percent fine sediment (&lt; 6mm) on the pool tail (units %, min: 0, max: 100, n=3 per pool)</t>
  </si>
  <si>
    <t xml:space="preserve">Diameter of the 50th percentile streambed particle with Bedrock removed </t>
  </si>
  <si>
    <t>D50nobed</t>
  </si>
  <si>
    <t>Streambed Critical Diameter-at Bankfull (Log 10)</t>
  </si>
  <si>
    <t>LDCBF_G08</t>
  </si>
  <si>
    <t>Log10(Streambed Critical Diameter-at Bankfull -- mm)(PRK 2008)</t>
  </si>
  <si>
    <t xml:space="preserve">Log 10 mm </t>
  </si>
  <si>
    <t xml:space="preserve">Dgm--Geometric Mean Bed Surface Particle Diameter (Log 10) </t>
  </si>
  <si>
    <t>LSUB_DMM</t>
  </si>
  <si>
    <t>Log10(Dgm--Geometric Mean Bed Surface Particle Diameter--mm))</t>
  </si>
  <si>
    <t>Log10(Dgm--Geom.Mean Bed Surf.Part Diam,exclud Bdrk+hardpan--mm)</t>
  </si>
  <si>
    <t>LSUB_DMM_NOR</t>
  </si>
  <si>
    <t>LSUBD_SD</t>
  </si>
  <si>
    <t>Thalweg sub.-StDev LOG10(Diam Class mm)</t>
  </si>
  <si>
    <t>Substrate-StDev LOG10(Diam Class mm)</t>
  </si>
  <si>
    <t>Percent Bed Surface Bedrock</t>
  </si>
  <si>
    <t>PctBdrk</t>
  </si>
  <si>
    <t>bedrock_pcnt</t>
  </si>
  <si>
    <t>PCT_BDRK</t>
  </si>
  <si>
    <t>Bed Surface % Bedrock</t>
  </si>
  <si>
    <t>Percent Bed Surface Bedrock and Hardpan</t>
  </si>
  <si>
    <t>PCT_BH</t>
  </si>
  <si>
    <t>Bed Surface Percent Bedrock + Hardpan</t>
  </si>
  <si>
    <t>Bed Surface Percent Larger than Gravel (64mm)</t>
  </si>
  <si>
    <t>PCT_BIGR</t>
  </si>
  <si>
    <t xml:space="preserve">Percent Substrate Coarse Gravel -- 16-64 mm </t>
  </si>
  <si>
    <t>PCT_GC</t>
  </si>
  <si>
    <t>Substrate Coarse Gravel -- 16-64 mm (Percent)</t>
  </si>
  <si>
    <t xml:space="preserve">Percent Substrate Fine Gravel -- 2-16 mm </t>
  </si>
  <si>
    <t>PCT_GF</t>
  </si>
  <si>
    <t>Substrate Fine Gravel -- 2-16 mm (%)</t>
  </si>
  <si>
    <t xml:space="preserve">Percent Thalweg substrate Gravel -- 16-64 mm </t>
  </si>
  <si>
    <t>PCT_GR</t>
  </si>
  <si>
    <t>Thalweg substrate Gravel -- 16-64 mm (Percent)</t>
  </si>
  <si>
    <t>Bed Surface Percent Hardpan</t>
  </si>
  <si>
    <t>PCT_HP</t>
  </si>
  <si>
    <t xml:space="preserve">Percent Substrate Organic detritus </t>
  </si>
  <si>
    <t>PCT_OM</t>
  </si>
  <si>
    <t>Substrate Organic detritus -- (Percent)</t>
  </si>
  <si>
    <t xml:space="preserve">Percent Substrate Wood or Detritus </t>
  </si>
  <si>
    <t>PCT_ORG</t>
  </si>
  <si>
    <t>Substrate Wood or Detritus -- (Percent)</t>
  </si>
  <si>
    <t>Thalweg substrate Miscellaneous -- (Percent)</t>
  </si>
  <si>
    <t>PCT_OT</t>
  </si>
  <si>
    <t>Thalweg substrate Miscellaneous -- (%)</t>
  </si>
  <si>
    <t>Substrate Miscellaneous -- (%)</t>
  </si>
  <si>
    <t>Percent Substrate Concrete</t>
  </si>
  <si>
    <t>PCT_RC</t>
  </si>
  <si>
    <t>Substrate Concrete (%)</t>
  </si>
  <si>
    <t>Percent Thalweg Substrate Sand -- .06-2 mm</t>
  </si>
  <si>
    <t>PCT_SA</t>
  </si>
  <si>
    <t>Thalweg substrate Sand -- .06-2 mm (%)</t>
  </si>
  <si>
    <t>Substrate Sand -- .06-2 mm (%)</t>
  </si>
  <si>
    <t>Bed Surface Fine Gravel or smaller (&lt;16mm)</t>
  </si>
  <si>
    <t>PCT_SFGF</t>
  </si>
  <si>
    <t>Percent Substrate Woody</t>
  </si>
  <si>
    <t>PCT_WD</t>
  </si>
  <si>
    <t>Substrate Woody -- (%)</t>
  </si>
  <si>
    <t>Percent Mean Embeddedness--Channel only</t>
  </si>
  <si>
    <t>XCEMBED</t>
  </si>
  <si>
    <t>SUBSTRATE EMBEDDEDNESS</t>
  </si>
  <si>
    <t>Mean Embeddedness--Channel only (%)</t>
  </si>
  <si>
    <t>Percent Mean streambed embeddedness</t>
  </si>
  <si>
    <t>XEMBED</t>
  </si>
  <si>
    <t>Mean streambed embeddedness (%)</t>
  </si>
  <si>
    <t>Geometric Mean Particle Diameter</t>
  </si>
  <si>
    <t>GeometricMeanParticleDiam</t>
  </si>
  <si>
    <t>Geometric mean bed particle diameter= exponential function[mean(log(particle diameter)]. This is a less frequently used metric of characterizing central tendency of substrate sizes, but is the main metric used by the EPA for determining relative bed stability. It is less variable than a D50 and more biologically meaningful because it is more influenced by fine sediment. (units: mm, min: 1, max: 4098, n=210)</t>
  </si>
  <si>
    <t>PCT_SFG</t>
  </si>
  <si>
    <t>Bed surface coarse gravel or smaller (&lt;64mm) (PCT_SA + PCT_FN + PCT_GR)</t>
  </si>
  <si>
    <t>Bed surface coarse gravel or smaller (&lt;64mm) (PCT_SFGF + PCT_GC)</t>
  </si>
  <si>
    <t>BED STABILITY</t>
  </si>
  <si>
    <t>Hydraulic Resistance due to Bed Particles at Bankfull</t>
  </si>
  <si>
    <t>CP3_MILL</t>
  </si>
  <si>
    <t>Hydraulic resistance due to bed particles at bankfull</t>
  </si>
  <si>
    <t>Ratio of particle to total hydraulic resistances at bankfull</t>
  </si>
  <si>
    <t>CP3CTRPWD_RAT</t>
  </si>
  <si>
    <t>Ratio of particle to total hydraulic resistances at bankfull, not allowed to exceed 1</t>
  </si>
  <si>
    <t>CT_RPWD</t>
  </si>
  <si>
    <t>Hydraulic resistance, total at bankfull</t>
  </si>
  <si>
    <t xml:space="preserve">Streambed Critical Diameter-at Bankfull  </t>
  </si>
  <si>
    <t>LDMB_BW5</t>
  </si>
  <si>
    <t>Log10(Streambed Critical Diameter-at Bankfull - mm) (PRK 1999)</t>
  </si>
  <si>
    <t xml:space="preserve">Log10 (mm) </t>
  </si>
  <si>
    <t xml:space="preserve">Relative Bed Stability (Log10) </t>
  </si>
  <si>
    <t>LRBS_BW5</t>
  </si>
  <si>
    <t>Log10(Relative Bed Stability (Dgm/Dcb) (PRK 1999)</t>
  </si>
  <si>
    <t>?</t>
  </si>
  <si>
    <t>Log10[Erod. sub. dia.]- Est. 2 split BL</t>
  </si>
  <si>
    <t>LRBS_BW6</t>
  </si>
  <si>
    <t>Log10(Relative Bed Stability (Dgm/Dcb) (PRK 2008)</t>
  </si>
  <si>
    <t>LRBS_G08</t>
  </si>
  <si>
    <t>Log10[Relative Bed Stability] - Fast est</t>
  </si>
  <si>
    <t>LRBS_TST</t>
  </si>
  <si>
    <t>Log10[Erodible Substr Dia.(mm)]-Fast est</t>
  </si>
  <si>
    <t>LTEST</t>
  </si>
  <si>
    <t>Log10[Erod. Substr Dia.(mm)]-Fast est</t>
  </si>
  <si>
    <t>Hydraulic Radius of Channel at Bankfull</t>
  </si>
  <si>
    <t>RB3</t>
  </si>
  <si>
    <t>Hydraulic radius of channel at bankfull</t>
  </si>
  <si>
    <t>Particle Reynolds Number at Bankful</t>
  </si>
  <si>
    <t>REYP3</t>
  </si>
  <si>
    <t>Particle Reynolds number at bankfull</t>
  </si>
  <si>
    <t>Particle Reynolds number at ban full</t>
  </si>
  <si>
    <t xml:space="preserve">Effective Hydraulic Radius at Bankfull </t>
  </si>
  <si>
    <t>RRPW3</t>
  </si>
  <si>
    <t>Effective Hydraulic Radius at Bankfull (Adjusted for wood and pool roughnesses)</t>
  </si>
  <si>
    <t>Shields parameter at Bankful</t>
  </si>
  <si>
    <t>SHLD_PX3</t>
  </si>
  <si>
    <t>Shields parameter at bankfull</t>
  </si>
  <si>
    <t>Wood</t>
  </si>
  <si>
    <t>Large wood frequency</t>
  </si>
  <si>
    <t>LWD_Freq</t>
  </si>
  <si>
    <t>Frequency of large woody debris within the bankfull channel of the reach (units: # pieces/ 100 m, n= 1)</t>
  </si>
  <si>
    <t># pieces/100 m</t>
  </si>
  <si>
    <t>C1WM100</t>
  </si>
  <si>
    <t>LARGE WOODY DEBRIS</t>
  </si>
  <si>
    <t>Woody Debris pieces/100m</t>
  </si>
  <si>
    <t>#/100m</t>
  </si>
  <si>
    <t>Number of category 1 large wood pieces measured within the reach and then standardized to per kilometer. Category 1 criteria: length ≥1m, diameter ≥0.1m, some portion must be within the bankfull channel and below the bankfull elevation.</t>
  </si>
  <si>
    <t>pieces / km</t>
  </si>
  <si>
    <t>Large wood volume</t>
  </si>
  <si>
    <t>LWD_Vol</t>
  </si>
  <si>
    <t>Volume of LWD within the bankfull channel of the reach (units: m^3/100 m, n=1)</t>
  </si>
  <si>
    <t>m^3/100 m</t>
  </si>
  <si>
    <t>V1WM100</t>
  </si>
  <si>
    <t>Bankful channel woody debris (m3/100m)</t>
  </si>
  <si>
    <t xml:space="preserve">m3/100m </t>
  </si>
  <si>
    <t>LWVol</t>
  </si>
  <si>
    <t>Volume of category 1 large wood pieces measured within the reach and then standardized to per kilometer. Category 1 criteria: length ≥1m, diameter ≥0.1m, some portion must be within the bankfull channel and below the bankfull elevation.</t>
  </si>
  <si>
    <t>m3 / km</t>
  </si>
  <si>
    <t xml:space="preserve">Large Wood above Bankfull Channel </t>
  </si>
  <si>
    <t>C1TM100</t>
  </si>
  <si>
    <t>LWD in/above wet chan(#/100m-all sizes)</t>
  </si>
  <si>
    <t>LWD in/above Bkfl chan(#/100m-all sizes)</t>
  </si>
  <si>
    <t xml:space="preserve">Large Wood in and Above the Wetted Channel </t>
  </si>
  <si>
    <t>C2TM100</t>
  </si>
  <si>
    <t>LWD in/above wetted chan(#/100m-SMLX)</t>
  </si>
  <si>
    <t>LWD in/above Bkfl chan (#/100m-SMLX)</t>
  </si>
  <si>
    <t xml:space="preserve">Large Wood in the Wetted Channel </t>
  </si>
  <si>
    <t>C2WM100</t>
  </si>
  <si>
    <t>LWD in wetted chnl (#/100m-SMLX)</t>
  </si>
  <si>
    <t>LWD in Bkf chnl (#/100m-SMLX)</t>
  </si>
  <si>
    <t xml:space="preserve">Large Wood in/above Wetted Channel </t>
  </si>
  <si>
    <t>C4TM100</t>
  </si>
  <si>
    <t>LWD in/above wetted chan (#/100m-LX)</t>
  </si>
  <si>
    <t>LWD in/above Bkfl chan (#/100m-LX)</t>
  </si>
  <si>
    <t>Large Wood in Wetted Channel</t>
  </si>
  <si>
    <t>C4WM100</t>
  </si>
  <si>
    <t>LWD in wetted chnl (#/100m-LX)</t>
  </si>
  <si>
    <t>LWD in Bkf chnl (#/100m-LX)</t>
  </si>
  <si>
    <t>Bankful Channel woody debris (m3/m2)</t>
  </si>
  <si>
    <t>V1W_MSQ</t>
  </si>
  <si>
    <t>m3/m2</t>
  </si>
  <si>
    <t>LWD vol in Bkf chnl&amp; dry (m3/m2-SMLX)</t>
  </si>
  <si>
    <t>V2W_MSQ</t>
  </si>
  <si>
    <t>LWD Vol in Bkf chnl (m3/m2-SMLX)</t>
  </si>
  <si>
    <t>LWD vol in Bkf chnl&amp; dry (m3/100m-SMLX)</t>
  </si>
  <si>
    <t>V2WM100</t>
  </si>
  <si>
    <t>LWD Vol in Bkf chnl (m3/100m-SMLX)</t>
  </si>
  <si>
    <t>V4W_MSQ</t>
  </si>
  <si>
    <t>LWD vol in Bkf chnl &amp; dry (m3/m2-LX)</t>
  </si>
  <si>
    <t>LWD Vol in Bkf chnl (m3/m2-LX)</t>
  </si>
  <si>
    <t>LWD vol in Bkf chnl &amp; dry (m3/100m-LX)</t>
  </si>
  <si>
    <t>V4WM100</t>
  </si>
  <si>
    <t>LWD Vol in Bkf chnl (m3/100m-LX)</t>
  </si>
  <si>
    <t>Wood Vol (m3/m2 in area fished in littoral)</t>
  </si>
  <si>
    <t>LWDEQVOL_MSQ</t>
  </si>
  <si>
    <t>Wood Vol (m3/m2 in area fished in reach)</t>
  </si>
  <si>
    <t xml:space="preserve">Large Wood Volumen in the Channel </t>
  </si>
  <si>
    <t>LWDEQVOLM100</t>
  </si>
  <si>
    <t>Wood Vol (m3) per 100m channel</t>
  </si>
  <si>
    <t xml:space="preserve">m3 per 100m </t>
  </si>
  <si>
    <t>FISH COVER</t>
  </si>
  <si>
    <t>Filamentous algae Mean areal cover</t>
  </si>
  <si>
    <t>XFC_ALG</t>
  </si>
  <si>
    <t>Fish Cover -All Types (Sum Areal Prop)</t>
  </si>
  <si>
    <t>XFC_ALL</t>
  </si>
  <si>
    <t>Lit. cover-sum(all) (Areal Prop)</t>
  </si>
  <si>
    <t>Fish Cvr-All Types (Sum Areal Prop)</t>
  </si>
  <si>
    <t>Aquatic macrophyte mean areal cover</t>
  </si>
  <si>
    <t>XFC_AQM</t>
  </si>
  <si>
    <t>Fish Cover -LWDRCKUCBorHUM(Sum Area Prop)</t>
  </si>
  <si>
    <t>XFC_BIG</t>
  </si>
  <si>
    <t>Lit. cvr-sum(LWDRCKUCBHUM Area Prop)</t>
  </si>
  <si>
    <t>Fish Cvr-LWDRCKUCBorHUM(Sum Area Prop)</t>
  </si>
  <si>
    <t xml:space="preserve">Need a better name </t>
  </si>
  <si>
    <t>Fish Cvr-Brush&amp;Small Debris (Areal Prop)</t>
  </si>
  <si>
    <t>XFC_BRS</t>
  </si>
  <si>
    <t>Lit. cvr-brush&amp;small debris (Areal Prop)</t>
  </si>
  <si>
    <t xml:space="preserve">Fish Cover-Artificial Structures </t>
  </si>
  <si>
    <t>XFC_HUM</t>
  </si>
  <si>
    <t>Lit. cover-artif. structs. (Areal Prop)</t>
  </si>
  <si>
    <t>Fish Cvr-Artif. Structs. (Areal Prop)</t>
  </si>
  <si>
    <t>XFC_LVT</t>
  </si>
  <si>
    <t>Large woody debris areal cover</t>
  </si>
  <si>
    <t>XFC_LWD</t>
  </si>
  <si>
    <t>Sum of Non-Anthropogenic Fish Areal Cover Types</t>
  </si>
  <si>
    <t>XFC_NAT</t>
  </si>
  <si>
    <t>Sum of non-anthropogenic fish areal cover types</t>
  </si>
  <si>
    <t>Fish Cover -Overhang Veg (Areal Prop)</t>
  </si>
  <si>
    <t>XFC_OHV</t>
  </si>
  <si>
    <t>Lit. cover-overhang veg (Areal Prop)</t>
  </si>
  <si>
    <t>Fish Cvr-Overhang Veg (Areal Prop)</t>
  </si>
  <si>
    <t xml:space="preserve">Fish Cover-Boulders </t>
  </si>
  <si>
    <t>XFC_RCK</t>
  </si>
  <si>
    <t>Littoral fish cvr-boulders (Areal Prop)</t>
  </si>
  <si>
    <t>Fish Cvr-Boulders (Areal Prop)</t>
  </si>
  <si>
    <t xml:space="preserve">Fish Cover - Undercut Banks </t>
  </si>
  <si>
    <t>XFC_UCB</t>
  </si>
  <si>
    <t>Lit. cover-undercut banks (Areal Prop)</t>
  </si>
  <si>
    <t>Fish Cvr-Undercut Banks (Areal Prop)</t>
  </si>
  <si>
    <t>Water chemistry</t>
  </si>
  <si>
    <t>InstantTemp</t>
  </si>
  <si>
    <t>air_temp</t>
  </si>
  <si>
    <t>Instantaneous water temperature measurement (units: degrees C, n=1)</t>
  </si>
  <si>
    <t>oC</t>
  </si>
  <si>
    <t>Index Value</t>
  </si>
  <si>
    <t>Index of physical habitat integrity</t>
  </si>
  <si>
    <t>HabIndex</t>
  </si>
  <si>
    <t>Numeric score 0 (worst) - 100 (best) that ranks the habitat integrity of a reach. Index score calculated by summing values of 6 metrics (residual pool depth, % pools, D50, % pool tail fines &lt;6mm, large wood frequency, average bank angle) and scaling 0 - 100. Index was developed using data from reference reaches as a basis of comparison to managed sites. There is some uncertainty about scores denoted with *, because they have landscape information outside of the range used to develop the index.</t>
  </si>
  <si>
    <t>Number: 0-100</t>
  </si>
  <si>
    <t>Conductivity</t>
  </si>
  <si>
    <t>Cond</t>
  </si>
  <si>
    <t>Measure of the concentration of ionized materials in water, or the ability of water to conduct electrical current. Used as a measure of mineral / ionic concentration.</t>
  </si>
  <si>
    <t>Parts per million</t>
  </si>
  <si>
    <t>Total Nitrogen</t>
  </si>
  <si>
    <t>TotalNitrogen</t>
  </si>
  <si>
    <t>Measured total nitrogen value (units: µg/L, n=1)</t>
  </si>
  <si>
    <t>µg/L</t>
  </si>
  <si>
    <t>Perdectied Total Nitrogen</t>
  </si>
  <si>
    <t>PRD_TotalNitrogen</t>
  </si>
  <si>
    <t>Site specific predicted values for reference nitrogen concentrations (Olson and Hawkins 2013) (units: µg/L)</t>
  </si>
  <si>
    <t>Total Phosphorous</t>
  </si>
  <si>
    <t>TotalPhosphorous</t>
  </si>
  <si>
    <t>Measured total phosphorous value (units: µg/L, n=1)</t>
  </si>
  <si>
    <t>Predicted Total Phosphorous</t>
  </si>
  <si>
    <t>PRD_TotalPhosphorous</t>
  </si>
  <si>
    <t>Site specific predicted values for reference phosphorus concentrations (Olson and Hawkins 2013) (units: µg/L)</t>
  </si>
  <si>
    <t>Specific Conductance</t>
  </si>
  <si>
    <t>SpecificConductance</t>
  </si>
  <si>
    <t>Measured specific conductance value. The specific conductance is conductivity standardized to 25 degrees C. (units: µS/cm, min: 0, max: 65500, n=1)</t>
  </si>
  <si>
    <t>µS/cm</t>
  </si>
  <si>
    <t>Predicted Specific Conductance</t>
  </si>
  <si>
    <t>PRD_SpecificConductance</t>
  </si>
  <si>
    <t>Site specific predicted values for reference specific conductance values (Olson and Hawkins 2012) (units: µS/cm, min: 0, max: 65500)</t>
  </si>
  <si>
    <t>pH</t>
  </si>
  <si>
    <t>Measured pH value (units: SU, min: 0, max: 14, n=1)</t>
  </si>
  <si>
    <t>Increase or decrease</t>
  </si>
  <si>
    <t>SU</t>
  </si>
  <si>
    <t xml:space="preserve">Time Air Temperature Was Collected </t>
  </si>
  <si>
    <t>air_temp_time</t>
  </si>
  <si>
    <t>Turbidity</t>
  </si>
  <si>
    <t>Average water clarity as measured by the suspended solids in the water column (units: NTU, n=3)</t>
  </si>
  <si>
    <t>NTU</t>
  </si>
  <si>
    <t>Macroinvertebrates</t>
  </si>
  <si>
    <t>Observed macroinvertebrate richness</t>
  </si>
  <si>
    <t>Observed</t>
  </si>
  <si>
    <t>observed</t>
  </si>
  <si>
    <t>ObservedInvertRichness</t>
  </si>
  <si>
    <t>Observed macroinvertebrate richness standardized to model specific operational taxonomic units (OTU) (units: # of taxa)</t>
  </si>
  <si>
    <t># of taxa</t>
  </si>
  <si>
    <t xml:space="preserve">Expected macroinvertebrate richness </t>
  </si>
  <si>
    <t>Expected</t>
  </si>
  <si>
    <t>expected</t>
  </si>
  <si>
    <t>ExpectedInvertRichness</t>
  </si>
  <si>
    <t>Expected macroinvertebrate richness in the absence of anthropogenic impacts from the O/E model (units: # of taxa)</t>
  </si>
  <si>
    <t>Generally &gt; 15</t>
  </si>
  <si>
    <t xml:space="preserve">O/E Macroinvertebrate Index </t>
  </si>
  <si>
    <t xml:space="preserve">OEratio </t>
  </si>
  <si>
    <t>OEratio</t>
  </si>
  <si>
    <t>OE_Macroinvertebrate</t>
  </si>
  <si>
    <t>Biological condition was assessed using an observed/expected (O/E) index. O/E models compare the macroinvertebrate taxa observed at sites of unknown biological condition (i.e., ‘test sites’) to the assemblages expected to be found in the absence of anthropogenic stressors (see Hawkins et al. 2000 for details). The specific model used can be found in the OE_MMI_ModelUsed column and the model specific metadata can be found at www.usu.edu/buglab/. (units: none, min: 0, max: 1.5)</t>
  </si>
  <si>
    <t>~1.5</t>
  </si>
  <si>
    <t xml:space="preserve">Presence of Invasive Macroinvertebrates </t>
  </si>
  <si>
    <t>InvasiveInvertSp</t>
  </si>
  <si>
    <t>Presence or absence of invasive macroinvertebrates</t>
  </si>
  <si>
    <t xml:space="preserve">Multimetric Macroinvertebrate Index </t>
  </si>
  <si>
    <t xml:space="preserve">MMI </t>
  </si>
  <si>
    <t>MMI</t>
  </si>
  <si>
    <t>MMI_Macroinvertebrate</t>
  </si>
  <si>
    <t>Biological condition was assessed using the MMI (MultimetricIndex) model specified in the OE_MMI_ModelUsed column.</t>
  </si>
  <si>
    <t>The O/E or MMI model used to determine biological integrity</t>
  </si>
  <si>
    <t>OE_MMI_ModelUsed</t>
  </si>
  <si>
    <t>The O/E or MMI model used to determine biological integrity. NAMC currently has the following models available UT, NV, CA, CO, OR, regional models for areas sampled by AREMP or PIBO programs (Northwest Forest Plan or Columbia River Basin), and a West-wide model. Generally, State based models are used if available, otherwise the West-wide model is used.</t>
  </si>
  <si>
    <t xml:space="preserve">Resample Count </t>
  </si>
  <si>
    <t>resampleCount</t>
  </si>
  <si>
    <t xml:space="preserve">Condition </t>
  </si>
  <si>
    <t>condition</t>
  </si>
  <si>
    <t>Model Applicability</t>
  </si>
  <si>
    <t>ModelApplicability</t>
  </si>
  <si>
    <t>This field indicates whether or not the site's environmental gradients were within the range of experience of the model. A fail indicates the model potentially had to extrapolate, rather than interpolate, to accommodate one or more of the habitat variables. O/E scores and condition ratings should be interpreted cautiously if a site failed the test of experience.</t>
  </si>
  <si>
    <t># of individuals</t>
  </si>
  <si>
    <t>Macroinvertebrate Count</t>
  </si>
  <si>
    <t>MacroinvertebrateCount</t>
  </si>
  <si>
    <t>Number of macroinvertebrates identified and resampled to a standardized fixed count (i.e. rarefaction). Samples with counts less than 200 macroinvertebrates can result from sampling and/or laboratory processing errors, but low counts can also be a signal of degraded biological condition. Additional samples should be taken to verify Major or Moderate departure from reference. (units: # of individuals, min: 0, max: 400)</t>
  </si>
  <si>
    <t>Fail</t>
  </si>
  <si>
    <t>Pass</t>
  </si>
  <si>
    <t>Field Split</t>
  </si>
  <si>
    <t>field_split</t>
  </si>
  <si>
    <t>% sample submitted for processing</t>
  </si>
  <si>
    <t>Lab Split</t>
  </si>
  <si>
    <t>lab_split</t>
  </si>
  <si>
    <t>% of sample processed to obtain 600 random individuals (if present)</t>
  </si>
  <si>
    <t>Split Count</t>
  </si>
  <si>
    <t>split_count</t>
  </si>
  <si>
    <t># of organisms randomly subsampled from [Lab Split] for identification</t>
  </si>
  <si>
    <t>Fixed count</t>
  </si>
  <si>
    <t>fixed_count</t>
  </si>
  <si>
    <t># of computationally resampled organisms</t>
  </si>
  <si>
    <t>Big Rare Count</t>
  </si>
  <si>
    <t>big_rare_count</t>
  </si>
  <si>
    <t># of "big and rare" organisms selected NON-RANDOMLY for identification from the entire submitted sample</t>
  </si>
  <si>
    <t>Taxa richness</t>
  </si>
  <si>
    <t xml:space="preserve">Richness </t>
  </si>
  <si>
    <t>richness</t>
  </si>
  <si>
    <t>Richness</t>
  </si>
  <si>
    <t># of unique taxa, standardized to OTU</t>
  </si>
  <si>
    <t>Rich</t>
  </si>
  <si>
    <t>Total number of unique taxa collected within a reach standardized to observable taxonomic units.</t>
  </si>
  <si>
    <t>Abundance</t>
  </si>
  <si>
    <t>abundance</t>
  </si>
  <si>
    <t>Estimated # number of individuals per unit area (m2) for quantitative samples OR the estimated number per sample for qualitative samples.</t>
  </si>
  <si>
    <t>Shannon's Diversity</t>
  </si>
  <si>
    <t>Shannons_diversity</t>
  </si>
  <si>
    <t>Measure of richness and evenness (based on relative abundance of each species); weighted toward rare species</t>
  </si>
  <si>
    <t>Simpson's Diversity</t>
  </si>
  <si>
    <t>Simpsons_diversity</t>
  </si>
  <si>
    <t>Measure of richness and evenness (based on relative abundance of each species); weighted toward common species</t>
  </si>
  <si>
    <t>Evenness</t>
  </si>
  <si>
    <t>evenness</t>
  </si>
  <si>
    <t>Measure of relative abundance indicative of taxa dominance</t>
  </si>
  <si>
    <t>Number of EPT Taxa</t>
  </si>
  <si>
    <t>EPT_num_tx</t>
  </si>
  <si>
    <t># of EPT Taxa</t>
  </si>
  <si>
    <t>Richness of Ephemeroptera, Plecoptera, and Trichoptera taxa</t>
  </si>
  <si>
    <t>EPT Taxa Abundance</t>
  </si>
  <si>
    <t>EPT_abd_tx</t>
  </si>
  <si>
    <t>Abundance of Ephemeroptera, Plecoptera, and Trichoptera taxa</t>
  </si>
  <si>
    <t>Dominant Family</t>
  </si>
  <si>
    <t>dominant_family</t>
  </si>
  <si>
    <t>Dominant Family abd</t>
  </si>
  <si>
    <t>dominant_family_abd</t>
  </si>
  <si>
    <t>Dominant Taxa</t>
  </si>
  <si>
    <t>dominant_tx</t>
  </si>
  <si>
    <t>Dominant abd Taxa</t>
  </si>
  <si>
    <t>dominant_abd_tx</t>
  </si>
  <si>
    <t>Hilsenhoff Biotic Index</t>
  </si>
  <si>
    <t>Hilsenhoff_biotic_index</t>
  </si>
  <si>
    <t>Number of clinger taxa</t>
  </si>
  <si>
    <t>Cling</t>
  </si>
  <si>
    <t>clinger_num_tx</t>
  </si>
  <si>
    <t># of clinger taxa</t>
  </si>
  <si>
    <t># of taxa with fixed retreats or other strategies for clinging to rocks</t>
  </si>
  <si>
    <t>Number of “clinger” taxa. These taxa have developed stratagies to cling to rocks.</t>
  </si>
  <si>
    <t>Number of long lived taxa</t>
  </si>
  <si>
    <t>LongLvd</t>
  </si>
  <si>
    <t>long_lived_tx</t>
  </si>
  <si>
    <t>"# of" Long-lived Taxa</t>
  </si>
  <si>
    <t># of taxa with 2 to 3 year life cycles</t>
  </si>
  <si>
    <t>Number of “long-lived” taxa. Long-lived taxa typically have 2-3 year life cycles.</t>
  </si>
  <si>
    <t>Intolerant abd Taxz</t>
  </si>
  <si>
    <t>intolerant_abd_tx</t>
  </si>
  <si>
    <t>Tolerant Number Taxa</t>
  </si>
  <si>
    <t>tolerant_num_tx</t>
  </si>
  <si>
    <t xml:space="preserve">Tolerant abd Taxa </t>
  </si>
  <si>
    <t>tolerant_abd_tx</t>
  </si>
  <si>
    <t>Community tolerance quotient</t>
  </si>
  <si>
    <t>CTQd</t>
  </si>
  <si>
    <t>USFS_community_tol_quot</t>
  </si>
  <si>
    <t>This index was developed by Winget and Mangum (1979)1 and has been widely used by the USFS and BLM throughout the western United States. Taxa are assigned a tolerant quotient from 2 to 108. Taxa assigned low tolerance quotients are found only in high quality unpolluted water and taxa assigned large tolerant quotients are found in severely polluted waters. The CTQD is a dominance weighted community tolerance quotient (CTQD).</t>
  </si>
  <si>
    <t>Number of shredder taxa</t>
  </si>
  <si>
    <t>shredder_num_tx</t>
  </si>
  <si>
    <t># of shredder taxa</t>
  </si>
  <si>
    <t># of taxa utilizing living or decomposing vascular plant tissue and CPOM</t>
  </si>
  <si>
    <t>Shredder Abundance</t>
  </si>
  <si>
    <t>shredder_abd</t>
  </si>
  <si>
    <t>Abundance of taxa utilizing vascular plant tissue and CPOM</t>
  </si>
  <si>
    <t>Number of scraper taxa</t>
  </si>
  <si>
    <t>scraper_num_tx</t>
  </si>
  <si>
    <t># of scraper taxa</t>
  </si>
  <si>
    <t># of taxa utilizing periphyton, particularly algae and diatoms</t>
  </si>
  <si>
    <t>Scraper abundance</t>
  </si>
  <si>
    <t>scraper_abd</t>
  </si>
  <si>
    <t>Abundance of taxa utilizing periphyton, particularly algae and diatoms</t>
  </si>
  <si>
    <t>Number of collector-filterer taxa</t>
  </si>
  <si>
    <t>collector_filterer_num_tx</t>
  </si>
  <si>
    <t># of collector-filterer taxa</t>
  </si>
  <si>
    <t># of taxa utilizing FPOM in the water column</t>
  </si>
  <si>
    <t>Collector-filterer abundance</t>
  </si>
  <si>
    <t>collector_filterer_abd</t>
  </si>
  <si>
    <t>Abundance of taxa utilizing FPOM in the water column</t>
  </si>
  <si>
    <t>Number of collector-gatherer taxa</t>
  </si>
  <si>
    <t>collector_gatherer_num_tx</t>
  </si>
  <si>
    <t># of collector-gatherer taxa</t>
  </si>
  <si>
    <t># of taxa utilizing FPOM from benthic deposits</t>
  </si>
  <si>
    <t>Collector-gatherer abundance</t>
  </si>
  <si>
    <t>collector_gatherer_abd</t>
  </si>
  <si>
    <t>Abundance of taxa utilizing FPOM from benthic deposits</t>
  </si>
  <si>
    <t>Number of predator taxa</t>
  </si>
  <si>
    <t>predator_num_tx</t>
  </si>
  <si>
    <t># of predator taxa</t>
  </si>
  <si>
    <t># of taxa utilizing living animal tissue</t>
  </si>
  <si>
    <t>Predator abundance</t>
  </si>
  <si>
    <t>predator_abd</t>
  </si>
  <si>
    <t>Abundance of taxa utilizing living animal tissue</t>
  </si>
  <si>
    <t>Number of Ephemeroptera taxa</t>
  </si>
  <si>
    <t>Ephet</t>
  </si>
  <si>
    <t xml:space="preserve">Marcos Metrics </t>
  </si>
  <si>
    <t>Ephemeroptera_num_tx</t>
  </si>
  <si>
    <t># of Ephemeroptera taxa</t>
  </si>
  <si>
    <t>Number of mayfly taxa (Ephemeroptera).</t>
  </si>
  <si>
    <t xml:space="preserve"> Number of Ephemeroptera taxa</t>
  </si>
  <si>
    <t>Ephemeroptera abundance</t>
  </si>
  <si>
    <t>Ephemeroptera_abd</t>
  </si>
  <si>
    <t>Number of Plecoptera taxa</t>
  </si>
  <si>
    <t>Plect</t>
  </si>
  <si>
    <t>Plecoptera_num_tx</t>
  </si>
  <si>
    <t># of Plecoptera taxa</t>
  </si>
  <si>
    <t>Number of stonefly taxa (Plecoptera).</t>
  </si>
  <si>
    <t>Plecoptera abundance</t>
  </si>
  <si>
    <t>Plecoptera_abd</t>
  </si>
  <si>
    <t>Number of Trichoptera taxa</t>
  </si>
  <si>
    <t>Trict</t>
  </si>
  <si>
    <t>Trichoptera_num_tx</t>
  </si>
  <si>
    <t># of Trichoptera taxa</t>
  </si>
  <si>
    <t>Number of caddisfly taxa (Trichoptera).</t>
  </si>
  <si>
    <t>Trichoptera abundance</t>
  </si>
  <si>
    <t>Trichoptera_abd</t>
  </si>
  <si>
    <t xml:space="preserve"> Number of Coleoptera taxa</t>
  </si>
  <si>
    <t>Coleoptera_num_tx</t>
  </si>
  <si>
    <t># of Coleoptera taxa</t>
  </si>
  <si>
    <t>Coleoptera abundance</t>
  </si>
  <si>
    <t>Coleoptera_abd</t>
  </si>
  <si>
    <t xml:space="preserve"> Number of Elmidae taxa</t>
  </si>
  <si>
    <t>Elmidae_num_tx</t>
  </si>
  <si>
    <t># of Elmidae taxa</t>
  </si>
  <si>
    <t>Elmidae abundance</t>
  </si>
  <si>
    <t>Elmidae_abd</t>
  </si>
  <si>
    <t xml:space="preserve"> Number of Megaloptera taxa</t>
  </si>
  <si>
    <t>Megaloptera_num_tx</t>
  </si>
  <si>
    <t># of Megaloptera taxa</t>
  </si>
  <si>
    <t>Megaloptera abundance</t>
  </si>
  <si>
    <t>Megaloptera_abd</t>
  </si>
  <si>
    <t xml:space="preserve"> Number of Diptera taxa</t>
  </si>
  <si>
    <t>Diptera_num_tx</t>
  </si>
  <si>
    <t># of Diptera taxa</t>
  </si>
  <si>
    <t>Diptera abundance</t>
  </si>
  <si>
    <t>Diptera_abd</t>
  </si>
  <si>
    <t xml:space="preserve"> Number of Chironomidae taxa</t>
  </si>
  <si>
    <t>Chironomidae_num_tx</t>
  </si>
  <si>
    <t># of Chironomidae taxa</t>
  </si>
  <si>
    <t>Chironomidae abundance</t>
  </si>
  <si>
    <t>Chironomidae_abd</t>
  </si>
  <si>
    <t xml:space="preserve"> Number of Crustacea taxa</t>
  </si>
  <si>
    <t>crustacea_num_tx</t>
  </si>
  <si>
    <t># of Crustacea taxa</t>
  </si>
  <si>
    <t>Crustacea abundance</t>
  </si>
  <si>
    <t>crustacea_abd</t>
  </si>
  <si>
    <t xml:space="preserve"> Number of Oligochaete taxa</t>
  </si>
  <si>
    <t>Oligochaete_num_tx</t>
  </si>
  <si>
    <t># of Oligochaete taxa</t>
  </si>
  <si>
    <t>Oligochaete abundance</t>
  </si>
  <si>
    <t>Oligochaete_abd</t>
  </si>
  <si>
    <t xml:space="preserve"> Number of Mollusca taxa</t>
  </si>
  <si>
    <t>Mollusca_num_tx</t>
  </si>
  <si>
    <t># of Mollusca taxa</t>
  </si>
  <si>
    <t>Mollusca abundance</t>
  </si>
  <si>
    <t>Mollusca_abd</t>
  </si>
  <si>
    <t xml:space="preserve"> Number of Insect taxa</t>
  </si>
  <si>
    <t>insect_num_tx</t>
  </si>
  <si>
    <t># of Insect taxa</t>
  </si>
  <si>
    <t>Insect abundance</t>
  </si>
  <si>
    <t>insect_abd</t>
  </si>
  <si>
    <t xml:space="preserve"> Number of non-insect taxa</t>
  </si>
  <si>
    <t>noninsect_num_tx</t>
  </si>
  <si>
    <t># of non-insect taxa</t>
  </si>
  <si>
    <t>Non-insect abundance</t>
  </si>
  <si>
    <t>noninsect_abd</t>
  </si>
  <si>
    <t>Number of Intolerant taxa</t>
  </si>
  <si>
    <t>Intol</t>
  </si>
  <si>
    <t>intolerant_num_tx</t>
  </si>
  <si>
    <t>Number of “intolerant” taxa. The number of taxa or individuals that are tolerant or intolerant to pollution was determined based on the Hilsenhoff Biotic Index values. Intolerant taxa are those taxa given a HBI score of 0 or 1 (out of 10). Tolerant taxa are those taxa given a HBI score of 9 or 10 (out of 10).</t>
  </si>
  <si>
    <t>RIVPAC's score of observed / expected taxa</t>
  </si>
  <si>
    <t>RIVPACS</t>
  </si>
  <si>
    <t>RIVPACS employs a predictive model that compares the number of macroinvertebrate taxa expected in high quality habitat to the number observed at a site. Big and rare taxa are excluded. Values can range from 1 (no difference between observed and expected) to 0 (none of the expected taxa were observed). (Scores &gt; 0.78 indicate good quality habitat whereas scores &lt; 0.78 indicate poorer quality habitat.</t>
  </si>
  <si>
    <t xml:space="preserve">Overhead Cover </t>
  </si>
  <si>
    <t xml:space="preserve">Percent Overhead Cover </t>
  </si>
  <si>
    <t>PctOverheadCover</t>
  </si>
  <si>
    <t>Average % overhead cover provided by stream banks, vegetation, or other objects measured mid-channel (looking 4 directions) across 11 transects (units: %, min: 0, max: 100, n= 44)</t>
  </si>
  <si>
    <t>Average percent overhead cover provided by stream banks</t>
  </si>
  <si>
    <t>BankOverheadCover</t>
  </si>
  <si>
    <t>Average percent overhead cover provided by stream banks (left and right), vegetation or other objects measured at the scour line of the left and right banks across 11 transects (units: %, min: 0, max: 100, n= 22)</t>
  </si>
  <si>
    <t xml:space="preserve">Mean Canopy Density at Bank </t>
  </si>
  <si>
    <t>XCDENBK</t>
  </si>
  <si>
    <t>CANOPY DENSIOMETER</t>
  </si>
  <si>
    <t>Canopy Density at bank (mean percent)</t>
  </si>
  <si>
    <t xml:space="preserve">mean percent </t>
  </si>
  <si>
    <t xml:space="preserve">Mean Canopy Density at Mid- Channel </t>
  </si>
  <si>
    <t>XCDENMID</t>
  </si>
  <si>
    <t>Canopy Density at mid-channel (mean percent)</t>
  </si>
  <si>
    <t>HUMAN DISTURBANCE</t>
  </si>
  <si>
    <t xml:space="preserve">EPA Human Disturbacne Indix- Argicultural Influence </t>
  </si>
  <si>
    <t>W1_HAG</t>
  </si>
  <si>
    <t>Human Agricultural Influence Index(distance-wtd tally of types and presence</t>
  </si>
  <si>
    <t xml:space="preserve">EPA Human Distrubance Index </t>
  </si>
  <si>
    <t>W1_HALL</t>
  </si>
  <si>
    <t>Human Disturbance Index(distance-wtd tally of types and presence</t>
  </si>
  <si>
    <t xml:space="preserve">EPA Human Distrubance Index - Non-Argicultura </t>
  </si>
  <si>
    <t>W1_HNOAG</t>
  </si>
  <si>
    <t>Human Non-Agricultural Disturbance Index (distance weighted tally of types and presence)</t>
  </si>
  <si>
    <t xml:space="preserve">Distance to Buildings </t>
  </si>
  <si>
    <t>W1H_BLDG</t>
  </si>
  <si>
    <t>Rip Dist--Buildings (ProxWt Pres)</t>
  </si>
  <si>
    <t xml:space="preserve">Count of Near Channel Disturbance </t>
  </si>
  <si>
    <t>W1H_CROP</t>
  </si>
  <si>
    <t>Near Channel Human Dist : Row Crops (distance-wtd tally of presence</t>
  </si>
  <si>
    <t xml:space="preserve">Distance to Trash/Landfill </t>
  </si>
  <si>
    <t>W1H_LDFL</t>
  </si>
  <si>
    <t>Rip Dist--Trash/Landfill (ProxWt Pres)</t>
  </si>
  <si>
    <t xml:space="preserve">Distance to Logging </t>
  </si>
  <si>
    <t>W1H_LOG</t>
  </si>
  <si>
    <t>Rip Dist--Logging Activity (ProxWt Pres)</t>
  </si>
  <si>
    <t xml:space="preserve">Distance to Mining </t>
  </si>
  <si>
    <t>W1H_MINE</t>
  </si>
  <si>
    <t>Rip Dist--Mining Activity (ProxWt Pres)</t>
  </si>
  <si>
    <t xml:space="preserve">Distance to Lawn/Park </t>
  </si>
  <si>
    <t>W1H_PARK</t>
  </si>
  <si>
    <t>Rip Dist--Lawn/Park (ProxWt Pres)</t>
  </si>
  <si>
    <t xml:space="preserve">Distance to Pipes (infl/Effl) </t>
  </si>
  <si>
    <t>W1H_PIPE</t>
  </si>
  <si>
    <t>Rip Dist--Pipes infl/effl (ProxWt Pres)</t>
  </si>
  <si>
    <t xml:space="preserve">Distance to Pasture or Hayfield </t>
  </si>
  <si>
    <t>W1H_PSTR</t>
  </si>
  <si>
    <t>Rip Dist--Pasture/Hayfield (ProxWt Pres)</t>
  </si>
  <si>
    <t xml:space="preserve">Distance to Pavement </t>
  </si>
  <si>
    <t>W1H_PVMT</t>
  </si>
  <si>
    <t>Rip Dist--Pavement (ProxWt Pres)</t>
  </si>
  <si>
    <t xml:space="preserve">Distance to Road/Railroad </t>
  </si>
  <si>
    <t>W1H_ROAD</t>
  </si>
  <si>
    <t>Rip Dist--Road/Railroad (ProxWt Pres)</t>
  </si>
  <si>
    <t>W1H_WALL</t>
  </si>
  <si>
    <t>Near Channel Human Dist : Walls/dikes/revetments(distance-wtd tally of presence</t>
  </si>
  <si>
    <t>Management</t>
  </si>
  <si>
    <t>Percent FS / BLM</t>
  </si>
  <si>
    <t>FedPct</t>
  </si>
  <si>
    <t>Percent of the catchment upstream of a site owned by Forest Service / BLM.</t>
  </si>
  <si>
    <t>Management Category</t>
  </si>
  <si>
    <t>Mgmt</t>
  </si>
  <si>
    <t>Managed or Reference. Reference sites have minimal management: catchment road densities less than 0.5 km/km2, riparian road densities less than 0.25 km/km2, no grazing within 30 years, and no known in-channel mining upstream of the integrator site.</t>
  </si>
  <si>
    <t>categorical: managed or reference</t>
  </si>
  <si>
    <t xml:space="preserve">Other/Covariates </t>
  </si>
  <si>
    <t>Date the Data Was Change</t>
  </si>
  <si>
    <t>DateChange</t>
  </si>
  <si>
    <t>Date that the site's data was updated and changed (units: m/d/yyyy)</t>
  </si>
  <si>
    <t>Reason and Field Changed</t>
  </si>
  <si>
    <t>ReasonChange</t>
  </si>
  <si>
    <t>Reason for change and field changes; detailing what data was changed and why</t>
  </si>
  <si>
    <t>Sheet?</t>
  </si>
  <si>
    <t>Column_Name</t>
  </si>
  <si>
    <t>Predicted response to increasing perturbation (Barbour et al. 1999)</t>
  </si>
  <si>
    <t>Calculation</t>
  </si>
  <si>
    <t>Standardized 
 (OTU and Rarefication)</t>
  </si>
  <si>
    <t>Reference</t>
  </si>
  <si>
    <t xml:space="preserve"># Column in the Master Language Sheet </t>
  </si>
  <si>
    <t xml:space="preserve">ALL </t>
  </si>
  <si>
    <t>OBJECTID</t>
  </si>
  <si>
    <t>site</t>
  </si>
  <si>
    <t>survey_type</t>
  </si>
  <si>
    <t>channel_width</t>
  </si>
  <si>
    <t>Info</t>
  </si>
  <si>
    <t>upstream_length</t>
  </si>
  <si>
    <t>downstream_length</t>
  </si>
  <si>
    <t>reach_type</t>
  </si>
  <si>
    <t>declination</t>
  </si>
  <si>
    <t>compass_bearing_a</t>
  </si>
  <si>
    <t>compass_bearing_k</t>
  </si>
  <si>
    <t>main_or_trib</t>
  </si>
  <si>
    <t>main_trib_name</t>
  </si>
  <si>
    <t>transect_separation</t>
  </si>
  <si>
    <t>bankfull_1</t>
  </si>
  <si>
    <t>bankfull_2</t>
  </si>
  <si>
    <t>bankfull_3</t>
  </si>
  <si>
    <t>cloud_cover</t>
  </si>
  <si>
    <t>precipitation</t>
  </si>
  <si>
    <t>past_preciptation</t>
  </si>
  <si>
    <t>dry_site</t>
  </si>
  <si>
    <t>macroinvert_collected</t>
  </si>
  <si>
    <t>periphyton_samples</t>
  </si>
  <si>
    <t>periphyton_containers</t>
  </si>
  <si>
    <t>crew_num</t>
  </si>
  <si>
    <t>num_surveyors</t>
  </si>
  <si>
    <t>surveyor_laser</t>
  </si>
  <si>
    <t>surveyor_prism</t>
  </si>
  <si>
    <t>time_hike</t>
  </si>
  <si>
    <t>time_survey</t>
  </si>
  <si>
    <t>delay_reason</t>
  </si>
  <si>
    <t>tablet_id</t>
  </si>
  <si>
    <t>habitat_comments</t>
  </si>
  <si>
    <t>bio_comments</t>
  </si>
  <si>
    <t>monument_description</t>
  </si>
  <si>
    <t>monument_description_k</t>
  </si>
  <si>
    <t>site_comments</t>
  </si>
  <si>
    <t>qstage</t>
  </si>
  <si>
    <t>qresult</t>
  </si>
  <si>
    <t>qflag1</t>
  </si>
  <si>
    <t>qflag2</t>
  </si>
  <si>
    <t>macroinvert_numjars</t>
  </si>
  <si>
    <t>Y coordinate in decimal degree units</t>
  </si>
  <si>
    <t>X coordinate in decimal degree units</t>
  </si>
  <si>
    <t xml:space="preserve">Morphology </t>
  </si>
  <si>
    <t>number_used_trans</t>
  </si>
  <si>
    <t>number_pools_residual</t>
  </si>
  <si>
    <t>number_measurements</t>
  </si>
  <si>
    <t>number_pools_fines</t>
  </si>
  <si>
    <t>tot_pieces_uncorrected</t>
  </si>
  <si>
    <t>tot_pieces_corrected</t>
  </si>
  <si>
    <t>Note</t>
  </si>
  <si>
    <t xml:space="preserve">Column # in the Master Language Sheet </t>
  </si>
  <si>
    <t>number_estimated_pieces</t>
  </si>
  <si>
    <t xml:space="preserve">Site Descriptors </t>
  </si>
  <si>
    <t>SiteCode</t>
  </si>
  <si>
    <t>Site code assigned during the design process and used by field crews and project leads to track samples. SiteCodes should be used to track design specific information; whereas MasterCode should be used to query information about a site across multiple designs or revisits.</t>
  </si>
  <si>
    <t>number_measured_pieces</t>
  </si>
  <si>
    <t>tot_pieces_LT30cm_diam</t>
  </si>
  <si>
    <t>tot_small_pieces</t>
  </si>
  <si>
    <t>tot_12x25</t>
  </si>
  <si>
    <t>tot_18x25</t>
  </si>
  <si>
    <t>tot_24x33</t>
  </si>
  <si>
    <t>tot_24x50</t>
  </si>
  <si>
    <t xml:space="preserve">Macros Samp </t>
  </si>
  <si>
    <t>sampleID</t>
  </si>
  <si>
    <t>lab_name</t>
  </si>
  <si>
    <t>waterbody</t>
  </si>
  <si>
    <t>county</t>
  </si>
  <si>
    <t>collection_date</t>
  </si>
  <si>
    <t>habitat_sampled</t>
  </si>
  <si>
    <t>collection_method</t>
  </si>
  <si>
    <t>field_notes</t>
  </si>
  <si>
    <t>lab_notes</t>
  </si>
  <si>
    <t>area_sampled</t>
  </si>
  <si>
    <t>version_date</t>
  </si>
  <si>
    <t>station_namc</t>
  </si>
  <si>
    <t>Biodversity and Riparian Habitat Quality</t>
  </si>
  <si>
    <t>Cuffney et al. (1993), Moulton et al. (2000), Vinson and Hawkins (1996)</t>
  </si>
  <si>
    <t>VegComplexity</t>
  </si>
  <si>
    <t>Aggregate measure of the average vegetative cover provided by three different vegetative height category: Canopy (&gt;5m), Understory (0.5-5m), and Ground (&lt;0.5m). Each vegetative height category is then divided into two vegetation types (e.g. woody or nonwoody). Proportional cover was binned into four classes (0.875, 0.575, 0.25, and 0.05) per vegetation type, summed across the three heights, and then averaged across the left and right banks of 11 transects. (units: none, min: 0, max: 2.6, n= 132)</t>
  </si>
  <si>
    <t>"</t>
  </si>
  <si>
    <t>RiparianVegCanopyCover</t>
  </si>
  <si>
    <t>Measure of the average riparian vegetative cover provided by canopy vegetation (&gt;5m). Proportional cover was binned into four classes (0.875, 0.575, 0.25, and 0.05) and then averaged across the left and right banks of 11 transects. (units: none, min: 0, max: 0.88, n= 22)</t>
  </si>
  <si>
    <t>RiparianVegUnderstoryCover</t>
  </si>
  <si>
    <t>Measure of the average riparian vegetative cover provided by understory vegetation (0.5-5m). Proportional cover was binned into four classes (0.875, 0.575, 0.25, and 0.05) and then averaged across the left and right banks of 11 transects. (units: none, min: 0, max: 0.88, n= 22)</t>
  </si>
  <si>
    <t>RiparianVegGroundCover</t>
  </si>
  <si>
    <t>Measure of the average riparian vegetative cover provided by the ground cover vegetation (&lt;0.5m). Proportional cover was binned into four classes (0.875, 0.575, 0.25, and 0.05) and then averaged across the left and right banks of 11 transects. (units: none, min: 0, max: 0.88, n= 22)</t>
  </si>
  <si>
    <t>NonNativeWoody</t>
  </si>
  <si>
    <t>Percent of 22 vegetation plots with invasive woody vegetation present (units: %, min: 0, max: 100, n= 22)</t>
  </si>
  <si>
    <t>NativeWoody</t>
  </si>
  <si>
    <t>Percent of 22 vegetation plots with native woody vegetation present (units: %, min: 0, max: 100, n= 22)</t>
  </si>
  <si>
    <t>NonNativeHerb</t>
  </si>
  <si>
    <t>Percent of 22 vegetation plots with invasive herbaceous vegetation present (units: %, min: 0, max: 100, n= 22)</t>
  </si>
  <si>
    <t>NativeHerb</t>
  </si>
  <si>
    <t>Percent of 22 vegetation plots with native herbaceous vegetation present (units: %, min: 0, max: 100, n= 22)</t>
  </si>
  <si>
    <t>[Richness]UniqueTaxa</t>
  </si>
  <si>
    <t>Y</t>
  </si>
  <si>
    <t>SedgeRush</t>
  </si>
  <si>
    <t>Percent of 22 vegetation plots with sedges and rushes present (units: %, min: 0, max: 100, n= 22)</t>
  </si>
  <si>
    <t>(([Split Count]*
 (100/[Lab Split]))
 + [Big_Rare Count])
 *(100/[Field Split])
 *(1/[Area Sampled])</t>
  </si>
  <si>
    <t>N</t>
  </si>
  <si>
    <t>-∑([Relative Abundance]taxa *ln([Relative Abundance]taxa))</t>
  </si>
  <si>
    <t>Ludwig and Reynolds (1988, equation 8.9, page 92)</t>
  </si>
  <si>
    <t>1 - [Simpson's Diversity] = 1 - ∑([Relative Abundance]taxa)2</t>
  </si>
  <si>
    <t>Ludwig and Reynolds (1988, equation 8.6, page 91), 
 Krebs (1999, equation 12.27-12.30)</t>
  </si>
  <si>
    <t>[Shannon's Diversity]/ln([Richness])</t>
  </si>
  <si>
    <t>Ludwig and Reynolds (1988, equation 8.11, page 93)</t>
  </si>
  <si>
    <t>[Richness]E + [Richness]P + [Richness]T</t>
  </si>
  <si>
    <t>Barbour et al. (1999), 
 Karr and Chu (1998)</t>
  </si>
  <si>
    <t>[Abundance]E + [Abundance]P + [Abundance]T</t>
  </si>
  <si>
    <t xml:space="preserve">Water Quality </t>
  </si>
  <si>
    <t>Watershed Function and Instream Habitat Quality</t>
  </si>
  <si>
    <t>[Richness]shredder</t>
  </si>
  <si>
    <t>Merritt et. al (2008)</t>
  </si>
  <si>
    <t>[Abundance]shredder</t>
  </si>
  <si>
    <t>[Richness]scraper</t>
  </si>
  <si>
    <t>[Abundance]scraper</t>
  </si>
  <si>
    <t>Variable</t>
  </si>
  <si>
    <t>[Richness]collector-filterer</t>
  </si>
  <si>
    <t>[Abundance]collector-filterer</t>
  </si>
  <si>
    <t>[Richness]collector-gatherer</t>
  </si>
  <si>
    <t>[Abundance]collector-gatherer</t>
  </si>
  <si>
    <t>[Richness]predator</t>
  </si>
  <si>
    <t>[Abundance]predator</t>
  </si>
  <si>
    <t>[Richness]clinger</t>
  </si>
  <si>
    <t>Karr and Chu (1998), Merritt et al. (2008)</t>
  </si>
  <si>
    <t>[Richness]long-lived</t>
  </si>
  <si>
    <t>[Richness]Ephemeroptera</t>
  </si>
  <si>
    <t>[Abundance]Ephemeroptera</t>
  </si>
  <si>
    <t>[Richness]Plecoptera</t>
  </si>
  <si>
    <t>[Abundance]Plecoptera</t>
  </si>
  <si>
    <t>[Richness]Trichoptera</t>
  </si>
  <si>
    <t>[Abundance]Trichoptera</t>
  </si>
  <si>
    <t>[Richness]Coleoptera</t>
  </si>
  <si>
    <t>[Abundance]Coleoptera</t>
  </si>
  <si>
    <t>[Richness]Elmidae</t>
  </si>
  <si>
    <t>[Abundance]Elmidae</t>
  </si>
  <si>
    <t>[Richness]Megaloptera</t>
  </si>
  <si>
    <t>[Abundance]Megaloptera</t>
  </si>
  <si>
    <t>[Richness]Diptera</t>
  </si>
  <si>
    <t>[Abundance]Diptera</t>
  </si>
  <si>
    <t>[Richness]Chironomidae</t>
  </si>
  <si>
    <t>[Abundance]Chironomidae</t>
  </si>
  <si>
    <t>[Richness]Crustacea</t>
  </si>
  <si>
    <t>Covarites/Other</t>
  </si>
  <si>
    <t>[Abundance]Crustacea</t>
  </si>
  <si>
    <t>[Richness]Oligochaeta</t>
  </si>
  <si>
    <t>[Abundance]Oligochaeta</t>
  </si>
  <si>
    <t>[Richness]Mollusca</t>
  </si>
  <si>
    <t>[Abundance]Mollusca</t>
  </si>
  <si>
    <t>[Richness]Insect</t>
  </si>
  <si>
    <t>[Abundance]Insect</t>
  </si>
  <si>
    <t>[Richness]Non-insect</t>
  </si>
  <si>
    <t>[Abundance]Non-insect</t>
  </si>
  <si>
    <t xml:space="preserve">Macros OE </t>
  </si>
  <si>
    <t>PIBO</t>
  </si>
  <si>
    <t xml:space="preserve"> LABEL_WADABLE</t>
  </si>
  <si>
    <t xml:space="preserve">Becca's Notes </t>
  </si>
  <si>
    <t>CRB = Site included in PIBO EM rotating 5-year sample design within the Upper Columbia River Basin study area.</t>
  </si>
  <si>
    <t>MRB = Site included in PIBO EM rotating 5-year sample design within the Upper Missouri River Basin study area.</t>
  </si>
  <si>
    <t>CNTRCT = Sampling funded by local Forest Service or BLM field units.</t>
  </si>
  <si>
    <t>FS = Sites sampled by Forest Service employees using PIBO EM sampling protocol.</t>
  </si>
  <si>
    <t>Hydraulic resistance due to bed particles at bank full</t>
  </si>
  <si>
    <t>In general, type refers to the 1) site selection criteria, and 2) the sampling methods used to collect data.</t>
  </si>
  <si>
    <t>I = In-stream habitat, stream temperature, aquatic macroinvertebrate, and riparian vegetation are collected. Integrator sites are the most downstream stream segment within a randomly selected ICBEMP 6th field hydrologic unit less than 3% gradient (ideally), no tributaries, and no beaver activity when sites are established.</t>
  </si>
  <si>
    <t>Ratio of particle to total hydraulic resistances at bank full, not allowed to exceed 1</t>
  </si>
  <si>
    <t>S = Sentinels, Type I sites that are sampled annually.</t>
  </si>
  <si>
    <t>P = Prairie sites. These, typically dry, streambeds are evaluated under a separate protocol and are not comparable to other site types.</t>
  </si>
  <si>
    <t>Hydraulic resistance, total at bank full</t>
  </si>
  <si>
    <t>K = Designated Monitoring Area (DMA). Riparian vegetation data and a subset of in-stream habitat data are collected. Sampling locations are identified by local field unit personnel as locations utilized for livestock grazing implementation monitoring (IM).</t>
  </si>
  <si>
    <t>Hydraulic radius of channel at bank full</t>
  </si>
  <si>
    <t>Particle Reynolds number at bank full</t>
  </si>
  <si>
    <t>Shields parameter at bank full</t>
  </si>
  <si>
    <t>CONBANKFULL</t>
  </si>
  <si>
    <t>Site bankfull width</t>
  </si>
  <si>
    <t xml:space="preserve">Based on the lables I can not tell the difference between CONBANKFULL and XBKF_W? </t>
  </si>
  <si>
    <t>Sinuosity of stream reach (change to Sinuosity of Local Stream Reach)</t>
  </si>
  <si>
    <t>Std Dev. of Wetted Width (m)</t>
  </si>
  <si>
    <t>Std Dev. of Wetted Width x Thalweg Depth (m2)</t>
  </si>
  <si>
    <t>Based on the description, can't assess the differece between XFC_BRS and XFC_LVT</t>
  </si>
  <si>
    <t xml:space="preserve">Not sure </t>
  </si>
  <si>
    <t>CVWXD</t>
  </si>
  <si>
    <t>CV of Width Depth Product (SDWXD/XWXD)</t>
  </si>
  <si>
    <t>Long Name</t>
  </si>
  <si>
    <t>L_CP3_MILL</t>
  </si>
  <si>
    <t>Log10(Hydraulic resistance due to bed particles at bank full)</t>
  </si>
  <si>
    <t>L_CT_RPWD</t>
  </si>
  <si>
    <t>Log10(Hydraulic resistance, total at bank full)</t>
  </si>
  <si>
    <t>L_RB3</t>
  </si>
  <si>
    <t>Log10(Hydraulic radius of channel at bank full)</t>
  </si>
  <si>
    <t>L_REYP3</t>
  </si>
  <si>
    <t>Log10(Particle Reynolds number at bank full)</t>
  </si>
  <si>
    <t xml:space="preserve">Tables from the BLM benchmark tools </t>
  </si>
  <si>
    <t>L_RRPW3</t>
  </si>
  <si>
    <t>Log10(Effective Hydraulic Radius at Bankfull (Adjusted for wood and pool roughnesses))</t>
  </si>
  <si>
    <t>L_SHLD_PX3</t>
  </si>
  <si>
    <t>Log10(Shields parameter at bank full)</t>
  </si>
  <si>
    <t>L_XSLOPE</t>
  </si>
  <si>
    <t>Log10(Mean Slope of water surface (%))</t>
  </si>
  <si>
    <t>LITSB1_FN</t>
  </si>
  <si>
    <t>Littoral Dominant % Substrate Fines (&lt;0.06mm)</t>
  </si>
  <si>
    <t>LITSB1_SF</t>
  </si>
  <si>
    <t>Littoral Dominant % Substrate Sand or Fines (&lt;2.0mm)</t>
  </si>
  <si>
    <t>LITSB1_SFGF</t>
  </si>
  <si>
    <t>Littoral Dominant % Substrate &lt;16mm diameter</t>
  </si>
  <si>
    <t>LITSB12_FN</t>
  </si>
  <si>
    <t>Littoral Dominant or Subdominant % Substrate Fines (&lt;0.06mm)</t>
  </si>
  <si>
    <t>Conditions are based on the departure of reach specific indicator values from benchmarks. Users can use this tool to specify custom defined benchmarks or select from a set of default benchmark values. However, benchmarks have not been established for all indicators and thus default benchmarks and subsequent conditions are not estimated for all indicators at this time. Metadata for default benchmarks is presented in Tables 1, 2 and 3 below.</t>
  </si>
  <si>
    <t>LITSB12_SF</t>
  </si>
  <si>
    <t>Littoral Dom. or Subdom. % Substrate Sand or Fines (&lt;2.0mm)</t>
  </si>
  <si>
    <t>NA. Note macroinvertebrate data is typically reported one year behind other data to allow for processing time.</t>
  </si>
  <si>
    <t>Bed Surface % Bedrock + Hardpan</t>
  </si>
  <si>
    <t>Table 1. Overview of indicator benchmark methods that can be used in the absence of benchmarks established via policy. The provided benchmarks were developed using one of three approaches: predicted natural conditions, percentiles of regional reference, or best professional judgement.</t>
  </si>
  <si>
    <t>QR1</t>
  </si>
  <si>
    <t>Riparian Quality Index (Scaled XCMGW XCdenBK W1Hall 0-1)</t>
  </si>
  <si>
    <t>QRVEG1</t>
  </si>
  <si>
    <t>Riparian Veg Quality Index (Scaled XCMGW)</t>
  </si>
  <si>
    <t>Condition Determination Method</t>
  </si>
  <si>
    <t>QRVEG2</t>
  </si>
  <si>
    <t>Riparian Veg Quality Index (Scaled XCDENBK)</t>
  </si>
  <si>
    <t>Indicator(s)</t>
  </si>
  <si>
    <t>RADJRT_RAT</t>
  </si>
  <si>
    <t>Ratio of Effective to Total Hydraulic Radii at Bankfull (RRPW3/RB3)</t>
  </si>
  <si>
    <t>Citation</t>
  </si>
  <si>
    <t>Condition Benchmarks</t>
  </si>
  <si>
    <t>RDIST1</t>
  </si>
  <si>
    <t>Riparian Disturbance index (scaled W1_Hall 0-1)</t>
  </si>
  <si>
    <t>Determining if the default benchmarks are appropriate</t>
  </si>
  <si>
    <t>Predicted natural conditions</t>
  </si>
  <si>
    <t>Predicted natural conditions account for natural environmental gradients by using physiographic predictors (e.g., geology, climate, topography) to make site specific predictions of the conditions that should occur in the absence of anthropogenic impacts makes.</t>
  </si>
  <si>
    <t>SDDEPTH_CM</t>
  </si>
  <si>
    <t>Std deviation of thalweg depth (cm), converted from raw data in m</t>
  </si>
  <si>
    <t>Std deviation of thalweg depth (cm)</t>
  </si>
  <si>
    <t>Olson and Hawkins 2013</t>
  </si>
  <si>
    <t>XGV</t>
  </si>
  <si>
    <t>Total ground layer areal cover</t>
  </si>
  <si>
    <t>Predicted natural condition plus 75th (moderate) and 95th (major) percentiles of model error, 52.1 µg/L and 114.7 µg/L, respectively.</t>
  </si>
  <si>
    <t>F_NONE</t>
  </si>
  <si>
    <t>INVASIVE SPECIES</t>
  </si>
  <si>
    <t>IP_SCORE</t>
  </si>
  <si>
    <t>Invasive plants sum of frequencies of occurrence</t>
  </si>
  <si>
    <t>Use these defaults if no state water quality standards are available.</t>
  </si>
  <si>
    <t>Predicted natural condition plus 75th (moderate) and 90th (major) percentiles of model error, 9.9 µg/L and 21.3 µg/L, respectively.</t>
  </si>
  <si>
    <t>Panel_Yr</t>
  </si>
  <si>
    <t>Olson and Hawkins 2012</t>
  </si>
  <si>
    <t>Predicted natural condition plus 75th (moderate) and 95th (major) percentiles of model error, 27.1 µg/L and 74.5 µg/L, respectively.</t>
  </si>
  <si>
    <t>Varies depending on the model (see www.usu.edu/buglab/ for more information). In general, most model's benchmarks are the mean of the reference distribution plus 1SD (moderate) or 2SD (major).</t>
  </si>
  <si>
    <t>Should always be appropriate to meet state regulations, if a state based model was used.</t>
  </si>
  <si>
    <t>A group is a 3-digit numeric code used to identify a spatial cluster of ~20 6th field sub-watersheds. Groups 1-177 are in the CRB, 200-299 are in the MRB. Group numbers &gt;200 are used to label CNTRCT and FS sites.</t>
  </si>
  <si>
    <t>Percentiles of regional reference conditions</t>
  </si>
  <si>
    <t>Percentiles of regional reference does not consider natural environmental gradients other than course ecoregional categories and course stream size categories.</t>
  </si>
  <si>
    <t>VegComplexity, LWD_Freq, LWD_Vol, InstreamHabitatComplexity, PctOverheadCover, BankOverheadCover</t>
  </si>
  <si>
    <t>Kaufmann et al. 1999; Stoddard et al. 2005</t>
  </si>
  <si>
    <t>30th (moderate) and 10th (major) percentiles of regional reference conditions defined by 23 groups of EPA hybrid level III ecoregions and a combination of stream size (&gt; or ≤ 10 m bankfull width) and sampling protocol (wadeable vs. boatable). SeeTable 2 below or the default benchmarks on the ApplyBenchmarks worksheet for specific values.</t>
  </si>
  <si>
    <t>Use these defaults if no other policy or information available, but carefully examine for your sites and verify conditions with local knowledge of physiographic conditions and thus site potential.</t>
  </si>
  <si>
    <t>PctFines, FloodplainConnectivity</t>
  </si>
  <si>
    <t>70th (moderate) and 90th (major) percentiles of regional reference conditions defined by 23 groups of EPA hybrid level III ecoregions and a combination of stream size (&gt; or ≤ 10 m bankfull width) and sampling protocol (wadeable vs. boatable). SeeTable 2 &amp; 3 below or the default benchmarks on the ApplyBenchmarks worksheet for specific values.</t>
  </si>
  <si>
    <t>LTMDDIST</t>
  </si>
  <si>
    <t>LEGACY TREES</t>
  </si>
  <si>
    <t>Best professional judgement</t>
  </si>
  <si>
    <t>LTMDDOM</t>
  </si>
  <si>
    <t>Best professional judgement or state standards set numeric criteria for conditions based on published studies or best professional judgement.</t>
  </si>
  <si>
    <t>LTMDDOMN</t>
  </si>
  <si>
    <t>Assumed all sites with invasive species present had major departure from reference and if no invasive species present had minimal departure from reference.</t>
  </si>
  <si>
    <t>Consult your management objectives to determine if invasive species presence is acceptable.</t>
  </si>
  <si>
    <t>LTMXDBH</t>
  </si>
  <si>
    <t>Kaufmann et al. 1999</t>
  </si>
  <si>
    <t>Acidic (7, 6.5) and alkaline (8.5, 9) for moderate and major departure from reference respectively.</t>
  </si>
  <si>
    <t>LTMXHT</t>
  </si>
  <si>
    <t>Use these defaults if no state standards are available. Otherwise select "custom" and input your state standards on the DefineCustomBenchmarks worksheet.</t>
  </si>
  <si>
    <t>LTMXSIZE</t>
  </si>
  <si>
    <t>Legacy largest tree size class (SMLX)</t>
  </si>
  <si>
    <t>BankCover, BankStability, BnkCoverStab</t>
  </si>
  <si>
    <t>Coordinates for mapping. Coordinates were derived by: 1) plotting NAD 1927 UTM coordinates recorded by field crews in GIS; 2) moving each point to the appropriate location on the 1:24000 National Hydrography Dataset (NHD; http://nhd.usgs.gov/) stream line if necessary; 3) converting NAD 27 UTMs to NAD 83; and 4) converting units to Latitude/Longitude coordinates. NOTE: these coordinates are not suitable for locating sites on the ground.</t>
  </si>
  <si>
    <t>LTMXSPP</t>
  </si>
  <si>
    <t>Legacy largest tree species</t>
  </si>
  <si>
    <t>LTSPLIST</t>
  </si>
  <si>
    <t>80% of banks stable and/or covered (moderate) and 69% of banks stable and/or covered (major) for all Hybrid III ecoregions except Plains or the southern xeric and eastern xeric ecoregions. These ecoregions should have naturally lower bank stability so thresholds were 70% of banks stable and/or covered (moderate) and 50% of banks stable and/or covered (major).</t>
  </si>
  <si>
    <t>PCAN_C</t>
  </si>
  <si>
    <t>RIPARIAN VEGETATION</t>
  </si>
  <si>
    <t>Riparian Canopy Coniferous (Fract reach)</t>
  </si>
  <si>
    <t>PCAN_D</t>
  </si>
  <si>
    <t>Riparian Canopy Deciduous (Fract. reach)</t>
  </si>
  <si>
    <t>Table 2. Benchmarks used to assign condition ratings of minimal, moderate, or major departure for wadeable reaches determined by quantiles of regional values by Omernik hybrid level III/IV ecoregions and stream size: small wadeable streams ≤ 10 m or large wadeable streams &gt; 10 m.</t>
  </si>
  <si>
    <t>PCAN_E</t>
  </si>
  <si>
    <t>Rip Canopy Broadlf evrgrn (Fract of rch)</t>
  </si>
  <si>
    <t>PCAN_M</t>
  </si>
  <si>
    <t>Rip Canopy Mix Conif-Decid (Fract reach)</t>
  </si>
  <si>
    <t>PCAN_N</t>
  </si>
  <si>
    <t>Rip Canopy Absent (Fraction of reach)</t>
  </si>
  <si>
    <t>Management category</t>
  </si>
  <si>
    <t>XC</t>
  </si>
  <si>
    <t>Canopy Mean Areal Cover proportion</t>
  </si>
  <si>
    <t>Northern Xeric Basin</t>
  </si>
  <si>
    <t>XCL</t>
  </si>
  <si>
    <t>Large diameter (Dbh&gt;0.3m) Tree Canopy Areal Cover proportion</t>
  </si>
  <si>
    <t>Pacific Northwest and Xeric California</t>
  </si>
  <si>
    <t>XCM</t>
  </si>
  <si>
    <t>Rip Veg Canopy+Mid Layer Cover</t>
  </si>
  <si>
    <t>Northern Rockies</t>
  </si>
  <si>
    <t>Southern Rockies</t>
  </si>
  <si>
    <t>Eastern Xeric Basin</t>
  </si>
  <si>
    <t>XCMG</t>
  </si>
  <si>
    <t>Southern Xeric Basin</t>
  </si>
  <si>
    <t>Sum of Canopy+Mid+Ground layer areal cover proportion</t>
  </si>
  <si>
    <t>Southwest Mountains</t>
  </si>
  <si>
    <t>XCMGW</t>
  </si>
  <si>
    <t>Sum of Woody Canopy+Mid+Ground layer areal cover proportion</t>
  </si>
  <si>
    <t>Northern Cultivated Plains</t>
  </si>
  <si>
    <t>XCMW</t>
  </si>
  <si>
    <t>Rip Veg Canopy+Mid Layer Woody Cover</t>
  </si>
  <si>
    <t>Rangeland Plains</t>
  </si>
  <si>
    <t>Indicator</t>
  </si>
  <si>
    <t>XCS</t>
  </si>
  <si>
    <t>Riparian Canopy &lt;= 0.3m DBH (Cover)</t>
  </si>
  <si>
    <t>Response</t>
  </si>
  <si>
    <t>Benchmark</t>
  </si>
  <si>
    <t>Percentile</t>
  </si>
  <si>
    <t>Small</t>
  </si>
  <si>
    <t>Large</t>
  </si>
  <si>
    <t>Aquatic marcroinvertebrates</t>
  </si>
  <si>
    <t>XG</t>
  </si>
  <si>
    <t>Riparian Veg Ground Layer Cover</t>
  </si>
  <si>
    <t>XGB</t>
  </si>
  <si>
    <t>Barren ground layer areal cover</t>
  </si>
  <si>
    <t>XGH</t>
  </si>
  <si>
    <t>Non-woody ground layer areal cover</t>
  </si>
  <si>
    <t>XGW</t>
  </si>
  <si>
    <t>Woody ground layer areal cover</t>
  </si>
  <si>
    <t>XM</t>
  </si>
  <si>
    <t>Riparian Veg Mid Layer Cover</t>
  </si>
  <si>
    <t>Decreases with stress</t>
  </si>
  <si>
    <t>XMH</t>
  </si>
  <si>
    <t>Rip Mid Layer Herbaceous (Cover)</t>
  </si>
  <si>
    <t>XMW</t>
  </si>
  <si>
    <t>Rip Mid Layer Woody (Cover)</t>
  </si>
  <si>
    <t>XPCAN</t>
  </si>
  <si>
    <t>Rip Canopy Present (Fraction of reach)</t>
  </si>
  <si>
    <t>XPCM</t>
  </si>
  <si>
    <t>Rip Can &amp; MidLayer Present (Frac. reach)</t>
  </si>
  <si>
    <t>XPCMG</t>
  </si>
  <si>
    <t>Moderate</t>
  </si>
  <si>
    <t>Riparian 3-Layers Present (Fract. reach)</t>
  </si>
  <si>
    <t>XPMGW</t>
  </si>
  <si>
    <t>Rip. mid &amp; gnd wood Present (Frac. reach)</t>
  </si>
  <si>
    <t>XPMID</t>
  </si>
  <si>
    <t>Rip MidLayer Present (Fraction of reach)</t>
  </si>
  <si>
    <t>30th</t>
  </si>
  <si>
    <t>Major</t>
  </si>
  <si>
    <t>10th</t>
  </si>
  <si>
    <t>Pctfines</t>
  </si>
  <si>
    <t>Increases with stress</t>
  </si>
  <si>
    <t>70th</t>
  </si>
  <si>
    <t>90th</t>
  </si>
  <si>
    <t>InstreamHabitat Complexity</t>
  </si>
  <si>
    <t>Deceases with stress</t>
  </si>
  <si>
    <t>Bed Surface % Larger than Gravel (64mm)</t>
  </si>
  <si>
    <t>Substrate Coarse Gravel -- 16-64 mm (%)</t>
  </si>
  <si>
    <t>1Wingett, R. N.; Magnum, F. A. 1979. Biotic condition index: integrated biological, physical, and chemical parameters for management. Ogden, UT: U.S. Department of Agriculture, Forest Service, Intermountain Region.</t>
  </si>
  <si>
    <t>2Cuffney, T. F., Bilger, M.D. &amp; Haigler, A.M., 2007. Ambiguous taxa: effects on the characterization and interpretation of invertebrate assemblages. Journal of the North American Benthological Society, 26(2), p.286–307.</t>
  </si>
  <si>
    <t>Thalweg substrate Gravel -- 16-64 mm (%)</t>
  </si>
  <si>
    <t>Table 3. Benchmarks used to assign condition ratings of minimal, moderate, or major departure for boatable reaches determined by quantiles of regional values by groupings of Omernik hybrid level III/IV ecoregions.</t>
  </si>
  <si>
    <t>Bed Surface % Hardpan</t>
  </si>
  <si>
    <t>Substrate Organic detritus -- (%)</t>
  </si>
  <si>
    <t>Eastern and Southern Xeric Basin</t>
  </si>
  <si>
    <t>Substrate Wood or Detritus -- (%)</t>
  </si>
  <si>
    <t>Northern and Southern Rockies and Northern Xeric Basin</t>
  </si>
  <si>
    <t>Pacific Northwest</t>
  </si>
  <si>
    <t>Floodplain Connectivity*</t>
  </si>
  <si>
    <t>* All ecoregions combined due to low sample sizes</t>
  </si>
  <si>
    <t>References</t>
  </si>
  <si>
    <t>Hawkins, C. P., R. H. Norris, J. N. Hogue, and J. W. Feminella. 2000. Development and Evaluation of Predictive Models for Measuring the Biological Integrity of Streams. Ecological Applications 10:1456–1477.</t>
  </si>
  <si>
    <t>Kaufmann, P.R, P. Levine, E.G. Robison, C. Seeliger, and D.V. Peck. 1999. Quantifying Physical Habitat in Wadeable Streams. EPA/620/R-99/003. U.S. Environmental Protection Agency, Washington, D.C.</t>
  </si>
  <si>
    <t>Olson, J. R., and C. P. Hawkins. 2012. Predicting natural base-flow stream water chemistry in the western United States. Water Resources Research 48:W02504.</t>
  </si>
  <si>
    <t>Olson, J. R., and C. P. Hawkins. 2013. Developing site-specific nutrient criteria from empirical models. Freshwater Science 32: 719-740.</t>
  </si>
  <si>
    <t>Rosgen, D. L. 1996. Applied River Morphology. Wildland Hydrology, Pagosa Springs, Colorado.</t>
  </si>
  <si>
    <t>Stoddard, J.L., D.V. Peck, A.R. Olsen, D.P. Larsen, J. Van Sickle, C.P. Hawkins, R.M. Hughes, T.R. Whittier, G. Lomnicky, A.T. Herlihy, P.R. Kaufmann, S.A.Peterson, P.L. Ringold, S.G. Paulsen, and R. Blair. 2005. Environmental Monitoring and Assessment Program (EMAP): Western Streams and Rivers Statistical Summary. EPA 620/R-05/006. U.S. Environmental Protection Agency, Office of Research and Development, Washington, DC.</t>
  </si>
  <si>
    <t>BLMColumn</t>
  </si>
  <si>
    <t>PIBO Description</t>
  </si>
  <si>
    <t>PIBOUnits</t>
  </si>
  <si>
    <t xml:space="preserve">EPA Units </t>
  </si>
  <si>
    <t>EPAColumn</t>
  </si>
  <si>
    <t>PIBOColumn</t>
  </si>
  <si>
    <t xml:space="preserve">EPADescription </t>
  </si>
  <si>
    <t xml:space="preserve">BLMNote </t>
  </si>
  <si>
    <t xml:space="preserve">BLMDataType </t>
  </si>
  <si>
    <t xml:space="preserve">DataType </t>
  </si>
  <si>
    <t>AREMPLongName</t>
  </si>
  <si>
    <t xml:space="preserve">AREMPDescription </t>
  </si>
  <si>
    <t>AREMPUnites</t>
  </si>
  <si>
    <t>BLMDescription</t>
  </si>
  <si>
    <t>CountPrograms</t>
  </si>
  <si>
    <t>PoolDp</t>
  </si>
  <si>
    <t>BLMFromMetadata</t>
  </si>
  <si>
    <t>BTMLAT</t>
  </si>
  <si>
    <t>RES_PL_DEP</t>
  </si>
  <si>
    <t>TOT_RCH_LEN</t>
  </si>
  <si>
    <t>SLPE</t>
  </si>
  <si>
    <t>BNKFLL_WT</t>
  </si>
  <si>
    <t>MS_CD</t>
  </si>
  <si>
    <t>BTMLONG</t>
  </si>
  <si>
    <t>PTFines2</t>
  </si>
  <si>
    <t>PTFines6</t>
  </si>
  <si>
    <t>LWFrq</t>
  </si>
  <si>
    <t>AREMPColumn</t>
  </si>
  <si>
    <t>DT</t>
  </si>
  <si>
    <t>SNSTY</t>
  </si>
  <si>
    <t>BNKFLL_HT</t>
  </si>
  <si>
    <t>PCT_DRY</t>
  </si>
  <si>
    <t>PCT_PL</t>
  </si>
  <si>
    <t>LWD_FREQ</t>
  </si>
  <si>
    <t>LWD_VL</t>
  </si>
  <si>
    <t>PCT_FN6</t>
  </si>
  <si>
    <t>PL_TL_FN</t>
  </si>
  <si>
    <t>PoolTailFines2</t>
  </si>
  <si>
    <t>BNK_AN</t>
  </si>
  <si>
    <t>PctPool</t>
  </si>
  <si>
    <t>AREMPCollectionMethod</t>
  </si>
  <si>
    <t>AREMPAnalysisMethod</t>
  </si>
  <si>
    <t>BLMCollectionMethod</t>
  </si>
  <si>
    <t>BLMAnalysisMethod</t>
  </si>
  <si>
    <t>EPACollectionMethod</t>
  </si>
  <si>
    <t>EPAAnalysisMethod</t>
  </si>
  <si>
    <t>PIBOCollectionMethod</t>
  </si>
  <si>
    <t>PIBOAnalysisMethod</t>
  </si>
  <si>
    <t xml:space="preserve">Bed stability </t>
  </si>
  <si>
    <t>Channel Characteristics</t>
  </si>
  <si>
    <t xml:space="preserve">Fish cover </t>
  </si>
  <si>
    <t>Human disturbance</t>
  </si>
  <si>
    <t xml:space="preserve">Number of Estimated Pieces of Wood </t>
  </si>
  <si>
    <t xml:space="preserve">Number of Measured Pecies </t>
  </si>
  <si>
    <t xml:space="preserve">Count of Pieces not corrected </t>
  </si>
  <si>
    <t xml:space="preserve">Count of  Pieces corrected </t>
  </si>
  <si>
    <t xml:space="preserve">Count of Small Pieces of Wood </t>
  </si>
  <si>
    <t xml:space="preserve">Count of 12 by 25 Pieces of Wood </t>
  </si>
  <si>
    <t xml:space="preserve">Count of 18 by 25 Pieces of Wood </t>
  </si>
  <si>
    <t xml:space="preserve">Count of 25 by 33 Pieces of Wood </t>
  </si>
  <si>
    <t xml:space="preserve">Count of 24 by 50 Pieces of Wood </t>
  </si>
  <si>
    <t xml:space="preserve">Count of Pools Fines are Measured In </t>
  </si>
  <si>
    <t>CountFines</t>
  </si>
  <si>
    <t xml:space="preserve">Y </t>
  </si>
  <si>
    <t xml:space="preserve">N </t>
  </si>
  <si>
    <t xml:space="preserve">NA </t>
  </si>
  <si>
    <t xml:space="preserve">y </t>
  </si>
  <si>
    <t>Al-Chokachey et al 2010</t>
  </si>
  <si>
    <t>Al-Chokachey et al 2011</t>
  </si>
  <si>
    <t>Al-Chokachey et al 2012</t>
  </si>
  <si>
    <t>Al-Chokachey et al 2013</t>
  </si>
  <si>
    <t>Al-Chokachey et al 2014</t>
  </si>
  <si>
    <t>Al-Chokachey et al 2015</t>
  </si>
  <si>
    <t>Al-Chokachey et al 2016</t>
  </si>
  <si>
    <t>Al-Chokachey et al 2017</t>
  </si>
  <si>
    <t xml:space="preserve">Miller et al 2016 </t>
  </si>
  <si>
    <t xml:space="preserve">Reference Conditions </t>
  </si>
  <si>
    <t>x</t>
  </si>
  <si>
    <t xml:space="preserve">Road Density, km/km </t>
  </si>
  <si>
    <t>Agriculture %</t>
  </si>
  <si>
    <t xml:space="preserve">Develople Open space </t>
  </si>
  <si>
    <t>Minds, %</t>
  </si>
  <si>
    <t xml:space="preserve">Canals, % </t>
  </si>
  <si>
    <t xml:space="preserve">distance to dam, km  nationa hydrography dataset </t>
  </si>
  <si>
    <t xml:space="preserve">Gravel mines mines/km^2 - </t>
  </si>
  <si>
    <t xml:space="preserve">Unit </t>
  </si>
  <si>
    <t xml:space="preserve">km/km </t>
  </si>
  <si>
    <t>km^2</t>
  </si>
  <si>
    <t xml:space="preserve">km </t>
  </si>
  <si>
    <t xml:space="preserve">stream crossing </t>
  </si>
  <si>
    <t>count/km^2</t>
  </si>
  <si>
    <t>Custom dataset complied from Forest Service, BLM, and Chico State
University data</t>
  </si>
  <si>
    <t>dataset</t>
  </si>
  <si>
    <t>USGS National Hydrography Dataset (http://nhd.usgs.gov/)</t>
  </si>
  <si>
    <t xml:space="preserve">Data source </t>
  </si>
  <si>
    <t xml:space="preserve">Method </t>
  </si>
  <si>
    <t>Multi-resolution Land Characteristics Consortium (www.mrlc.gov)
dataset</t>
  </si>
  <si>
    <t>Multi-resolution Land Characteristics Consortium (www.mrlc.gov)</t>
  </si>
  <si>
    <t>USGS Mine data (www.mrdata.usgs.gov)</t>
  </si>
  <si>
    <t xml:space="preserve">category variable </t>
  </si>
  <si>
    <t>km/km^2</t>
  </si>
  <si>
    <t>catchment as the weighted average (by area) of all
precipitation grids (16 km2) that were intercepted by each individual catchment. For each grid, we used 30-year average precipitation values (1971– 2000; PRISM 2004).</t>
  </si>
  <si>
    <t xml:space="preserve">PRISM </t>
  </si>
  <si>
    <t>Elevation at the bottom of the reach</t>
  </si>
  <si>
    <t>percent of the riparian buffer (90 m on each sid eof the strem that is foresed 1 km upstrea from the bottom of reach</t>
  </si>
  <si>
    <t xml:space="preserve">collected at the reach and calculated get from datasets </t>
  </si>
  <si>
    <t xml:space="preserve">% segement forested  </t>
  </si>
  <si>
    <t>density of stream witin the catchemnt,</t>
  </si>
  <si>
    <t>Drainage density</t>
  </si>
  <si>
    <t>Doment Rock type</t>
  </si>
  <si>
    <t>Segment slope</t>
  </si>
  <si>
    <t>precip -&gt; average annual
precipitation</t>
  </si>
  <si>
    <t xml:space="preserve">grad -&gt; reach gradient </t>
  </si>
  <si>
    <t>Catchment area</t>
  </si>
  <si>
    <t>We delineated each sample reach’s catchment with digital elevation models (DEMs) and Arc Macro Language using ArcGIS version 9.2 (ESRI 2008). Once delineated, we calculated the catchment area and stream drainage density, both of which can affect the timing and magnitude of streamflow (Benda et al. 2004). We used these catchments in conjunction with stream layers from the 1:24,000- scale U.S. Geological Survey (USGS) National Hydrography Dataset (USGS 2000) to calculate stream drainage density in each catchment</t>
  </si>
  <si>
    <t>we quantified the slope at the
segment scale using 30-m DEMs obtained from
USGS 1:24,000-scale topographic data (USGS
1999)</t>
  </si>
  <si>
    <t>Here, we quantified the percent of each catchment
with sedimentary, igneous, metamorphic, and
unconsolidated geologies (USGS 2005) and then
determined the dominant geology for each reach’s
catchment.</t>
  </si>
  <si>
    <t>BLMUnits</t>
  </si>
  <si>
    <t>LABEL_WADEABLE</t>
  </si>
  <si>
    <t>VARIABLE</t>
  </si>
  <si>
    <t>DESCRIPTION</t>
  </si>
  <si>
    <t>UNITS</t>
  </si>
  <si>
    <t>RANGE_LOW</t>
  </si>
  <si>
    <t>RANGE_HIGH</t>
  </si>
  <si>
    <t>AGGR_ECO9_2015</t>
  </si>
  <si>
    <t>NARS 9-level reporting region (2015), based on aggregated Omernik Level III ecoregions: CPL=Coastal Plains; NAP=Northern Appalachians; NPL=Northern Plains; SAP=Southern Appalachians; SPL=Southern Plains; TPL=Temperate Plains; UMW=Upper Midwest; WMT=Western Mountains; XER=Xeric West.</t>
  </si>
  <si>
    <t>BENT_MMI_COND</t>
  </si>
  <si>
    <t>Condition class based on benthic MMI score</t>
  </si>
  <si>
    <t>BENT</t>
  </si>
  <si>
    <t>BENT_SAMPLE_TYPE</t>
  </si>
  <si>
    <t>Sampling method used to collect macroinvertebrates</t>
  </si>
  <si>
    <t>BURRPTAX</t>
  </si>
  <si>
    <t>% burrower taxa, based on WSA autecology</t>
  </si>
  <si>
    <t>CHIRPTAX</t>
  </si>
  <si>
    <t>% Chironomidae taxa</t>
  </si>
  <si>
    <t>CLNGNTAX</t>
  </si>
  <si>
    <t>Number of distinct clinger taxa, based on WSA autecology</t>
  </si>
  <si>
    <t>CLNGPTAX</t>
  </si>
  <si>
    <t>% clinger taxa, based on WSA autecology</t>
  </si>
  <si>
    <t>COMP_PT</t>
  </si>
  <si>
    <t>Metric score for composition metric</t>
  </si>
  <si>
    <t>DIVS_PT</t>
  </si>
  <si>
    <t>Metric score for diversity metric</t>
  </si>
  <si>
    <t>DOM5PIND</t>
  </si>
  <si>
    <t>% individuals in dominant 5 taxa</t>
  </si>
  <si>
    <t>EPHENTAX</t>
  </si>
  <si>
    <t>Number of distinct Ephemeroptera taxa</t>
  </si>
  <si>
    <t>EPHEPTAX</t>
  </si>
  <si>
    <t>% Ephemeroptera taxa</t>
  </si>
  <si>
    <t>EPT_NTAX</t>
  </si>
  <si>
    <t>Number of distinct Ephemeroptera, Plecoptera, and Trichoptera taxa</t>
  </si>
  <si>
    <t>EPT_PIND</t>
  </si>
  <si>
    <t>% Ephemeroptera, Plecoptera, and Trichoptera individuals</t>
  </si>
  <si>
    <t>EPT_PTAX</t>
  </si>
  <si>
    <t>% EPT taxa</t>
  </si>
  <si>
    <t>FEED_PT</t>
  </si>
  <si>
    <t>Metric score for functional feeding group</t>
  </si>
  <si>
    <t>HABT_PT</t>
  </si>
  <si>
    <t>Metric score for habit</t>
  </si>
  <si>
    <t>HPRIME</t>
  </si>
  <si>
    <t>Shannon diversity, where prop_i=proportion of species i in sample</t>
  </si>
  <si>
    <t>INTLNTAX</t>
  </si>
  <si>
    <t>Number of distinct intolerant taxa</t>
  </si>
  <si>
    <t>MMI_BENT</t>
  </si>
  <si>
    <t>NOINPIND</t>
  </si>
  <si>
    <t>% non-insect individuals</t>
  </si>
  <si>
    <t>NTOLNTAX</t>
  </si>
  <si>
    <t>No. of non-tolerants (PTV&lt;6) taxa</t>
  </si>
  <si>
    <t>NTOLPTAX</t>
  </si>
  <si>
    <t>% taxa with pollution tolerance score between 0 and 5.9</t>
  </si>
  <si>
    <t>OE_COND</t>
  </si>
  <si>
    <t>Condition class based on O/E score</t>
  </si>
  <si>
    <t>OE_SCORE</t>
  </si>
  <si>
    <t>O/E score for benthic sample</t>
  </si>
  <si>
    <t>RICH_PT</t>
  </si>
  <si>
    <t>Metric score for taxa richness</t>
  </si>
  <si>
    <t>Sample type</t>
  </si>
  <si>
    <t>SAMPLED_BENT</t>
  </si>
  <si>
    <t>Indicator of sampling at site</t>
  </si>
  <si>
    <t>SCRPNTAX</t>
  </si>
  <si>
    <t>Number of distinct scraper taxa, based on WSA autecology</t>
  </si>
  <si>
    <t>SHRDNTAX</t>
  </si>
  <si>
    <t>Number of distinct shredder taxa, based on WSA autecology</t>
  </si>
  <si>
    <t>STOLPTAX</t>
  </si>
  <si>
    <t>% taxa with pollution tolerance score between 8 and 10</t>
  </si>
  <si>
    <t>TOLR_PT</t>
  </si>
  <si>
    <t>Metric score for tolerance metric</t>
  </si>
  <si>
    <t>TOLRPTAX</t>
  </si>
  <si>
    <t>% Tolerant (PTV&gt;=7) taxa</t>
  </si>
  <si>
    <t xml:space="preserve">The target population consists of all streams and rivers within the 48 contiguous states that have flowing water during the study index period, including major rivers and small streams. Sites must have &gt; 50% of the reach length with standing water, and sites with water in less than 50% of the reach length must be dropped. All sites must be sampled during base flow conditions. The target population excludes:
• Tidal rivers and streams up to head of salt (defined as &lt; 0.5 ppt for this study).
• Run-of-the-river ponds and reservoirs with greater than seven day residence time.
</t>
  </si>
  <si>
    <t>STRM_NM</t>
  </si>
  <si>
    <t>WDWetTrans</t>
  </si>
  <si>
    <t>BVR_SGN</t>
  </si>
  <si>
    <t>WTTD_WT</t>
  </si>
  <si>
    <t>OE_MACROINVRTBRTE</t>
  </si>
  <si>
    <t>PL_TL_FN6</t>
  </si>
  <si>
    <t>STRM_ORDR</t>
  </si>
  <si>
    <t>MMI_MACROINVRTBRTE</t>
  </si>
  <si>
    <t xml:space="preserve">Date </t>
  </si>
  <si>
    <t>Date (DT)</t>
  </si>
  <si>
    <t>average_bfwidth</t>
  </si>
  <si>
    <t>average_bfdepth</t>
  </si>
  <si>
    <t>GLOBALID</t>
  </si>
  <si>
    <t>REACH_LENGTH</t>
  </si>
  <si>
    <t>STATES</t>
  </si>
  <si>
    <t xml:space="preserve">based on metadata </t>
  </si>
  <si>
    <t>based on metadata</t>
  </si>
  <si>
    <t xml:space="preserve">Basaed on metadata, in the code all coordiantes are converted to the same projection </t>
  </si>
  <si>
    <t xml:space="preserve">based on program metadata </t>
  </si>
  <si>
    <t>based fication program metadata</t>
  </si>
  <si>
    <t>based on program metadata</t>
  </si>
  <si>
    <t>based nment program metadata</t>
  </si>
  <si>
    <t>based l dimensions program metadata</t>
  </si>
  <si>
    <t xml:space="preserve">Findable </t>
  </si>
  <si>
    <t xml:space="preserve">Accessable </t>
  </si>
  <si>
    <t xml:space="preserve">Interoperable </t>
  </si>
  <si>
    <t xml:space="preserve">Reuseable </t>
  </si>
  <si>
    <t xml:space="preserve">BLM AIM </t>
  </si>
  <si>
    <t xml:space="preserve">EPA NARS </t>
  </si>
  <si>
    <t xml:space="preserve">PIBO </t>
  </si>
  <si>
    <t>(https://landscape.blm.gov/geoportal/catalog/AIM/AIM.page)</t>
  </si>
  <si>
    <t xml:space="preserve">Webtools </t>
  </si>
  <si>
    <t xml:space="preserve">Guiding Principles </t>
  </si>
  <si>
    <t xml:space="preserve">F1. (meta)data are assigned a globally unique and persistent identifier  
F2. data are described with rich metadata (defined by R1 below)  
F3. metadata clearly and explicitly include the identifier of the data it describes  
F4. (meta)data are registered or indexed in a searchable resource </t>
  </si>
  <si>
    <t xml:space="preserve">A1. (meta)data are retrievable by their identifier using a standardized communications protocol  
A1.1 the protocol is open, free, and universally implementable 
A1.2 the protocol allows for an authentication and authorization procedure, where necessary 
A2. metadata are accessible, even when the data are no longer available  </t>
  </si>
  <si>
    <t xml:space="preserve">R1. meta(data) are richly described with a plurality of accurate and relevant attributes 
R1.1. (meta)data are released with a clear and accessible data usage license  
R1.2. (meta)data are associated with detailed provenance  
R1.3. (meta)data meet domain-relevant community standards </t>
  </si>
  <si>
    <t xml:space="preserve">Intergrated Dataset </t>
  </si>
  <si>
    <t xml:space="preserve">Data and data set metadata is published on ScienceBase.org as a .csv file and a geojson file. </t>
  </si>
  <si>
    <t xml:space="preserve">EPA NARS data and metadata is not consistent between each year of data release. There are multiple datasets containg the same metrics, it is not clear which data set is useable </t>
  </si>
  <si>
    <t xml:space="preserve">Data and metadata is updated yearly. Collection protocols are posted !! 
Data is aviable on Landscape Approach Data Portal in multiple formation such as ArcGIS geodatabase, server, .csv and searchable ArcGIS online map (https://landscape.blm.gov/geoportal/catalog/AIM/AIM.page)
Metadata is aviable </t>
  </si>
  <si>
    <t>Data is relased till !!, EPA is not sure when the !!!!! Data set will be released. Colletion methods have not changed throught the history of the project.  
EPA NARS data and metadata is avaiable on the NARS data page and is shared as .csv files</t>
  </si>
  <si>
    <t>Data is released every 5 years with the 5 year report, metadata. 
Collection protocols are posted!!!. 
AREMP data can be found with the five-year reports and in a downloadable ArcGIS geodatabase</t>
  </si>
  <si>
    <t>Datasets is not released publialy. USFS and BLM users inside the firewall can access the data. 
Collection protocols are posted on !!!, last updated in !!! 
Data is shared in reports and publications but there is no standalone dataset shared</t>
  </si>
  <si>
    <t xml:space="preserve">Data collection protocols are posted on MonitoringResouces.org. Data collection methods are versioned when the collection methology changes. 
Each </t>
  </si>
  <si>
    <t>I1. (meta)data use a formal, accessible, shared, and broadly applicable language for knowledge representation.  
I2. (meta)data use vocabularies that follow FAIR principles 
I3. (meta)data include qualified references to other (meta)data</t>
  </si>
  <si>
    <t xml:space="preserve">Each metric </t>
  </si>
  <si>
    <t xml:space="preserve">Darwin Core </t>
  </si>
  <si>
    <t xml:space="preserve">type </t>
  </si>
  <si>
    <t xml:space="preserve">modified </t>
  </si>
  <si>
    <t xml:space="preserve">bibilographicCititation </t>
  </si>
  <si>
    <t xml:space="preserve">	A bibliographic reference for the resource as a statement indicating how this record should be cited (attributed) when used.</t>
  </si>
  <si>
    <t xml:space="preserve">CollectionID </t>
  </si>
  <si>
    <t>An identifier for the collection or dataset from which the record was derived.</t>
  </si>
  <si>
    <t xml:space="preserve">datasetID </t>
  </si>
  <si>
    <t>An identifier for the set of data. May be a global unique identifier or an identifier specific to a collection or institution.</t>
  </si>
  <si>
    <t xml:space="preserve">	The name (or acronym) in use by the institution having custody of the object(s) or information referred to in the record</t>
  </si>
  <si>
    <t>institutionCode</t>
  </si>
  <si>
    <t xml:space="preserve">eventID </t>
  </si>
  <si>
    <t>An identifier for the set of information associated with an Event (something that occurs at a place and time). May be a global unique identifier or an identifier specific to the data set.</t>
  </si>
  <si>
    <t xml:space="preserve">Darwin Core - Event </t>
  </si>
  <si>
    <t>The date-time or interval during which an Event occurred. For occurrences, this is the date-time when the event was recorded. Not suitable for a time in a geological context.</t>
  </si>
  <si>
    <t>The four-digit year in which the Event occurred, according to the Common Era Calendar.</t>
  </si>
  <si>
    <t>verbatimEventDate</t>
  </si>
  <si>
    <t>The verbatim original representation of the date and time information for an Event.</t>
  </si>
  <si>
    <t>fieldNotes</t>
  </si>
  <si>
    <t>One of a) an indicator of the existence of, b) a reference to (publication, URI), or c) the text of notes taken in the field about the Event.</t>
  </si>
  <si>
    <t>The name of the next smaller administrative region than country (state, province, canton, department, region, etc.) in which the Location occurs.</t>
  </si>
  <si>
    <t>decimalLatitude</t>
  </si>
  <si>
    <t>The geographic latitude (in decimal degrees, using the spatial reference system given in geodeticDatum) of the geographic center of a Location. Positive values are north of the Equator, negative values are south of it. Legal values lie between -90 and 90, inclusive.</t>
  </si>
  <si>
    <t>The geographic longitude (in decimal degrees, using the spatial reference system given in geodeticDatum) of the geographic center of a Location. Positive values are east of the Greenwich Meridian, negative values are west of it. Legal values lie between -180 and 180, inclusive.</t>
  </si>
  <si>
    <t>decimalLongitude</t>
  </si>
  <si>
    <t>geodeticDatum</t>
  </si>
  <si>
    <t>The ellipsoid, geodetic datum, or spatial reference system (SRS) upon which the geographic coordinates given in decimalLatitude and decimalLongitude as based.</t>
  </si>
  <si>
    <t>verbatimLatitude</t>
  </si>
  <si>
    <t>verbatimLongitude</t>
  </si>
  <si>
    <t>The verbatim original longitude of the Location. The coordinate ellipsoid, geodeticDatum, or full Spatial Reference System (SRS) for these coordinates should be stored in verbatimSRS and the coordinate system should be stored in verbatimCoordinateSystem.</t>
  </si>
  <si>
    <t>verbatimCoordinateSystem</t>
  </si>
  <si>
    <t>The spatial coordinate system for the verbatimLatitude and verbatimLongitude or the verbatimCoordinates of the Location.</t>
  </si>
  <si>
    <t xml:space="preserve">Mean Slope of water surface (%) from the bottom of the reach to the top of the reach. </t>
  </si>
  <si>
    <t xml:space="preserve">Average bankfull height measured from water surface across transects. </t>
  </si>
  <si>
    <t xml:space="preserve">Average bankfull width across transects. </t>
  </si>
  <si>
    <t xml:space="preserve">Average Bankfull Width/Depth Ratio across transects. </t>
  </si>
  <si>
    <t xml:space="preserve">Average wetted width across transects. </t>
  </si>
  <si>
    <t xml:space="preserve">Average of the residual pool depth values for all pools in a reach. Residual pool depth the difference of the pool tail depth from the max depth. </t>
  </si>
  <si>
    <t xml:space="preserve">Percent of the sample reach (linear extent) classified as pool habitat </t>
  </si>
  <si>
    <t>Percent of the reach that was dry</t>
  </si>
  <si>
    <t>Particle size corresponding to the 50th percentile of measured particles</t>
  </si>
  <si>
    <t>Average percent fine sediment (&lt; 2mm) on the pool tail</t>
  </si>
  <si>
    <t>Percent of particles counted with a b-axis &lt; 2 mm</t>
  </si>
  <si>
    <t>Average percent fine sediment (&lt; 6mm) on the pool tail</t>
  </si>
  <si>
    <t xml:space="preserve">Percent of particles with a b-axis &lt; 6 mm </t>
  </si>
  <si>
    <t xml:space="preserve">Biological condition was assessed using an observed/expected (O/E) index. </t>
  </si>
  <si>
    <t>Biological condition was assessed using the MMI (MultimetricIndex)</t>
  </si>
  <si>
    <t xml:space="preserve">Strahler stream order of the site from the provider dataset </t>
  </si>
  <si>
    <t xml:space="preserve">Text </t>
  </si>
  <si>
    <t xml:space="preserve">Beaver value from the provider dataset. </t>
  </si>
  <si>
    <t xml:space="preserve">Beaver Present </t>
  </si>
  <si>
    <t xml:space="preserve">BeaverPresent </t>
  </si>
  <si>
    <t>LongName</t>
  </si>
  <si>
    <t>Number that identifies a unique sampling location. A site is a stream segment with a fixed starting and ending location for sampling</t>
  </si>
  <si>
    <t>rightsHolder</t>
  </si>
  <si>
    <t>A person or organization owning or managing rights over the resource.</t>
  </si>
  <si>
    <t xml:space="preserve">Example: BLM AIM, EPA NARS, USFS ARMEP </t>
  </si>
  <si>
    <t>Darwin Core</t>
  </si>
  <si>
    <t>verbatimWaterbody</t>
  </si>
  <si>
    <t xml:space="preserve">waterbody </t>
  </si>
  <si>
    <t xml:space="preserve">InstitutionID </t>
  </si>
  <si>
    <t>An identifier for the institution having custody of the object(s) or information referred to in the record.</t>
  </si>
  <si>
    <t>Recommended best practice is to use a date that conforms to ISO 8601:2004(E).</t>
  </si>
  <si>
    <t>Text</t>
  </si>
  <si>
    <t xml:space="preserve">	Example) http://biocol.org/urn:lsid:biocol.org:col:34777, http://grbio.org/cool/km06-gtbn</t>
  </si>
  <si>
    <t>Example) https://www.epa.gov/national-aquatic-resource-surveys</t>
  </si>
  <si>
    <t xml:space="preserve">The ScienceBase ID number of the dataset  </t>
  </si>
  <si>
    <t>The name identifying the data set from which the record was derived.</t>
  </si>
  <si>
    <t xml:space="preserve">Example: EPA NARS 2018 dataset </t>
  </si>
  <si>
    <t>The time or interval during which an Event occurred.</t>
  </si>
  <si>
    <t xml:space="preserve">Time </t>
  </si>
  <si>
    <t xml:space="preserve">samplingProtocol </t>
  </si>
  <si>
    <t>locationID</t>
  </si>
  <si>
    <t>The name of, reference to, or description of the method or protocol used during an Event. MonitoringResources.org protocol ID number</t>
  </si>
  <si>
    <t>From the Data Set Latitude</t>
  </si>
  <si>
    <t>From the DatasetCoordinateSystem</t>
  </si>
  <si>
    <t>From the dataset Longitude</t>
  </si>
  <si>
    <t xml:space="preserve">Standard Longitude </t>
  </si>
  <si>
    <t xml:space="preserve">Standard Latitude </t>
  </si>
  <si>
    <t xml:space="preserve">Site Identification </t>
  </si>
  <si>
    <t>Institution Code</t>
  </si>
  <si>
    <t>datasetName</t>
  </si>
  <si>
    <t>Dataset Name</t>
  </si>
  <si>
    <t>Stream Name From the Dataset</t>
  </si>
  <si>
    <t xml:space="preserve">In habitat datasets this is often referred to as the SiteID. This ID identifying the location, while the reachID corresponds to the EventID. We use locationID to corresponds to Darwin Core standard. </t>
  </si>
  <si>
    <t xml:space="preserve">State From the Dataset </t>
  </si>
  <si>
    <t xml:space="preserve"> In habitat datasets this is often referred to as the ReachID. This ID identifying a unique visit to a location, while the SiteID corresponds to the LocationID. We use eventID to corresponds to Darwin Core standard. </t>
  </si>
  <si>
    <t xml:space="preserve">The name of the water body in which the Location occurs from the NHD+ layer. </t>
  </si>
  <si>
    <t xml:space="preserve">Sampling Protocol </t>
  </si>
  <si>
    <t>From the Dataset Location Identification</t>
  </si>
  <si>
    <t>This is the location identification for the integrated data set the value is the concatenation of the verbatimlocationID and the institutionCode. Example) 5483AIM, 88963AREMP, WtR563EPA</t>
  </si>
  <si>
    <t>BFWDRatio</t>
  </si>
  <si>
    <t>BFHeight</t>
  </si>
  <si>
    <t>LWDFreq</t>
  </si>
  <si>
    <t>LWDVol</t>
  </si>
  <si>
    <t xml:space="preserve">Frequency of large woody debris within the channel of the reach. </t>
  </si>
  <si>
    <t>Volume of LWD within the channel of the reach</t>
  </si>
  <si>
    <t>Example:  AIM, NARS, AREMP, PIBO</t>
  </si>
  <si>
    <t xml:space="preserve">Unique number that identifies one sample of a particular site. </t>
  </si>
  <si>
    <t>verbatimLocation</t>
  </si>
  <si>
    <t xml:space="preserve">YEAR </t>
  </si>
  <si>
    <t>SITENAME</t>
  </si>
  <si>
    <t>LAT_DD</t>
  </si>
  <si>
    <t>LON_DD</t>
  </si>
  <si>
    <t xml:space="preserve">Character </t>
  </si>
  <si>
    <t>Character</t>
  </si>
  <si>
    <t>STATE</t>
  </si>
  <si>
    <t>ADMIN_ST</t>
  </si>
  <si>
    <t>substrate</t>
  </si>
  <si>
    <t>pool_fines</t>
  </si>
  <si>
    <t>CodeForMapPopUp</t>
  </si>
  <si>
    <t xml:space="preserve">The verbatim original latitude of the Location. The coordinate ellipsoid, geodeticDatum, or full Spatial Reference System (SRS) for these coordinates should be stored in verbatimSRS and the coordinate system should be stored in verbatimCoordinateSystem. </t>
  </si>
  <si>
    <t xml:space="preserve">For this dataset we use the botton of the reach as the location. </t>
  </si>
  <si>
    <t>The water body name from the original data set.</t>
  </si>
  <si>
    <t xml:space="preserve">For this data set this field is often refered to as Stream Name. </t>
  </si>
  <si>
    <t>StateProvince</t>
  </si>
  <si>
    <t>AREMPField</t>
  </si>
  <si>
    <t>BLMField</t>
  </si>
  <si>
    <t>EPA2008Field</t>
  </si>
  <si>
    <t>EPA2004Field</t>
  </si>
  <si>
    <t>PIBOField</t>
  </si>
  <si>
    <t>CategoryID</t>
  </si>
  <si>
    <t>FieldID</t>
  </si>
  <si>
    <t>Field</t>
  </si>
  <si>
    <t>Definition</t>
  </si>
  <si>
    <t>DataType</t>
  </si>
  <si>
    <t>Unit</t>
  </si>
  <si>
    <t>AREMPUnits</t>
  </si>
  <si>
    <t>BLMDescriptionIfDifferentFromDefinition</t>
  </si>
  <si>
    <t>BLMNote</t>
  </si>
  <si>
    <t>BLMDataType</t>
  </si>
  <si>
    <t>Published compadability</t>
  </si>
  <si>
    <t>SubsetOfMetrics</t>
  </si>
  <si>
    <t>NotesCodesConventions</t>
  </si>
  <si>
    <t>AREMPDescriptionIfDifferentFromDefinition</t>
  </si>
  <si>
    <t>BLMFieldFromMetadata</t>
  </si>
  <si>
    <t>BLMCollectionMethodID</t>
  </si>
  <si>
    <t>BLMAnalysisMethodID</t>
  </si>
  <si>
    <t>EPAAnalysisMethodID</t>
  </si>
  <si>
    <t>EPACollectionMethodID</t>
  </si>
  <si>
    <t>PIBOCollectionMethodID</t>
  </si>
  <si>
    <t>PIBOAnalysisMethodID</t>
  </si>
  <si>
    <t>AREMPCollectionMethodID</t>
  </si>
  <si>
    <t>AREMPAnalysisMethodID</t>
  </si>
  <si>
    <t>EPADescriptionIfDifferentFromDefinition</t>
  </si>
  <si>
    <t>EPADescription</t>
  </si>
  <si>
    <t>EPAUnits</t>
  </si>
  <si>
    <t>PIBODescriptionIfDifferentFromDescription</t>
  </si>
  <si>
    <t>InDES</t>
  </si>
  <si>
    <t xml:space="preserve">Categorial value to indicate if the field is part of the data exchange specification </t>
  </si>
  <si>
    <t>A</t>
  </si>
  <si>
    <t>Code to be used in the leaflet map pop up</t>
  </si>
  <si>
    <t xml:space="preserve">Catagories: </t>
  </si>
  <si>
    <t xml:space="preserve">Notes, codes, conventions </t>
  </si>
  <si>
    <t xml:space="preserve">The AREMP long name from the metadata </t>
  </si>
  <si>
    <t>Unit of metric in the AREMP data set</t>
  </si>
  <si>
    <t xml:space="preserve">The ID number of the data collection method documented in MonitoringResources.org </t>
  </si>
  <si>
    <t xml:space="preserve">The ID number of the data analysis method documented in MonitoringResources.org </t>
  </si>
  <si>
    <t xml:space="preserve">The BLM field name from the metadata </t>
  </si>
  <si>
    <t xml:space="preserve">Description of the element if it is different from the definition defined in the "Definition" </t>
  </si>
  <si>
    <t xml:space="preserve">The BLM description from the BLM metadata. </t>
  </si>
  <si>
    <t xml:space="preserve">Notes from BLM metadata </t>
  </si>
  <si>
    <t xml:space="preserve">Data type form the BLM metadata </t>
  </si>
  <si>
    <t>Fields</t>
  </si>
  <si>
    <t xml:space="preserve">ID number for the field within the category </t>
  </si>
  <si>
    <t xml:space="preserve">A classification of fields initially based on categories in the EPA and PIBO metadata </t>
  </si>
  <si>
    <t xml:space="preserve">Unit of the metric from the EPA metadata </t>
  </si>
  <si>
    <t xml:space="preserve">Becca's notes </t>
  </si>
  <si>
    <t xml:space="preserve">Unit of the metric from the PIBO metadata </t>
  </si>
  <si>
    <t xml:space="preserve">Description of the element from the PIBO metadata </t>
  </si>
  <si>
    <t xml:space="preserve">The long name from the PIBO metadata </t>
  </si>
  <si>
    <t xml:space="preserve">Count of number of programs that produce that report the metric </t>
  </si>
  <si>
    <t xml:space="preserve">Indication </t>
  </si>
  <si>
    <t>ID number for the category</t>
  </si>
  <si>
    <t xml:space="preserve">Unit in the integrated data set </t>
  </si>
  <si>
    <t xml:space="preserve">Categorial value to indicate if the metric is included in the integrated data set </t>
  </si>
  <si>
    <t xml:space="preserve">Field name to be used in the integrated data set. Often a common abbreviation or name with spaces removed </t>
  </si>
  <si>
    <t xml:space="preserve">Description of the metric or metadata element. If element is describing the metadata of the dataset or collection event  i.e. location, collector name, date the definitions are consistent with the Darwin Core Standard. For metric elements the definition is taken from one of the four pilot programs BLM AIM, EPA NARS, USFS AREMP or PIBO. </t>
  </si>
  <si>
    <t xml:space="preserve">Categorical attribute indicating the type of value a variable has and what type of mathematical, relational or logical operations can be applied to it without causing an error. </t>
  </si>
  <si>
    <t>The column header in the AREMP data set</t>
  </si>
  <si>
    <t xml:space="preserve">The column header in the BLM data set. The metadata and the data set field names don't always agree. </t>
  </si>
  <si>
    <t xml:space="preserve">From the BLM metadata a prediction of the metric's response to stress. </t>
  </si>
  <si>
    <t xml:space="preserve">Unit of the metric from the BLM metadata </t>
  </si>
  <si>
    <t xml:space="preserve">From the BLM metadata the minimum potential value of the metric </t>
  </si>
  <si>
    <t xml:space="preserve">From the BLM metadata the maximum potential value of the metrics </t>
  </si>
  <si>
    <t xml:space="preserve">The column header in the 2008 EPA data set </t>
  </si>
  <si>
    <t>The column header in the 2004 EPA data set</t>
  </si>
  <si>
    <t xml:space="preserve">The column header in the EPA boatebale data set </t>
  </si>
  <si>
    <t xml:space="preserve">Description of the element from the EPA metadata </t>
  </si>
  <si>
    <t xml:space="preserve">The column header in the PIBO data set </t>
  </si>
  <si>
    <t xml:space="preserve">A note on the method compatibility between the program </t>
  </si>
  <si>
    <t>Integer</t>
  </si>
  <si>
    <t>Integer (need to check this)</t>
  </si>
  <si>
    <t xml:space="preserve">Integer </t>
  </si>
  <si>
    <t>Categorical</t>
  </si>
  <si>
    <t>The most recent date-time on which the combined dataset was changed.</t>
  </si>
  <si>
    <t>Reach sinuosity (reach length along the thalweg divided by straight line distance between the bottom of the reach and the top of the reach)</t>
  </si>
  <si>
    <t xml:space="preserve">Indication if beaver's have disturbed the flow of the stream in the reach.  </t>
  </si>
  <si>
    <t xml:space="preserve">Location Identification </t>
  </si>
  <si>
    <t xml:space="preserve">Event Identification  </t>
  </si>
  <si>
    <t>Standardized Date</t>
  </si>
  <si>
    <t xml:space="preserve">EPA Hybrid Level III Ecoregion </t>
  </si>
  <si>
    <t xml:space="preserve">Channel Incision Height -Standard Deviation </t>
  </si>
  <si>
    <t xml:space="preserve">Minimum Bankfull Width at a Reach </t>
  </si>
  <si>
    <t xml:space="preserve">Maxima Bankfull Width at a Reach </t>
  </si>
  <si>
    <t xml:space="preserve">Length of Sample Reach at Original Sampling Occurrence </t>
  </si>
  <si>
    <t xml:space="preserve">Bank Cover Vegetation </t>
  </si>
  <si>
    <t>Thalweg substrate -Standard Deviation (LOG10)</t>
  </si>
  <si>
    <t xml:space="preserve">Bed Surface course gravel or smaller </t>
  </si>
  <si>
    <t>Hydraulic Resistance, Total at Bankfull</t>
  </si>
  <si>
    <t xml:space="preserve">Large Wood Volume in Bankful Channel Dry Including Dry </t>
  </si>
  <si>
    <t xml:space="preserve">Total Number of Pieces less then 30 CM  Dimander </t>
  </si>
  <si>
    <t>The nature or genre of the resource.</t>
  </si>
  <si>
    <t>IncludeInCrosswalk</t>
  </si>
  <si>
    <t>NotesConventions</t>
  </si>
  <si>
    <t>AREMPFieldCorrection</t>
  </si>
  <si>
    <t>BLMFieldCorrection</t>
  </si>
  <si>
    <t>EPA2004FieldCorrection</t>
  </si>
  <si>
    <t>EPA2008FieldCorrection</t>
  </si>
  <si>
    <t>PIBOFieldCorrection</t>
  </si>
  <si>
    <t xml:space="preserve">Data manager correction or note on the field cross-walk </t>
  </si>
  <si>
    <t>AREMPMethodComment</t>
  </si>
  <si>
    <t>BLMMethodComment</t>
  </si>
  <si>
    <t>EPAMethodComment</t>
  </si>
  <si>
    <t>PIBOMethodComment</t>
  </si>
  <si>
    <t>y</t>
  </si>
  <si>
    <t>Customized 6847</t>
  </si>
  <si>
    <t>PRTCL</t>
  </si>
  <si>
    <t>verbatimlocationID</t>
  </si>
  <si>
    <t>AREMPCustomized</t>
  </si>
  <si>
    <t>BLMCustomized</t>
  </si>
  <si>
    <t>EPACustomized</t>
  </si>
  <si>
    <t>PIBOCustomized</t>
  </si>
  <si>
    <t xml:space="preserve">Insidious Air Temperature  </t>
  </si>
  <si>
    <t>Macroinvertebrate</t>
  </si>
  <si>
    <t>Percent of  Ephemeroptera, Plecoptera, and Trichoptera taxa</t>
  </si>
  <si>
    <t>Percent Chironomidae taxa</t>
  </si>
  <si>
    <t>Not sure EPA is compadable with AREMP and PIBO</t>
  </si>
  <si>
    <t>Not sure if the same metric because it is  based on WSA autecology</t>
  </si>
  <si>
    <t>AREMPDescription</t>
  </si>
  <si>
    <t>Number that identifies a unique sampling location.  A site is a stream segment with a fixed starting and ending location for sampling.</t>
  </si>
  <si>
    <t>categorical: I, IQ, IO, K, KQ, KO, C, F</t>
  </si>
  <si>
    <t xml:space="preserve">IQ = The second or subsequent sample of an integrator site within one year. </t>
  </si>
  <si>
    <t>IO = Obsolete integrator.  These sites are no longer part of the PIBO EM 5-year rotating panel study design.  These sites won't be revisited.</t>
  </si>
  <si>
    <t>KQ = The second or subsequent sample of a DMA site.</t>
  </si>
  <si>
    <t>KO = Obsolete DMA.  These sites won't be revisited, and an 'active' DMA is established in the same 6th field hydrologic unit to replace the obsolete site if possible.</t>
  </si>
  <si>
    <t xml:space="preserve">C = Contract sites.  Synonymous with 'CNTRCT' sites. Additional sampling that is not part of the PIBO EM study design and funded by local Forest Service or BLM field units.  Sub-watersheds are selected by the contracting unit, while site selection within the sub-watershed and sampling methods are typically similar to an integrator. In-stream habitat data are collected.  Stream temperature, aquatic macroinvertebrate, and riparian vegetation may / may not be collected. Additional information is available on request.   </t>
  </si>
  <si>
    <t>F = Sampled by non-PIBO EM Forest Service employees. Synonymous with FS sites.  Site selected by Forest Service personnel and sampled using the same procedures as integrator sites in most instances.</t>
  </si>
  <si>
    <t>Relevant to CRB and MRB sites which are sampled on a 5-year rotation.  Panel year 1 sites are sampled 2001, 2006, 2011, etc.  Panel year 2 sites are sampled 2002, 2007, 2012, etc.</t>
  </si>
  <si>
    <t>HUCNUM6</t>
  </si>
  <si>
    <t>USDA Natural Resources Conservation Service (NRCS), Hydrologic Unit Code for 6th field sub-watersheds.  Codes were derived from the Watershed Boundary Dataset (WBD), a comprehensive aggregated collection of hydrologic unit data consistent with the national criteria for delineation and resolution, and based on topographic and hydrologic features across the United States. http://www.ncgc.nrcs.usda.gov/products/datasets/watershed/index.html</t>
  </si>
  <si>
    <t>Forest Service Region or BLM state office where site occurs.</t>
  </si>
  <si>
    <t>Coordinates for mapping. Coordinates were derived by: 1) plotting NAD 1927 UTM coordinates recorded by field crews in GIS; 2) moving each point to the appropriate location on the 1:24000 National Hydrography Dataset (NHD; http://nhd.usgs.gov/) stream line if necessary; 3) converting NAD 27 UTMs to NAD 83; and 4) converting units to Latitude/Longitude coordinates.  NOTE: these coordinates are not suitable for locating sites on the ground.</t>
  </si>
  <si>
    <r>
      <t>Managed or Reference. Reference sites have minimal management: catchment road densities less than 0.5 km/km</t>
    </r>
    <r>
      <rPr>
        <vertAlign val="superscript"/>
        <sz val="10"/>
        <rFont val="Arial"/>
        <family val="2"/>
      </rPr>
      <t>2</t>
    </r>
    <r>
      <rPr>
        <sz val="10"/>
        <rFont val="Arial"/>
        <family val="2"/>
      </rPr>
      <t>, riparian road densities less than 0.25 km/km</t>
    </r>
    <r>
      <rPr>
        <vertAlign val="superscript"/>
        <sz val="10"/>
        <rFont val="Arial"/>
        <family val="2"/>
      </rPr>
      <t>2</t>
    </r>
    <r>
      <rPr>
        <sz val="10"/>
        <rFont val="Arial"/>
        <family val="2"/>
      </rPr>
      <t>, no grazing within 30 years, and no known in-channel mining upstream of the integrator site.</t>
    </r>
  </si>
  <si>
    <r>
      <t>km</t>
    </r>
    <r>
      <rPr>
        <vertAlign val="superscript"/>
        <sz val="10"/>
        <rFont val="Arial"/>
        <family val="2"/>
      </rPr>
      <t>2</t>
    </r>
  </si>
  <si>
    <t>Derived from 10 m Digital Elevation Models (DEM) from the USGS National Elevation Dataset: http://seamless.usgs.gov/.  Acquired from the remote sensing application center (RSAC).</t>
  </si>
  <si>
    <t>Precip</t>
  </si>
  <si>
    <t>Annual precipitation</t>
  </si>
  <si>
    <t>Derived from PRISM Group climate grids: http://prism.oregonstate.edu/.  PRISM (Parameter-elevation Regressions on Independent Slopes Model) climate mapping system is a knowledge-based system that uses point measurements of precipitation, temperature, and other climatic factors to produce continuous digital grid estimates of monthly, yearly, and event-based climatic parameters. Continuously updated, this unique analytical tool incorporates point data, a DEM, and expert knowledge of complex climatic extremes, including rain shadows, coastal effects, and temperature inversions. PRISM data sets are recognized world-wide as the highest-quality spatial climate data sets currently available and is the USDA's official climatological data.</t>
  </si>
  <si>
    <t>Stream temperature</t>
  </si>
  <si>
    <t xml:space="preserve">TempDays </t>
  </si>
  <si>
    <t>Number of days that stream temperature data was summarized.</t>
  </si>
  <si>
    <t>PIBO EM summarizes hourly stream temperature data from July 15th through August 31st (max value = 48 days).  We typically have data collected before and after these dates; this unsummarized data is available upon request.</t>
  </si>
  <si>
    <t>Number of Days</t>
  </si>
  <si>
    <t>WMTdays</t>
  </si>
  <si>
    <t>Number of days the weekly maximum temperature (WMT) was calculated.</t>
  </si>
  <si>
    <t>For a particular WMT day, the WMT is calculated by averaging the maximum temperatures recorded on each of the first seven days; the average is calculated and reported on the seventh day.  Because of this, WMT values (MWMT, WMT12, WMT18, WMT22) cannot be calculated for the first 6 days of each data set. The maximum number of WMTdays is 42.  Some reaches have less than 42 WMTdays because the stream went dry, the temperature device malfunctioned, or the device was not deployed for the entire period.</t>
  </si>
  <si>
    <t>StartDate</t>
  </si>
  <si>
    <t>First day stream temperature data were sumarized.</t>
  </si>
  <si>
    <t>July 15th is the intended 'Start Date'.  Note that data is populated for all sites that have data within but not necessarily thought this time series; this may impact the ability to compare temperature data across sites.</t>
  </si>
  <si>
    <t>EndDate</t>
  </si>
  <si>
    <t>Last day stream temperature data were summarized.</t>
  </si>
  <si>
    <t>August 31st is the intended 'End Date'. Note that data is populated for all sites that have data within but not necessarily thought this time series; this may impact the ability to compare temperature data across sites.</t>
  </si>
  <si>
    <t>AvgTemp</t>
  </si>
  <si>
    <t>Average temperature.</t>
  </si>
  <si>
    <t>Average of all hourly temp readings July 15th - August 31st.</t>
  </si>
  <si>
    <t>Degrees Celsius</t>
  </si>
  <si>
    <t>MDMT</t>
  </si>
  <si>
    <t>Maximum daily maximum temperature.</t>
  </si>
  <si>
    <t>This is the highest hourly temperature reading recorded from July 15th - August 31st.</t>
  </si>
  <si>
    <t>MWMT</t>
  </si>
  <si>
    <t>Maximum weekly maximum temperature.</t>
  </si>
  <si>
    <t>Maximum value of averaged weekly maximum temperatures (WMT).</t>
  </si>
  <si>
    <t>WMT12</t>
  </si>
  <si>
    <t>Weekly maximum temperature greater than 12°C.</t>
  </si>
  <si>
    <t>Number of days the weekly maximum temperature (WMT) exceeds 12°C.</t>
  </si>
  <si>
    <t>WMT18</t>
  </si>
  <si>
    <t>Weekly maximum temperature greater than 18°C.</t>
  </si>
  <si>
    <t>Number of days the weekly maximum temperature (WMT) exceeds 18°C.</t>
  </si>
  <si>
    <t>WMT22</t>
  </si>
  <si>
    <t>Weekly maximum temperature greater than 22°C.</t>
  </si>
  <si>
    <t>Number of days the weekly maximum temperature (WMT) exceeds 22°C.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</si>
</sst>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9">
    <font>
      <sz val="10"/>
      <color rgb="FF000000"/>
      <name val="Arial"/>
    </font>
    <font>
      <sz val="11"/>
      <color theme="1"/>
      <name val="Calibri"/>
      <family val="2"/>
      <scheme val="minor"/>
    </font>
    <font>
      <sz val="11"/>
      <name val="Arial"/>
      <family val="2"/>
    </font>
    <font>
      <b/>
      <sz val="10"/>
      <name val="Arial"/>
      <family val="2"/>
    </font>
    <font>
      <sz val="10"/>
      <name val="Arial"/>
      <family val="2"/>
    </font>
    <font>
      <u/>
      <sz val="10"/>
      <color rgb="FF0000FF"/>
      <name val="Arial"/>
      <family val="2"/>
    </font>
    <font>
      <sz val="11"/>
      <color rgb="FF000000"/>
      <name val="Arial"/>
      <family val="2"/>
    </font>
    <font>
      <sz val="11"/>
      <color rgb="FF000000"/>
      <name val="Calibri"/>
      <family val="2"/>
    </font>
    <font>
      <sz val="10"/>
      <name val="Arial"/>
      <family val="2"/>
    </font>
    <font>
      <sz val="11"/>
      <name val="Calibri"/>
      <family val="2"/>
    </font>
    <font>
      <b/>
      <sz val="11"/>
      <color rgb="FF000000"/>
      <name val="Calibri"/>
      <family val="2"/>
    </font>
    <font>
      <sz val="11"/>
      <color rgb="FF000000"/>
      <name val="Inconsolata"/>
    </font>
    <font>
      <b/>
      <sz val="11"/>
      <name val="Calibri"/>
      <family val="2"/>
    </font>
    <font>
      <b/>
      <sz val="10"/>
      <color rgb="FF000000"/>
      <name val="Arial"/>
      <family val="2"/>
    </font>
    <font>
      <b/>
      <sz val="10"/>
      <name val="Arial"/>
      <family val="2"/>
    </font>
    <font>
      <b/>
      <sz val="12"/>
      <color rgb="FF000000"/>
      <name val="Calibri"/>
      <family val="2"/>
    </font>
    <font>
      <sz val="10"/>
      <color rgb="FF000000"/>
      <name val="Arial"/>
      <family val="2"/>
    </font>
    <font>
      <sz val="10"/>
      <color rgb="FFFF0000"/>
      <name val="Arial"/>
      <family val="2"/>
    </font>
    <font>
      <sz val="11"/>
      <color rgb="FFFF0000"/>
      <name val="Calibri"/>
      <family val="2"/>
    </font>
    <font>
      <b/>
      <sz val="11"/>
      <name val="Arial"/>
      <family val="2"/>
    </font>
    <font>
      <b/>
      <sz val="11"/>
      <color rgb="FF000000"/>
      <name val="Arial"/>
      <family val="2"/>
    </font>
    <font>
      <b/>
      <sz val="10"/>
      <color rgb="FF000000"/>
      <name val="Arial"/>
      <family val="2"/>
    </font>
    <font>
      <sz val="10"/>
      <name val="Arial"/>
      <family val="2"/>
    </font>
    <font>
      <sz val="11"/>
      <name val="Arial"/>
      <family val="2"/>
    </font>
    <font>
      <sz val="11"/>
      <color rgb="FF000000"/>
      <name val="Calibri"/>
      <family val="2"/>
    </font>
    <font>
      <sz val="10"/>
      <color rgb="FF000000"/>
      <name val="Lucida Console"/>
      <family val="3"/>
    </font>
    <font>
      <sz val="10"/>
      <color indexed="8"/>
      <name val="Arial"/>
      <family val="2"/>
    </font>
    <font>
      <vertAlign val="superscript"/>
      <sz val="10"/>
      <name val="Arial"/>
      <family val="2"/>
    </font>
    <font>
      <b/>
      <sz val="10"/>
      <color indexed="8"/>
      <name val="Arial"/>
      <family val="2"/>
    </font>
  </fonts>
  <fills count="39">
    <fill>
      <patternFill patternType="none"/>
    </fill>
    <fill>
      <patternFill patternType="gray125"/>
    </fill>
    <fill>
      <patternFill patternType="solid">
        <fgColor rgb="FFC0C0C0"/>
        <bgColor rgb="FFC0C0C0"/>
      </patternFill>
    </fill>
    <fill>
      <patternFill patternType="solid">
        <fgColor rgb="FFF4CCCC"/>
        <bgColor rgb="FFF4CCCC"/>
      </patternFill>
    </fill>
    <fill>
      <patternFill patternType="solid">
        <fgColor rgb="FFA4C2F4"/>
        <bgColor rgb="FFA4C2F4"/>
      </patternFill>
    </fill>
    <fill>
      <patternFill patternType="solid">
        <fgColor rgb="FFF9CB9C"/>
        <bgColor rgb="FFF9CB9C"/>
      </patternFill>
    </fill>
    <fill>
      <patternFill patternType="solid">
        <fgColor rgb="FFFF00FF"/>
        <bgColor rgb="FFFF00FF"/>
      </patternFill>
    </fill>
    <fill>
      <patternFill patternType="solid">
        <fgColor rgb="FFFF9900"/>
        <bgColor rgb="FFFF9900"/>
      </patternFill>
    </fill>
    <fill>
      <patternFill patternType="solid">
        <fgColor rgb="FFFFFFFF"/>
        <bgColor rgb="FFFFFFFF"/>
      </patternFill>
    </fill>
    <fill>
      <patternFill patternType="solid">
        <fgColor rgb="FF00FFFF"/>
        <bgColor rgb="FF00FFFF"/>
      </patternFill>
    </fill>
    <fill>
      <patternFill patternType="solid">
        <fgColor rgb="FFCCFFCC"/>
        <bgColor rgb="FFCCFFCC"/>
      </patternFill>
    </fill>
    <fill>
      <patternFill patternType="solid">
        <fgColor rgb="FFFFFF00"/>
        <bgColor rgb="FFFFFF00"/>
      </patternFill>
    </fill>
    <fill>
      <patternFill patternType="solid">
        <fgColor rgb="FFD5A6BD"/>
        <bgColor rgb="FFD5A6BD"/>
      </patternFill>
    </fill>
    <fill>
      <patternFill patternType="solid">
        <fgColor rgb="FFA2C4C9"/>
        <bgColor rgb="FFA2C4C9"/>
      </patternFill>
    </fill>
    <fill>
      <patternFill patternType="solid">
        <fgColor rgb="FF008000"/>
        <bgColor rgb="FF008000"/>
      </patternFill>
    </fill>
    <fill>
      <patternFill patternType="solid">
        <fgColor rgb="FFE6B8AF"/>
        <bgColor rgb="FFE6B8AF"/>
      </patternFill>
    </fill>
    <fill>
      <patternFill patternType="solid">
        <fgColor rgb="FF808000"/>
        <bgColor rgb="FF808000"/>
      </patternFill>
    </fill>
    <fill>
      <patternFill patternType="solid">
        <fgColor rgb="FF8E7CC3"/>
        <bgColor rgb="FF8E7CC3"/>
      </patternFill>
    </fill>
    <fill>
      <patternFill patternType="solid">
        <fgColor rgb="FF00CCFF"/>
        <bgColor rgb="FF00CCFF"/>
      </patternFill>
    </fill>
    <fill>
      <patternFill patternType="solid">
        <fgColor rgb="FF7030A0"/>
        <bgColor rgb="FF7030A0"/>
      </patternFill>
    </fill>
    <fill>
      <patternFill patternType="solid">
        <fgColor rgb="FFB4A7D6"/>
        <bgColor rgb="FFB4A7D6"/>
      </patternFill>
    </fill>
    <fill>
      <patternFill patternType="solid">
        <fgColor rgb="FF93C47D"/>
        <bgColor rgb="FF93C47D"/>
      </patternFill>
    </fill>
    <fill>
      <patternFill patternType="solid">
        <fgColor rgb="FFD9EAD3"/>
        <bgColor rgb="FFD9EAD3"/>
      </patternFill>
    </fill>
    <fill>
      <patternFill patternType="solid">
        <fgColor rgb="FFF6B26B"/>
        <bgColor rgb="FFF6B26B"/>
      </patternFill>
    </fill>
    <fill>
      <patternFill patternType="solid">
        <fgColor rgb="FFBFBFBF"/>
        <bgColor rgb="FFBFBFBF"/>
      </patternFill>
    </fill>
    <fill>
      <patternFill patternType="solid">
        <fgColor rgb="FFCCCCCC"/>
        <bgColor rgb="FFCCCCCC"/>
      </patternFill>
    </fill>
    <fill>
      <patternFill patternType="solid">
        <fgColor rgb="FFD0E0E3"/>
        <bgColor rgb="FFD0E0E3"/>
      </patternFill>
    </fill>
    <fill>
      <patternFill patternType="solid">
        <fgColor rgb="FF808080"/>
        <bgColor rgb="FF808080"/>
      </patternFill>
    </fill>
    <fill>
      <patternFill patternType="solid">
        <fgColor rgb="FFD9D9D9"/>
        <bgColor rgb="FFD9D9D9"/>
      </patternFill>
    </fill>
    <fill>
      <patternFill patternType="solid">
        <fgColor rgb="FFFFCC99"/>
        <bgColor rgb="FFFFCC99"/>
      </patternFill>
    </fill>
    <fill>
      <patternFill patternType="solid">
        <fgColor theme="6" tint="0.39997558519241921"/>
        <bgColor indexed="64"/>
      </patternFill>
    </fill>
    <fill>
      <patternFill patternType="solid">
        <fgColor theme="9" tint="0.79998168889431442"/>
        <bgColor rgb="FFFF9900"/>
      </patternFill>
    </fill>
    <fill>
      <patternFill patternType="solid">
        <fgColor theme="7" tint="0.79998168889431442"/>
        <bgColor rgb="FFC0C0C0"/>
      </patternFill>
    </fill>
    <fill>
      <patternFill patternType="solid">
        <fgColor indexed="22"/>
        <bgColor indexed="64"/>
      </patternFill>
    </fill>
    <fill>
      <patternFill patternType="solid">
        <fgColor indexed="52"/>
        <bgColor indexed="64"/>
      </patternFill>
    </fill>
    <fill>
      <patternFill patternType="solid">
        <fgColor indexed="15"/>
        <bgColor indexed="64"/>
      </patternFill>
    </fill>
    <fill>
      <patternFill patternType="solid">
        <fgColor indexed="23"/>
        <bgColor indexed="64"/>
      </patternFill>
    </fill>
    <fill>
      <patternFill patternType="solid">
        <fgColor indexed="42"/>
        <bgColor indexed="64"/>
      </patternFill>
    </fill>
    <fill>
      <patternFill patternType="solid">
        <fgColor indexed="44"/>
        <bgColor indexed="64"/>
      </patternFill>
    </fill>
  </fills>
  <borders count="40">
    <border>
      <left/>
      <right/>
      <top/>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top/>
      <bottom style="thin">
        <color rgb="FF000000"/>
      </bottom>
      <diagonal/>
    </border>
    <border>
      <left/>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diagonal/>
    </border>
    <border>
      <left/>
      <right/>
      <top style="thin">
        <color indexed="64"/>
      </top>
      <bottom/>
      <diagonal/>
    </border>
    <border>
      <left/>
      <right/>
      <top style="thin">
        <color indexed="64"/>
      </top>
      <bottom style="thin">
        <color rgb="FF000000"/>
      </bottom>
      <diagonal/>
    </border>
    <border>
      <left style="thin">
        <color rgb="FF000000"/>
      </left>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right/>
      <top style="thin">
        <color indexed="64"/>
      </top>
      <bottom style="thin">
        <color indexed="64"/>
      </bottom>
      <diagonal/>
    </border>
    <border>
      <left/>
      <right/>
      <top style="thin">
        <color rgb="FF000000"/>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thin">
        <color rgb="FF000000"/>
      </bottom>
      <diagonal/>
    </border>
    <border>
      <left/>
      <right style="thin">
        <color indexed="64"/>
      </right>
      <top/>
      <bottom/>
      <diagonal/>
    </border>
    <border>
      <left/>
      <right style="thin">
        <color indexed="64"/>
      </right>
      <top style="thin">
        <color rgb="FF000000"/>
      </top>
      <bottom style="thin">
        <color rgb="FF000000"/>
      </bottom>
      <diagonal/>
    </border>
    <border>
      <left style="thin">
        <color indexed="64"/>
      </left>
      <right/>
      <top style="thin">
        <color rgb="FF000000"/>
      </top>
      <bottom style="thin">
        <color rgb="FF000000"/>
      </bottom>
      <diagonal/>
    </border>
    <border>
      <left style="thin">
        <color indexed="64"/>
      </left>
      <right style="thin">
        <color indexed="64"/>
      </right>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rgb="FF000000"/>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bottom style="thin">
        <color rgb="FF000000"/>
      </bottom>
      <diagonal/>
    </border>
    <border>
      <left style="thin">
        <color indexed="64"/>
      </left>
      <right/>
      <top/>
      <bottom style="thin">
        <color rgb="FF000000"/>
      </bottom>
      <diagonal/>
    </border>
    <border>
      <left/>
      <right style="thin">
        <color indexed="64"/>
      </right>
      <top style="thin">
        <color rgb="FF000000"/>
      </top>
      <bottom/>
      <diagonal/>
    </border>
    <border>
      <left/>
      <right style="thin">
        <color indexed="64"/>
      </right>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s>
  <cellStyleXfs count="5">
    <xf numFmtId="0" fontId="0" fillId="0" borderId="0"/>
    <xf numFmtId="0" fontId="1" fillId="0" borderId="0"/>
    <xf numFmtId="0" fontId="26" fillId="0" borderId="0"/>
    <xf numFmtId="0" fontId="26" fillId="0" borderId="0"/>
    <xf numFmtId="0" fontId="1" fillId="0" borderId="0"/>
  </cellStyleXfs>
  <cellXfs count="532">
    <xf numFmtId="0" fontId="0" fillId="0" borderId="0" xfId="0" applyFont="1" applyAlignment="1"/>
    <xf numFmtId="0" fontId="2" fillId="2"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0" xfId="0" applyFont="1" applyAlignment="1">
      <alignment horizontal="center" vertical="center"/>
    </xf>
    <xf numFmtId="0" fontId="2" fillId="0" borderId="4" xfId="0" applyFont="1" applyBorder="1" applyAlignment="1">
      <alignment horizontal="center" vertical="center" wrapText="1"/>
    </xf>
    <xf numFmtId="0" fontId="5" fillId="0" borderId="1" xfId="0" applyFont="1" applyBorder="1" applyAlignment="1">
      <alignment horizontal="center" vertical="center" wrapText="1"/>
    </xf>
    <xf numFmtId="0" fontId="2" fillId="7" borderId="1" xfId="0" applyFont="1" applyFill="1" applyBorder="1" applyAlignment="1">
      <alignment horizontal="center" vertical="center" wrapText="1"/>
    </xf>
    <xf numFmtId="0" fontId="6" fillId="8" borderId="2" xfId="0" applyFont="1" applyFill="1" applyBorder="1" applyAlignment="1">
      <alignment horizontal="center" vertical="center" wrapText="1"/>
    </xf>
    <xf numFmtId="0" fontId="6" fillId="8" borderId="1" xfId="0" applyFont="1" applyFill="1" applyBorder="1" applyAlignment="1">
      <alignment horizontal="center" vertical="center"/>
    </xf>
    <xf numFmtId="0" fontId="4" fillId="0" borderId="0" xfId="0" applyFont="1" applyAlignment="1">
      <alignment horizontal="center" vertical="center" wrapText="1"/>
    </xf>
    <xf numFmtId="0" fontId="2" fillId="0" borderId="1" xfId="0" applyFont="1" applyBorder="1" applyAlignment="1">
      <alignment horizontal="center" vertical="center"/>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6" fillId="0" borderId="2" xfId="0" applyFont="1" applyBorder="1" applyAlignment="1">
      <alignment horizontal="center" vertical="center" wrapText="1"/>
    </xf>
    <xf numFmtId="0" fontId="7" fillId="0" borderId="5" xfId="0" applyFont="1" applyBorder="1" applyAlignment="1">
      <alignment wrapText="1"/>
    </xf>
    <xf numFmtId="0" fontId="2" fillId="12" borderId="1" xfId="0" applyFont="1" applyFill="1" applyBorder="1" applyAlignment="1">
      <alignment horizontal="center" vertical="center" wrapText="1"/>
    </xf>
    <xf numFmtId="0" fontId="6" fillId="0" borderId="2" xfId="0" applyFont="1" applyBorder="1" applyAlignment="1">
      <alignment horizontal="center" vertical="center"/>
    </xf>
    <xf numFmtId="0" fontId="6" fillId="0" borderId="1" xfId="0" applyFont="1" applyBorder="1" applyAlignment="1">
      <alignment horizontal="center" vertical="center"/>
    </xf>
    <xf numFmtId="0" fontId="2" fillId="13" borderId="1" xfId="0" applyFont="1" applyFill="1" applyBorder="1" applyAlignment="1">
      <alignment horizontal="center" vertical="center" wrapText="1"/>
    </xf>
    <xf numFmtId="0" fontId="6"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0" borderId="2" xfId="0" applyFont="1" applyBorder="1" applyAlignment="1">
      <alignment horizontal="center" vertical="center"/>
    </xf>
    <xf numFmtId="0" fontId="6"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6"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7" fillId="0" borderId="2" xfId="0" applyFont="1" applyBorder="1" applyAlignment="1">
      <alignment wrapText="1"/>
    </xf>
    <xf numFmtId="0" fontId="8" fillId="0" borderId="1" xfId="0" applyFont="1" applyBorder="1" applyAlignment="1"/>
    <xf numFmtId="0" fontId="2" fillId="20" borderId="7" xfId="0" applyFont="1" applyFill="1" applyBorder="1" applyAlignment="1">
      <alignment horizontal="center" vertical="center" wrapText="1"/>
    </xf>
    <xf numFmtId="0" fontId="2" fillId="0" borderId="7" xfId="0" applyFont="1" applyBorder="1" applyAlignment="1">
      <alignment horizontal="center" vertical="center" wrapText="1"/>
    </xf>
    <xf numFmtId="0" fontId="7" fillId="0" borderId="1" xfId="0" applyFont="1" applyBorder="1" applyAlignment="1"/>
    <xf numFmtId="0" fontId="9" fillId="0" borderId="1" xfId="0" applyFont="1" applyBorder="1" applyAlignment="1"/>
    <xf numFmtId="0" fontId="2" fillId="21" borderId="1" xfId="0" applyFont="1" applyFill="1" applyBorder="1" applyAlignment="1">
      <alignment horizontal="center" vertical="center" wrapText="1"/>
    </xf>
    <xf numFmtId="0" fontId="6" fillId="22"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0" fontId="10" fillId="24" borderId="4" xfId="0" applyFont="1" applyFill="1" applyBorder="1" applyAlignment="1">
      <alignment wrapText="1"/>
    </xf>
    <xf numFmtId="0" fontId="7" fillId="0" borderId="4" xfId="0" applyFont="1" applyBorder="1" applyAlignment="1"/>
    <xf numFmtId="0" fontId="4" fillId="0" borderId="4" xfId="0" applyFont="1" applyBorder="1"/>
    <xf numFmtId="0" fontId="4" fillId="0" borderId="4" xfId="0" applyFont="1" applyBorder="1" applyAlignment="1">
      <alignment wrapText="1"/>
    </xf>
    <xf numFmtId="0" fontId="11" fillId="8" borderId="4" xfId="0" applyFont="1" applyFill="1" applyBorder="1"/>
    <xf numFmtId="0" fontId="7" fillId="0" borderId="4" xfId="0" applyFont="1" applyBorder="1" applyAlignment="1">
      <alignment wrapText="1"/>
    </xf>
    <xf numFmtId="0" fontId="12" fillId="24" borderId="4" xfId="0" applyFont="1" applyFill="1" applyBorder="1" applyAlignment="1"/>
    <xf numFmtId="0" fontId="12" fillId="24" borderId="4" xfId="0" applyFont="1" applyFill="1" applyBorder="1" applyAlignment="1">
      <alignment wrapText="1"/>
    </xf>
    <xf numFmtId="0" fontId="10" fillId="24" borderId="4" xfId="0" applyFont="1" applyFill="1" applyBorder="1" applyAlignment="1">
      <alignment horizontal="left"/>
    </xf>
    <xf numFmtId="0" fontId="10" fillId="24" borderId="4" xfId="0" applyFont="1" applyFill="1" applyBorder="1" applyAlignment="1"/>
    <xf numFmtId="0" fontId="10" fillId="24" borderId="4" xfId="0" applyFont="1" applyFill="1" applyBorder="1" applyAlignment="1"/>
    <xf numFmtId="0" fontId="13" fillId="2" borderId="4" xfId="0" applyFont="1" applyFill="1" applyBorder="1" applyAlignment="1">
      <alignment horizontal="center" wrapText="1"/>
    </xf>
    <xf numFmtId="0" fontId="9" fillId="0" borderId="4" xfId="0" applyFont="1" applyBorder="1" applyAlignment="1"/>
    <xf numFmtId="0" fontId="9" fillId="0" borderId="4" xfId="0" applyFont="1" applyBorder="1" applyAlignment="1">
      <alignment wrapText="1"/>
    </xf>
    <xf numFmtId="0" fontId="7" fillId="0" borderId="4" xfId="0" applyFont="1" applyBorder="1" applyAlignment="1">
      <alignment horizontal="left"/>
    </xf>
    <xf numFmtId="0" fontId="7" fillId="0" borderId="4" xfId="0" applyFont="1" applyBorder="1" applyAlignment="1">
      <alignment wrapText="1"/>
    </xf>
    <xf numFmtId="0" fontId="7" fillId="0" borderId="4" xfId="0" applyFont="1" applyBorder="1" applyAlignment="1">
      <alignment horizontal="left" wrapText="1"/>
    </xf>
    <xf numFmtId="0" fontId="7" fillId="0" borderId="4" xfId="0" applyFont="1" applyBorder="1" applyAlignment="1"/>
    <xf numFmtId="0" fontId="7" fillId="0" borderId="4" xfId="0" applyFont="1" applyBorder="1" applyAlignment="1">
      <alignment horizontal="center"/>
    </xf>
    <xf numFmtId="0" fontId="7" fillId="0" borderId="4" xfId="0" applyFont="1" applyBorder="1" applyAlignment="1">
      <alignment horizontal="center"/>
    </xf>
    <xf numFmtId="0" fontId="9" fillId="0" borderId="4" xfId="0" applyFont="1" applyBorder="1" applyAlignment="1">
      <alignment horizontal="center"/>
    </xf>
    <xf numFmtId="0" fontId="9" fillId="25" borderId="4" xfId="0" applyFont="1" applyFill="1" applyBorder="1" applyAlignment="1"/>
    <xf numFmtId="0" fontId="7" fillId="0" borderId="4" xfId="0" applyFont="1" applyBorder="1" applyAlignment="1">
      <alignment horizontal="center"/>
    </xf>
    <xf numFmtId="0" fontId="9" fillId="0" borderId="4" xfId="0" applyFont="1" applyBorder="1" applyAlignment="1"/>
    <xf numFmtId="0" fontId="9" fillId="0" borderId="4" xfId="0" applyFont="1" applyBorder="1" applyAlignment="1">
      <alignment horizontal="left" vertical="top" wrapText="1"/>
    </xf>
    <xf numFmtId="0" fontId="9" fillId="0" borderId="4" xfId="0" applyFont="1" applyBorder="1" applyAlignment="1">
      <alignment horizontal="left" vertical="top"/>
    </xf>
    <xf numFmtId="0" fontId="9" fillId="0" borderId="4" xfId="0" applyFont="1" applyBorder="1" applyAlignment="1">
      <alignment wrapText="1"/>
    </xf>
    <xf numFmtId="0" fontId="9" fillId="26" borderId="4" xfId="0" applyFont="1" applyFill="1" applyBorder="1" applyAlignment="1"/>
    <xf numFmtId="0" fontId="7" fillId="0" borderId="4" xfId="0" applyFont="1" applyBorder="1" applyAlignment="1">
      <alignment wrapText="1"/>
    </xf>
    <xf numFmtId="0" fontId="9" fillId="0" borderId="4" xfId="0" applyFont="1" applyBorder="1" applyAlignment="1"/>
    <xf numFmtId="0" fontId="9" fillId="0" borderId="0" xfId="0" applyFont="1" applyAlignment="1"/>
    <xf numFmtId="0" fontId="9" fillId="0" borderId="0" xfId="0" applyFont="1" applyAlignment="1">
      <alignment wrapText="1"/>
    </xf>
    <xf numFmtId="0" fontId="7" fillId="0" borderId="0" xfId="0" applyFont="1" applyAlignment="1"/>
    <xf numFmtId="0" fontId="7" fillId="0" borderId="0" xfId="0" applyFont="1" applyAlignment="1">
      <alignment horizontal="left"/>
    </xf>
    <xf numFmtId="0" fontId="7" fillId="0" borderId="0" xfId="0" applyFont="1" applyAlignment="1">
      <alignment wrapText="1"/>
    </xf>
    <xf numFmtId="0" fontId="9" fillId="0" borderId="0" xfId="0" applyFont="1" applyAlignment="1">
      <alignment horizontal="left"/>
    </xf>
    <xf numFmtId="0" fontId="9" fillId="0" borderId="0" xfId="0" applyFont="1" applyAlignment="1">
      <alignment horizontal="left"/>
    </xf>
    <xf numFmtId="0" fontId="9" fillId="0" borderId="0" xfId="0" applyFont="1" applyAlignment="1">
      <alignment horizontal="left" wrapText="1"/>
    </xf>
    <xf numFmtId="0" fontId="7" fillId="0" borderId="0" xfId="0" applyFont="1" applyAlignment="1">
      <alignment horizontal="left"/>
    </xf>
    <xf numFmtId="0" fontId="7" fillId="0" borderId="0" xfId="0" applyFont="1" applyAlignment="1">
      <alignment horizontal="left"/>
    </xf>
    <xf numFmtId="0" fontId="7" fillId="0" borderId="0" xfId="0" applyFont="1" applyAlignment="1">
      <alignment horizontal="left"/>
    </xf>
    <xf numFmtId="0" fontId="4" fillId="0" borderId="0" xfId="0" applyFont="1" applyAlignment="1">
      <alignment wrapText="1"/>
    </xf>
    <xf numFmtId="0" fontId="14" fillId="2" borderId="0" xfId="0" applyFont="1" applyFill="1" applyAlignment="1">
      <alignment horizontal="center"/>
    </xf>
    <xf numFmtId="0" fontId="14" fillId="6" borderId="0" xfId="0" applyFont="1" applyFill="1" applyAlignment="1">
      <alignment horizontal="center"/>
    </xf>
    <xf numFmtId="0" fontId="3" fillId="0" borderId="0" xfId="0" applyFont="1" applyAlignment="1"/>
    <xf numFmtId="0" fontId="14" fillId="2" borderId="4" xfId="0" applyFont="1" applyFill="1" applyBorder="1" applyAlignment="1">
      <alignment horizontal="center"/>
    </xf>
    <xf numFmtId="0" fontId="14" fillId="6" borderId="4" xfId="0" applyFont="1" applyFill="1" applyBorder="1" applyAlignment="1">
      <alignment horizontal="center"/>
    </xf>
    <xf numFmtId="0" fontId="8" fillId="7" borderId="4" xfId="0" applyFont="1" applyFill="1" applyBorder="1" applyAlignment="1">
      <alignment horizontal="center"/>
    </xf>
    <xf numFmtId="0" fontId="8" fillId="0" borderId="4" xfId="0" applyFont="1" applyBorder="1" applyAlignment="1">
      <alignment horizontal="center"/>
    </xf>
    <xf numFmtId="0" fontId="8" fillId="0" borderId="4" xfId="0" applyFont="1" applyBorder="1" applyAlignment="1">
      <alignment horizontal="left"/>
    </xf>
    <xf numFmtId="0" fontId="4" fillId="0" borderId="8" xfId="0" applyFont="1" applyBorder="1"/>
    <xf numFmtId="0" fontId="8" fillId="7" borderId="8" xfId="0" applyFont="1" applyFill="1" applyBorder="1" applyAlignment="1">
      <alignment horizontal="center"/>
    </xf>
    <xf numFmtId="0" fontId="8" fillId="0" borderId="9" xfId="0" applyFont="1" applyBorder="1" applyAlignment="1">
      <alignment horizontal="center"/>
    </xf>
    <xf numFmtId="0" fontId="8" fillId="0" borderId="9" xfId="0" applyFont="1" applyBorder="1" applyAlignment="1">
      <alignment horizontal="left"/>
    </xf>
    <xf numFmtId="0" fontId="7" fillId="0" borderId="0" xfId="0" applyFont="1" applyAlignment="1">
      <alignment wrapText="1"/>
    </xf>
    <xf numFmtId="0" fontId="11" fillId="8" borderId="0" xfId="0" applyFont="1" applyFill="1"/>
    <xf numFmtId="0" fontId="8" fillId="9" borderId="4" xfId="0" applyFont="1" applyFill="1" applyBorder="1" applyAlignment="1">
      <alignment horizontal="center"/>
    </xf>
    <xf numFmtId="0" fontId="8" fillId="27" borderId="4" xfId="0" applyFont="1" applyFill="1" applyBorder="1" applyAlignment="1">
      <alignment horizontal="center"/>
    </xf>
    <xf numFmtId="0" fontId="8" fillId="10" borderId="4" xfId="0" applyFont="1" applyFill="1" applyBorder="1" applyAlignment="1">
      <alignment horizontal="center"/>
    </xf>
    <xf numFmtId="0" fontId="7" fillId="11" borderId="0" xfId="0" applyFont="1" applyFill="1" applyAlignment="1">
      <alignment wrapText="1"/>
    </xf>
    <xf numFmtId="0" fontId="8" fillId="19" borderId="8" xfId="0" applyFont="1" applyFill="1" applyBorder="1" applyAlignment="1">
      <alignment horizontal="center"/>
    </xf>
    <xf numFmtId="0" fontId="8" fillId="0" borderId="3" xfId="0" applyFont="1" applyBorder="1" applyAlignment="1">
      <alignment horizontal="center"/>
    </xf>
    <xf numFmtId="0" fontId="8" fillId="18" borderId="8" xfId="0" applyFont="1" applyFill="1" applyBorder="1" applyAlignment="1">
      <alignment horizontal="center"/>
    </xf>
    <xf numFmtId="0" fontId="8" fillId="11" borderId="4" xfId="0" applyFont="1" applyFill="1" applyBorder="1" applyAlignment="1">
      <alignment horizontal="center"/>
    </xf>
    <xf numFmtId="0" fontId="8" fillId="2" borderId="4" xfId="0" applyFont="1" applyFill="1" applyBorder="1" applyAlignment="1">
      <alignment horizontal="center"/>
    </xf>
    <xf numFmtId="0" fontId="4" fillId="11" borderId="0" xfId="0" applyFont="1" applyFill="1" applyAlignment="1">
      <alignment wrapText="1"/>
    </xf>
    <xf numFmtId="0" fontId="8" fillId="14" borderId="4" xfId="0" applyFont="1" applyFill="1" applyBorder="1" applyAlignment="1">
      <alignment horizontal="center"/>
    </xf>
    <xf numFmtId="0" fontId="8" fillId="16" borderId="4" xfId="0" applyFont="1" applyFill="1" applyBorder="1" applyAlignment="1">
      <alignment horizontal="center"/>
    </xf>
    <xf numFmtId="0" fontId="4" fillId="0" borderId="0" xfId="0" applyFont="1" applyAlignment="1">
      <alignment wrapText="1"/>
    </xf>
    <xf numFmtId="0" fontId="13" fillId="2" borderId="4" xfId="0" applyFont="1" applyFill="1" applyBorder="1" applyAlignment="1">
      <alignment horizontal="center"/>
    </xf>
    <xf numFmtId="0" fontId="8" fillId="0" borderId="4" xfId="0" applyFont="1" applyBorder="1" applyAlignment="1">
      <alignment horizontal="center" wrapText="1"/>
    </xf>
    <xf numFmtId="0" fontId="8" fillId="0" borderId="4" xfId="0" applyFont="1" applyBorder="1" applyAlignment="1">
      <alignment horizontal="left" wrapText="1"/>
    </xf>
    <xf numFmtId="0" fontId="15" fillId="28" borderId="0" xfId="0" applyFont="1" applyFill="1" applyAlignment="1">
      <alignment horizontal="left"/>
    </xf>
    <xf numFmtId="0" fontId="8" fillId="0" borderId="9" xfId="0" applyFont="1" applyBorder="1" applyAlignment="1">
      <alignment horizontal="center" wrapText="1"/>
    </xf>
    <xf numFmtId="0" fontId="8" fillId="0" borderId="9" xfId="0" applyFont="1" applyBorder="1" applyAlignment="1">
      <alignment horizontal="left" wrapText="1"/>
    </xf>
    <xf numFmtId="0" fontId="9" fillId="0" borderId="5" xfId="0" applyFont="1" applyBorder="1" applyAlignment="1">
      <alignment horizontal="left" vertical="top"/>
    </xf>
    <xf numFmtId="0" fontId="9" fillId="0" borderId="0" xfId="0" applyFont="1" applyAlignment="1">
      <alignment horizontal="left" vertical="top"/>
    </xf>
    <xf numFmtId="0" fontId="7" fillId="0" borderId="0" xfId="0" applyFont="1" applyAlignment="1">
      <alignment horizontal="center"/>
    </xf>
    <xf numFmtId="0" fontId="7" fillId="24" borderId="9" xfId="0" applyFont="1" applyFill="1" applyBorder="1" applyAlignment="1">
      <alignment horizontal="center"/>
    </xf>
    <xf numFmtId="0" fontId="7" fillId="0" borderId="4" xfId="0" applyFont="1" applyBorder="1" applyAlignment="1">
      <alignment horizontal="left" vertical="top"/>
    </xf>
    <xf numFmtId="0" fontId="7" fillId="0" borderId="4" xfId="0" applyFont="1" applyBorder="1" applyAlignment="1">
      <alignment horizontal="left" vertical="top"/>
    </xf>
    <xf numFmtId="0" fontId="7" fillId="0" borderId="4" xfId="0" applyFont="1" applyBorder="1" applyAlignment="1">
      <alignment vertical="top"/>
    </xf>
    <xf numFmtId="0" fontId="7" fillId="0" borderId="4" xfId="0" applyFont="1" applyBorder="1" applyAlignment="1">
      <alignment horizontal="left" vertical="top"/>
    </xf>
    <xf numFmtId="0" fontId="7" fillId="0" borderId="9" xfId="0" applyFont="1" applyBorder="1" applyAlignment="1">
      <alignment horizontal="left" vertical="top"/>
    </xf>
    <xf numFmtId="0" fontId="7" fillId="0" borderId="9" xfId="0" applyFont="1" applyBorder="1" applyAlignment="1">
      <alignment horizontal="left" vertical="top"/>
    </xf>
    <xf numFmtId="0" fontId="7" fillId="0" borderId="5" xfId="0" applyFont="1" applyBorder="1" applyAlignment="1"/>
    <xf numFmtId="0" fontId="7" fillId="0" borderId="0" xfId="0" applyFont="1" applyAlignment="1"/>
    <xf numFmtId="0" fontId="7" fillId="0" borderId="6" xfId="0" applyFont="1" applyBorder="1" applyAlignment="1">
      <alignment horizontal="center"/>
    </xf>
    <xf numFmtId="0" fontId="7" fillId="0" borderId="6" xfId="0" applyFont="1" applyBorder="1" applyAlignment="1">
      <alignment horizontal="center"/>
    </xf>
    <xf numFmtId="0" fontId="6" fillId="0" borderId="6" xfId="0" applyFont="1" applyBorder="1" applyAlignment="1">
      <alignment horizontal="center"/>
    </xf>
    <xf numFmtId="0" fontId="7" fillId="0" borderId="1" xfId="0" applyFont="1" applyBorder="1" applyAlignment="1">
      <alignment horizontal="center"/>
    </xf>
    <xf numFmtId="0" fontId="8" fillId="29" borderId="4" xfId="0" applyFont="1" applyFill="1" applyBorder="1" applyAlignment="1">
      <alignment horizontal="center"/>
    </xf>
    <xf numFmtId="0" fontId="6" fillId="0" borderId="9" xfId="0" applyFont="1" applyBorder="1" applyAlignment="1">
      <alignment horizontal="center"/>
    </xf>
    <xf numFmtId="0" fontId="16" fillId="0" borderId="4" xfId="0" applyFont="1" applyBorder="1" applyAlignment="1">
      <alignment horizontal="center"/>
    </xf>
    <xf numFmtId="0" fontId="16" fillId="0" borderId="4" xfId="0" applyFont="1" applyBorder="1" applyAlignment="1">
      <alignment horizontal="center" wrapText="1"/>
    </xf>
    <xf numFmtId="0" fontId="7" fillId="0" borderId="0" xfId="0" applyFont="1" applyAlignment="1">
      <alignment horizontal="center"/>
    </xf>
    <xf numFmtId="0" fontId="16" fillId="0" borderId="4" xfId="0" applyFont="1" applyBorder="1" applyAlignment="1">
      <alignment horizontal="center"/>
    </xf>
    <xf numFmtId="0" fontId="6" fillId="0" borderId="0" xfId="0" applyFont="1" applyAlignment="1">
      <alignment horizontal="center"/>
    </xf>
    <xf numFmtId="0" fontId="6" fillId="0" borderId="15" xfId="0" applyFont="1" applyBorder="1" applyAlignment="1">
      <alignment horizontal="center"/>
    </xf>
    <xf numFmtId="0" fontId="16" fillId="0" borderId="4" xfId="0" applyFont="1" applyBorder="1" applyAlignment="1">
      <alignment horizontal="left" wrapText="1"/>
    </xf>
    <xf numFmtId="0" fontId="17" fillId="0" borderId="0" xfId="0" applyFont="1" applyAlignment="1">
      <alignment horizontal="center"/>
    </xf>
    <xf numFmtId="0" fontId="17" fillId="0" borderId="0" xfId="0" applyFont="1" applyAlignment="1"/>
    <xf numFmtId="0" fontId="17" fillId="0" borderId="0" xfId="0" applyFont="1" applyAlignment="1">
      <alignment horizontal="left" wrapText="1"/>
    </xf>
    <xf numFmtId="0" fontId="6" fillId="0" borderId="0" xfId="0" applyFont="1" applyAlignment="1"/>
    <xf numFmtId="0" fontId="6" fillId="0" borderId="0" xfId="0" applyFont="1" applyAlignment="1">
      <alignment horizontal="center"/>
    </xf>
    <xf numFmtId="0" fontId="6" fillId="0" borderId="0" xfId="0" applyFont="1" applyAlignment="1">
      <alignment horizontal="center"/>
    </xf>
    <xf numFmtId="0" fontId="7" fillId="0" borderId="9" xfId="0" applyFont="1" applyBorder="1" applyAlignment="1">
      <alignment horizontal="center"/>
    </xf>
    <xf numFmtId="0" fontId="7" fillId="0" borderId="15" xfId="0" applyFont="1" applyBorder="1" applyAlignment="1">
      <alignment horizontal="center"/>
    </xf>
    <xf numFmtId="0" fontId="15" fillId="0" borderId="0" xfId="0" applyFont="1" applyAlignment="1">
      <alignment horizontal="left"/>
    </xf>
    <xf numFmtId="0" fontId="7" fillId="0" borderId="9" xfId="0" applyFont="1" applyBorder="1" applyAlignment="1">
      <alignment horizontal="center"/>
    </xf>
    <xf numFmtId="0" fontId="18" fillId="0" borderId="0" xfId="0" applyFont="1" applyAlignment="1"/>
    <xf numFmtId="0" fontId="2" fillId="0" borderId="0" xfId="0" applyFont="1" applyBorder="1" applyAlignment="1">
      <alignment horizontal="center" vertical="center" wrapText="1"/>
    </xf>
    <xf numFmtId="0" fontId="6" fillId="0" borderId="1" xfId="0" applyFont="1" applyBorder="1" applyAlignment="1">
      <alignment horizontal="center" vertical="center" wrapText="1"/>
    </xf>
    <xf numFmtId="0" fontId="0" fillId="0" borderId="0" xfId="0" applyFont="1" applyAlignment="1"/>
    <xf numFmtId="0" fontId="4" fillId="0" borderId="8" xfId="0" applyFont="1" applyBorder="1"/>
    <xf numFmtId="0" fontId="6" fillId="0" borderId="1" xfId="0" applyFont="1" applyBorder="1" applyAlignment="1">
      <alignment horizontal="center" vertical="center" wrapText="1"/>
    </xf>
    <xf numFmtId="0" fontId="0" fillId="0" borderId="0" xfId="0" applyFont="1" applyAlignment="1"/>
    <xf numFmtId="0" fontId="0" fillId="0" borderId="0" xfId="0" applyFont="1" applyBorder="1" applyAlignment="1"/>
    <xf numFmtId="0" fontId="0" fillId="0" borderId="0" xfId="0" applyBorder="1"/>
    <xf numFmtId="0" fontId="6" fillId="0" borderId="20" xfId="0" applyFont="1" applyBorder="1" applyAlignment="1">
      <alignment horizontal="center" vertical="center" wrapText="1"/>
    </xf>
    <xf numFmtId="0" fontId="2" fillId="0" borderId="21" xfId="0" applyFont="1" applyBorder="1" applyAlignment="1">
      <alignment horizontal="center" vertical="center" wrapText="1"/>
    </xf>
    <xf numFmtId="0" fontId="2" fillId="0" borderId="6" xfId="0" applyFont="1" applyBorder="1" applyAlignment="1">
      <alignment horizontal="center" vertical="center" wrapText="1"/>
    </xf>
    <xf numFmtId="0" fontId="6" fillId="0" borderId="6" xfId="0" applyFont="1" applyBorder="1" applyAlignment="1">
      <alignment horizontal="center" vertical="center" wrapText="1"/>
    </xf>
    <xf numFmtId="0" fontId="0" fillId="0" borderId="24" xfId="0" applyFont="1" applyBorder="1" applyAlignment="1"/>
    <xf numFmtId="0" fontId="6" fillId="8" borderId="25" xfId="0" applyFont="1" applyFill="1" applyBorder="1" applyAlignment="1">
      <alignment horizontal="center" vertical="center"/>
    </xf>
    <xf numFmtId="0" fontId="2" fillId="0" borderId="25" xfId="0" applyFont="1" applyBorder="1" applyAlignment="1">
      <alignment horizontal="center" vertical="center" wrapText="1"/>
    </xf>
    <xf numFmtId="0" fontId="6" fillId="0" borderId="25" xfId="0" applyFont="1" applyBorder="1" applyAlignment="1">
      <alignment horizontal="center" vertical="center"/>
    </xf>
    <xf numFmtId="0" fontId="2" fillId="0" borderId="25" xfId="0" applyFont="1" applyBorder="1" applyAlignment="1">
      <alignment horizontal="center" vertical="center"/>
    </xf>
    <xf numFmtId="0" fontId="8" fillId="0" borderId="25" xfId="0" applyFont="1" applyBorder="1" applyAlignment="1"/>
    <xf numFmtId="0" fontId="7" fillId="0" borderId="25" xfId="0" applyFont="1" applyBorder="1" applyAlignment="1"/>
    <xf numFmtId="0" fontId="9" fillId="0" borderId="25" xfId="0" applyFont="1" applyBorder="1" applyAlignment="1"/>
    <xf numFmtId="0" fontId="2" fillId="0" borderId="26" xfId="0" applyFont="1" applyBorder="1" applyAlignment="1">
      <alignment horizontal="center" vertical="center" wrapText="1"/>
    </xf>
    <xf numFmtId="0" fontId="19" fillId="2" borderId="17" xfId="0" applyFont="1" applyFill="1" applyBorder="1" applyAlignment="1">
      <alignment horizontal="center" vertical="center" wrapText="1"/>
    </xf>
    <xf numFmtId="0" fontId="19" fillId="3" borderId="18" xfId="0" applyFont="1" applyFill="1" applyBorder="1" applyAlignment="1">
      <alignment horizontal="center" vertical="center" wrapText="1"/>
    </xf>
    <xf numFmtId="0" fontId="19" fillId="3" borderId="17" xfId="0" applyFont="1" applyFill="1" applyBorder="1" applyAlignment="1">
      <alignment horizontal="center" vertical="center" wrapText="1"/>
    </xf>
    <xf numFmtId="0" fontId="19" fillId="3" borderId="23" xfId="0" applyFont="1" applyFill="1" applyBorder="1" applyAlignment="1">
      <alignment horizontal="center" vertical="center" wrapText="1"/>
    </xf>
    <xf numFmtId="0" fontId="19" fillId="4" borderId="17" xfId="0" applyFont="1" applyFill="1" applyBorder="1" applyAlignment="1">
      <alignment horizontal="center" vertical="center" wrapText="1"/>
    </xf>
    <xf numFmtId="0" fontId="20" fillId="4" borderId="17" xfId="0" applyFont="1" applyFill="1" applyBorder="1" applyAlignment="1">
      <alignment horizontal="center" vertical="center" wrapText="1"/>
    </xf>
    <xf numFmtId="0" fontId="20" fillId="4" borderId="16" xfId="0" applyFont="1" applyFill="1" applyBorder="1" applyAlignment="1">
      <alignment horizontal="center" vertical="center" wrapText="1"/>
    </xf>
    <xf numFmtId="0" fontId="19" fillId="5" borderId="17" xfId="0" applyFont="1" applyFill="1" applyBorder="1" applyAlignment="1">
      <alignment horizontal="center" vertical="center" wrapText="1"/>
    </xf>
    <xf numFmtId="0" fontId="19" fillId="6" borderId="18" xfId="0" applyFont="1" applyFill="1" applyBorder="1" applyAlignment="1">
      <alignment horizontal="center" vertical="center" wrapText="1"/>
    </xf>
    <xf numFmtId="0" fontId="19" fillId="6" borderId="17" xfId="0" applyFont="1" applyFill="1" applyBorder="1" applyAlignment="1">
      <alignment horizontal="center" vertical="center" wrapText="1"/>
    </xf>
    <xf numFmtId="0" fontId="22" fillId="0" borderId="4" xfId="0" applyFont="1" applyBorder="1" applyAlignment="1">
      <alignment horizontal="center"/>
    </xf>
    <xf numFmtId="0" fontId="23" fillId="0" borderId="1" xfId="0" applyFont="1" applyBorder="1" applyAlignment="1">
      <alignment horizontal="center" vertical="center" wrapText="1"/>
    </xf>
    <xf numFmtId="0" fontId="24" fillId="0" borderId="4" xfId="0" applyFont="1" applyBorder="1" applyAlignment="1"/>
    <xf numFmtId="0" fontId="23" fillId="16" borderId="1" xfId="0" applyFont="1" applyFill="1" applyBorder="1" applyAlignment="1">
      <alignment horizontal="center" vertical="center" wrapText="1"/>
    </xf>
    <xf numFmtId="0" fontId="0" fillId="0" borderId="0" xfId="0" applyFont="1" applyAlignment="1">
      <alignment wrapText="1"/>
    </xf>
    <xf numFmtId="0" fontId="19" fillId="2" borderId="6" xfId="0" applyFont="1" applyFill="1" applyBorder="1" applyAlignment="1">
      <alignment horizontal="center" vertical="center" wrapText="1"/>
    </xf>
    <xf numFmtId="0" fontId="6" fillId="0" borderId="1" xfId="0" applyFont="1" applyBorder="1" applyAlignment="1">
      <alignment horizontal="center" vertical="center" wrapText="1"/>
    </xf>
    <xf numFmtId="0" fontId="0" fillId="0" borderId="0" xfId="0"/>
    <xf numFmtId="0" fontId="6" fillId="8" borderId="1" xfId="0" applyFont="1" applyFill="1" applyBorder="1" applyAlignment="1">
      <alignment horizontal="center" vertical="center" wrapText="1"/>
    </xf>
    <xf numFmtId="0" fontId="0" fillId="0" borderId="27" xfId="0" applyFont="1" applyBorder="1" applyAlignment="1">
      <alignment vertical="center"/>
    </xf>
    <xf numFmtId="0" fontId="6" fillId="0" borderId="29" xfId="0" applyFont="1" applyBorder="1" applyAlignment="1">
      <alignment vertical="center" wrapText="1"/>
    </xf>
    <xf numFmtId="0" fontId="2" fillId="0" borderId="12" xfId="0" applyFont="1" applyBorder="1" applyAlignment="1">
      <alignment horizontal="center" vertical="center" wrapText="1"/>
    </xf>
    <xf numFmtId="0" fontId="6" fillId="0" borderId="12" xfId="0" applyFont="1" applyBorder="1" applyAlignment="1">
      <alignment horizontal="center" vertical="center" wrapText="1"/>
    </xf>
    <xf numFmtId="0" fontId="2" fillId="0" borderId="28" xfId="0" applyFont="1" applyBorder="1" applyAlignment="1">
      <alignment vertical="center" wrapText="1"/>
    </xf>
    <xf numFmtId="0" fontId="6" fillId="0" borderId="28" xfId="0" applyFont="1" applyBorder="1" applyAlignment="1">
      <alignment vertical="center" wrapText="1"/>
    </xf>
    <xf numFmtId="0" fontId="2" fillId="0" borderId="14" xfId="0" applyFont="1" applyBorder="1" applyAlignment="1">
      <alignment horizontal="center" vertical="center" wrapText="1"/>
    </xf>
    <xf numFmtId="0" fontId="6" fillId="0" borderId="14" xfId="0" applyFont="1" applyBorder="1" applyAlignment="1">
      <alignment horizontal="center" vertical="center" wrapText="1"/>
    </xf>
    <xf numFmtId="0" fontId="2" fillId="0" borderId="30" xfId="0" applyFont="1" applyBorder="1" applyAlignment="1">
      <alignment vertical="center" wrapText="1"/>
    </xf>
    <xf numFmtId="0" fontId="6" fillId="0" borderId="30" xfId="0" applyFont="1" applyBorder="1" applyAlignment="1">
      <alignment vertical="center"/>
    </xf>
    <xf numFmtId="0" fontId="2" fillId="7" borderId="1" xfId="0" applyFont="1" applyFill="1" applyBorder="1" applyAlignment="1">
      <alignment vertical="center" wrapText="1"/>
    </xf>
    <xf numFmtId="0" fontId="2" fillId="9" borderId="1" xfId="0" applyFont="1" applyFill="1" applyBorder="1" applyAlignment="1">
      <alignment vertical="center" wrapText="1"/>
    </xf>
    <xf numFmtId="0" fontId="2" fillId="11" borderId="1" xfId="0" applyFont="1" applyFill="1" applyBorder="1" applyAlignment="1">
      <alignment vertical="center" wrapText="1"/>
    </xf>
    <xf numFmtId="0" fontId="2" fillId="12" borderId="1" xfId="0" applyFont="1" applyFill="1" applyBorder="1" applyAlignment="1">
      <alignment vertical="center" wrapText="1"/>
    </xf>
    <xf numFmtId="0" fontId="6" fillId="13" borderId="1" xfId="0" applyFont="1" applyFill="1" applyBorder="1" applyAlignment="1">
      <alignment vertical="center" wrapText="1"/>
    </xf>
    <xf numFmtId="0" fontId="2" fillId="2" borderId="1" xfId="0" applyFont="1" applyFill="1" applyBorder="1" applyAlignment="1">
      <alignment vertical="center" wrapText="1"/>
    </xf>
    <xf numFmtId="0" fontId="2" fillId="16" borderId="1" xfId="0" applyFont="1" applyFill="1" applyBorder="1" applyAlignment="1">
      <alignment vertical="center" wrapText="1"/>
    </xf>
    <xf numFmtId="0" fontId="2" fillId="20" borderId="1" xfId="0" applyFont="1" applyFill="1" applyBorder="1" applyAlignment="1">
      <alignment vertical="center" wrapText="1"/>
    </xf>
    <xf numFmtId="0" fontId="0" fillId="0" borderId="0" xfId="0" applyFont="1" applyBorder="1" applyAlignment="1">
      <alignment wrapText="1"/>
    </xf>
    <xf numFmtId="0" fontId="0" fillId="0" borderId="0" xfId="0" applyFont="1" applyAlignment="1">
      <alignment horizontal="center" vertical="top"/>
    </xf>
    <xf numFmtId="0" fontId="16" fillId="0" borderId="0" xfId="0" applyFont="1" applyAlignment="1">
      <alignment horizontal="center" vertical="top"/>
    </xf>
    <xf numFmtId="0" fontId="0" fillId="0" borderId="0" xfId="0" applyFont="1" applyAlignment="1">
      <alignment horizontal="center" vertical="top" wrapText="1"/>
    </xf>
    <xf numFmtId="0" fontId="16" fillId="0" borderId="0" xfId="0" applyFont="1" applyAlignment="1">
      <alignment horizontal="center" vertical="top" wrapText="1"/>
    </xf>
    <xf numFmtId="0" fontId="16" fillId="0" borderId="0" xfId="0" applyFont="1" applyAlignment="1">
      <alignment horizontal="left" vertical="top" wrapText="1"/>
    </xf>
    <xf numFmtId="0" fontId="6" fillId="0" borderId="1" xfId="0" applyFont="1" applyBorder="1" applyAlignment="1">
      <alignment horizontal="center" vertical="center" wrapText="1"/>
    </xf>
    <xf numFmtId="0" fontId="21" fillId="0" borderId="0" xfId="0" applyFont="1" applyBorder="1" applyAlignment="1"/>
    <xf numFmtId="0" fontId="2" fillId="9" borderId="6" xfId="0" applyFont="1" applyFill="1" applyBorder="1" applyAlignment="1">
      <alignment vertical="center" wrapText="1"/>
    </xf>
    <xf numFmtId="0" fontId="2" fillId="9" borderId="7" xfId="0" applyFont="1" applyFill="1" applyBorder="1" applyAlignment="1">
      <alignment vertical="center" wrapText="1"/>
    </xf>
    <xf numFmtId="0" fontId="2" fillId="9" borderId="6" xfId="0" applyFont="1" applyFill="1" applyBorder="1" applyAlignment="1">
      <alignment horizontal="center" vertical="center" wrapText="1"/>
    </xf>
    <xf numFmtId="0" fontId="2" fillId="11" borderId="6" xfId="0" applyFont="1" applyFill="1" applyBorder="1" applyAlignment="1">
      <alignment vertical="center" wrapText="1"/>
    </xf>
    <xf numFmtId="0" fontId="2" fillId="11" borderId="7" xfId="0" applyFont="1" applyFill="1" applyBorder="1" applyAlignment="1">
      <alignment horizontal="center" vertical="center" wrapText="1"/>
    </xf>
    <xf numFmtId="0" fontId="2" fillId="12" borderId="0" xfId="0" applyFont="1" applyFill="1" applyBorder="1" applyAlignment="1">
      <alignment vertical="center" wrapText="1"/>
    </xf>
    <xf numFmtId="0" fontId="2" fillId="12" borderId="6" xfId="0" applyFont="1" applyFill="1" applyBorder="1" applyAlignment="1">
      <alignment horizontal="center" vertical="center" wrapText="1"/>
    </xf>
    <xf numFmtId="0" fontId="2" fillId="12" borderId="7" xfId="0" applyFont="1" applyFill="1" applyBorder="1" applyAlignment="1">
      <alignment horizontal="center" vertical="center" wrapText="1"/>
    </xf>
    <xf numFmtId="0" fontId="6" fillId="13" borderId="6" xfId="0" applyFont="1" applyFill="1" applyBorder="1" applyAlignment="1">
      <alignment vertical="center" wrapText="1"/>
    </xf>
    <xf numFmtId="0" fontId="6" fillId="13" borderId="6" xfId="0" applyFont="1" applyFill="1" applyBorder="1" applyAlignment="1">
      <alignment horizontal="center" vertical="center" wrapText="1"/>
    </xf>
    <xf numFmtId="0" fontId="2" fillId="14" borderId="6" xfId="0" applyFont="1" applyFill="1" applyBorder="1" applyAlignment="1">
      <alignment horizontal="center" vertical="center" wrapText="1"/>
    </xf>
    <xf numFmtId="0" fontId="2" fillId="2" borderId="6" xfId="0" applyFont="1" applyFill="1" applyBorder="1" applyAlignment="1">
      <alignment vertical="center" wrapText="1"/>
    </xf>
    <xf numFmtId="0" fontId="2" fillId="2" borderId="7"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16" borderId="6" xfId="0" applyFont="1" applyFill="1" applyBorder="1" applyAlignment="1">
      <alignment horizontal="center" vertical="center" wrapText="1"/>
    </xf>
    <xf numFmtId="0" fontId="2" fillId="20" borderId="0" xfId="0" applyFont="1" applyFill="1" applyBorder="1" applyAlignment="1">
      <alignment horizontal="center" vertical="center" wrapText="1"/>
    </xf>
    <xf numFmtId="0" fontId="2" fillId="31" borderId="1" xfId="0" applyFont="1" applyFill="1" applyBorder="1" applyAlignment="1">
      <alignment vertical="center" wrapText="1"/>
    </xf>
    <xf numFmtId="0" fontId="2" fillId="0" borderId="1" xfId="0" applyFont="1" applyBorder="1" applyAlignment="1">
      <alignment vertical="center" wrapText="1"/>
    </xf>
    <xf numFmtId="0" fontId="6" fillId="0" borderId="0" xfId="0" applyFont="1" applyBorder="1" applyAlignment="1">
      <alignment horizontal="center" vertical="center" wrapText="1"/>
    </xf>
    <xf numFmtId="0" fontId="2" fillId="0" borderId="25" xfId="0" applyFont="1" applyBorder="1" applyAlignment="1">
      <alignment vertical="center" wrapText="1"/>
    </xf>
    <xf numFmtId="0" fontId="2" fillId="31" borderId="1" xfId="0" applyFont="1" applyFill="1" applyBorder="1" applyAlignment="1">
      <alignment horizontal="left" vertical="center" wrapText="1"/>
    </xf>
    <xf numFmtId="0" fontId="2" fillId="7" borderId="1" xfId="0" applyFont="1" applyFill="1" applyBorder="1" applyAlignment="1">
      <alignment horizontal="left" vertical="center" wrapText="1"/>
    </xf>
    <xf numFmtId="0" fontId="2" fillId="9" borderId="1" xfId="0" applyFont="1" applyFill="1" applyBorder="1" applyAlignment="1">
      <alignment horizontal="left" vertical="center" wrapText="1"/>
    </xf>
    <xf numFmtId="0" fontId="2" fillId="10" borderId="1" xfId="0" applyFont="1" applyFill="1" applyBorder="1" applyAlignment="1">
      <alignment horizontal="left" vertical="center" wrapText="1"/>
    </xf>
    <xf numFmtId="0" fontId="2" fillId="11" borderId="1" xfId="0" applyFont="1" applyFill="1" applyBorder="1" applyAlignment="1">
      <alignment horizontal="left" vertical="center" wrapText="1"/>
    </xf>
    <xf numFmtId="0" fontId="2" fillId="12" borderId="1" xfId="0" applyFont="1" applyFill="1" applyBorder="1" applyAlignment="1">
      <alignment horizontal="left" vertical="center" wrapText="1"/>
    </xf>
    <xf numFmtId="0" fontId="6" fillId="13" borderId="1" xfId="0" applyFont="1" applyFill="1" applyBorder="1" applyAlignment="1">
      <alignment horizontal="left" vertical="center" wrapText="1"/>
    </xf>
    <xf numFmtId="0" fontId="2" fillId="14"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0" fontId="6" fillId="15" borderId="1" xfId="0" applyFont="1" applyFill="1" applyBorder="1" applyAlignment="1">
      <alignment horizontal="left" vertical="center" wrapText="1"/>
    </xf>
    <xf numFmtId="0" fontId="2" fillId="16" borderId="1" xfId="0" applyFont="1" applyFill="1" applyBorder="1" applyAlignment="1">
      <alignment horizontal="left" vertical="center" wrapText="1"/>
    </xf>
    <xf numFmtId="0" fontId="6" fillId="17" borderId="1" xfId="0" applyFont="1" applyFill="1" applyBorder="1" applyAlignment="1">
      <alignment horizontal="left" vertical="center" wrapText="1"/>
    </xf>
    <xf numFmtId="0" fontId="2" fillId="18" borderId="1" xfId="0" applyFont="1" applyFill="1" applyBorder="1" applyAlignment="1">
      <alignment horizontal="left" vertical="center" wrapText="1"/>
    </xf>
    <xf numFmtId="0" fontId="2" fillId="19" borderId="1" xfId="0" applyFont="1" applyFill="1" applyBorder="1" applyAlignment="1">
      <alignment horizontal="left" vertical="center" wrapText="1"/>
    </xf>
    <xf numFmtId="0" fontId="2" fillId="20" borderId="1" xfId="0" applyFont="1" applyFill="1" applyBorder="1" applyAlignment="1">
      <alignment horizontal="left" vertical="center" wrapText="1"/>
    </xf>
    <xf numFmtId="0" fontId="2" fillId="20" borderId="6" xfId="0" applyFont="1" applyFill="1" applyBorder="1" applyAlignment="1">
      <alignment horizontal="left" vertical="center" wrapText="1"/>
    </xf>
    <xf numFmtId="0" fontId="2" fillId="20" borderId="7" xfId="0" applyFont="1" applyFill="1" applyBorder="1" applyAlignment="1">
      <alignment horizontal="left" vertical="center" wrapText="1"/>
    </xf>
    <xf numFmtId="0" fontId="2" fillId="21" borderId="1" xfId="0" applyFont="1" applyFill="1" applyBorder="1" applyAlignment="1">
      <alignment horizontal="left" vertical="center" wrapText="1"/>
    </xf>
    <xf numFmtId="0" fontId="6" fillId="22" borderId="1" xfId="0" applyFont="1" applyFill="1" applyBorder="1" applyAlignment="1">
      <alignment horizontal="left" vertical="center" wrapText="1"/>
    </xf>
    <xf numFmtId="0" fontId="0" fillId="0" borderId="0" xfId="0" applyFont="1" applyBorder="1" applyAlignment="1">
      <alignment horizontal="left"/>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7" fillId="0" borderId="1" xfId="0" applyFont="1" applyBorder="1" applyAlignment="1">
      <alignment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vertical="center" wrapText="1"/>
    </xf>
    <xf numFmtId="0" fontId="4" fillId="0" borderId="1" xfId="0" applyFont="1" applyBorder="1" applyAlignment="1"/>
    <xf numFmtId="0" fontId="2" fillId="7" borderId="6" xfId="0" applyFont="1" applyFill="1" applyBorder="1" applyAlignment="1">
      <alignment horizontal="center" vertical="center" wrapText="1"/>
    </xf>
    <xf numFmtId="0" fontId="2" fillId="11" borderId="7" xfId="0" applyFont="1" applyFill="1" applyBorder="1" applyAlignment="1">
      <alignment vertical="center" wrapText="1"/>
    </xf>
    <xf numFmtId="0" fontId="2" fillId="7" borderId="0" xfId="0" applyFont="1" applyFill="1" applyBorder="1" applyAlignment="1">
      <alignment vertical="center" wrapText="1"/>
    </xf>
    <xf numFmtId="0" fontId="2" fillId="0" borderId="2" xfId="0" applyFont="1" applyBorder="1" applyAlignment="1">
      <alignment vertical="center" wrapText="1"/>
    </xf>
    <xf numFmtId="0" fontId="2" fillId="0" borderId="3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33" xfId="0" applyFont="1" applyBorder="1" applyAlignment="1">
      <alignment horizontal="center" vertical="center" wrapText="1"/>
    </xf>
    <xf numFmtId="0" fontId="6" fillId="8" borderId="2" xfId="0" applyFont="1" applyFill="1" applyBorder="1" applyAlignment="1">
      <alignment horizontal="center" vertical="center"/>
    </xf>
    <xf numFmtId="0" fontId="6" fillId="0" borderId="32" xfId="0" applyFont="1" applyBorder="1" applyAlignment="1">
      <alignment horizontal="center" vertical="center" wrapText="1"/>
    </xf>
    <xf numFmtId="0" fontId="0" fillId="0" borderId="2" xfId="0" applyFont="1" applyBorder="1" applyAlignment="1">
      <alignment vertical="center"/>
    </xf>
    <xf numFmtId="0" fontId="2" fillId="0" borderId="29" xfId="0" applyFont="1" applyBorder="1" applyAlignment="1">
      <alignment horizontal="center" vertical="center" wrapText="1"/>
    </xf>
    <xf numFmtId="0" fontId="2" fillId="0" borderId="12" xfId="0" applyFont="1" applyBorder="1" applyAlignment="1">
      <alignment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6" fillId="8" borderId="2" xfId="0" applyFont="1" applyFill="1" applyBorder="1" applyAlignment="1">
      <alignment vertical="center" wrapText="1"/>
    </xf>
    <xf numFmtId="0" fontId="2" fillId="0" borderId="7" xfId="0" applyFont="1" applyBorder="1" applyAlignment="1">
      <alignment vertical="center" wrapText="1"/>
    </xf>
    <xf numFmtId="0" fontId="6" fillId="0" borderId="2" xfId="0" applyFont="1" applyBorder="1" applyAlignment="1">
      <alignment vertical="center" wrapText="1"/>
    </xf>
    <xf numFmtId="0" fontId="0" fillId="0" borderId="2" xfId="0" applyFont="1" applyBorder="1" applyAlignment="1"/>
    <xf numFmtId="0" fontId="6" fillId="0" borderId="12" xfId="0" applyFont="1" applyBorder="1" applyAlignment="1">
      <alignment vertical="center" wrapText="1"/>
    </xf>
    <xf numFmtId="0" fontId="6" fillId="0" borderId="30" xfId="0" applyFont="1" applyBorder="1" applyAlignment="1">
      <alignment horizontal="center" vertical="center" wrapText="1"/>
    </xf>
    <xf numFmtId="0" fontId="0" fillId="0" borderId="1" xfId="0" applyFont="1" applyBorder="1" applyAlignment="1"/>
    <xf numFmtId="0" fontId="0" fillId="0" borderId="25" xfId="0" applyFont="1" applyBorder="1" applyAlignment="1"/>
    <xf numFmtId="0" fontId="6" fillId="0" borderId="7" xfId="0" applyFont="1" applyBorder="1" applyAlignment="1">
      <alignment vertical="center" wrapText="1"/>
    </xf>
    <xf numFmtId="0" fontId="2" fillId="31" borderId="1" xfId="0" applyFont="1" applyFill="1" applyBorder="1" applyAlignment="1">
      <alignment horizontal="center" vertical="center" wrapText="1"/>
    </xf>
    <xf numFmtId="0" fontId="0" fillId="0" borderId="0" xfId="0" applyFont="1" applyBorder="1" applyAlignment="1">
      <alignment horizontal="center"/>
    </xf>
    <xf numFmtId="0" fontId="2" fillId="14" borderId="1" xfId="0" applyFont="1" applyFill="1" applyBorder="1" applyAlignment="1">
      <alignment vertical="center" wrapText="1"/>
    </xf>
    <xf numFmtId="0" fontId="2" fillId="18" borderId="1" xfId="0" applyFont="1" applyFill="1" applyBorder="1" applyAlignment="1">
      <alignment vertical="center" wrapText="1"/>
    </xf>
    <xf numFmtId="0" fontId="2" fillId="7" borderId="0" xfId="0" applyFont="1" applyFill="1" applyBorder="1" applyAlignment="1">
      <alignment horizontal="center" vertical="center" wrapText="1"/>
    </xf>
    <xf numFmtId="0" fontId="2" fillId="9" borderId="0" xfId="0" applyFont="1" applyFill="1" applyBorder="1" applyAlignment="1">
      <alignment horizontal="center" vertical="center" wrapText="1"/>
    </xf>
    <xf numFmtId="0" fontId="2" fillId="10" borderId="1" xfId="0" applyFont="1" applyFill="1" applyBorder="1" applyAlignment="1">
      <alignment vertical="center" wrapText="1"/>
    </xf>
    <xf numFmtId="0" fontId="6" fillId="15" borderId="1" xfId="0" applyFont="1" applyFill="1" applyBorder="1" applyAlignment="1">
      <alignment vertical="center" wrapText="1"/>
    </xf>
    <xf numFmtId="0" fontId="6" fillId="17" borderId="1" xfId="0" applyFont="1" applyFill="1" applyBorder="1" applyAlignment="1">
      <alignment vertical="center" wrapText="1"/>
    </xf>
    <xf numFmtId="0" fontId="2" fillId="19" borderId="1" xfId="0" applyFont="1" applyFill="1" applyBorder="1" applyAlignment="1">
      <alignment vertical="center" wrapText="1"/>
    </xf>
    <xf numFmtId="0" fontId="2" fillId="21" borderId="1" xfId="0" applyFont="1" applyFill="1" applyBorder="1" applyAlignment="1">
      <alignment vertical="center" wrapText="1"/>
    </xf>
    <xf numFmtId="0" fontId="2" fillId="22" borderId="1" xfId="0" applyFont="1" applyFill="1" applyBorder="1" applyAlignment="1">
      <alignment vertical="center" wrapText="1"/>
    </xf>
    <xf numFmtId="0" fontId="6" fillId="22" borderId="1" xfId="0" applyFont="1" applyFill="1" applyBorder="1" applyAlignment="1">
      <alignment vertical="center" wrapText="1"/>
    </xf>
    <xf numFmtId="0" fontId="6" fillId="0" borderId="7" xfId="0" applyFont="1" applyBorder="1" applyAlignment="1">
      <alignment horizontal="center" vertical="center" wrapText="1"/>
    </xf>
    <xf numFmtId="0" fontId="6" fillId="0" borderId="6" xfId="0" applyFont="1" applyBorder="1" applyAlignment="1">
      <alignment vertical="center" wrapText="1"/>
    </xf>
    <xf numFmtId="0" fontId="7" fillId="0" borderId="0" xfId="0" applyFont="1" applyBorder="1" applyAlignment="1">
      <alignment wrapText="1"/>
    </xf>
    <xf numFmtId="0" fontId="6" fillId="0" borderId="0" xfId="0" applyFont="1" applyBorder="1" applyAlignment="1">
      <alignment vertical="center"/>
    </xf>
    <xf numFmtId="0" fontId="0" fillId="0" borderId="0" xfId="0" applyFont="1" applyBorder="1" applyAlignment="1">
      <alignment vertical="center"/>
    </xf>
    <xf numFmtId="0" fontId="6" fillId="0" borderId="1" xfId="0" applyFont="1" applyBorder="1" applyAlignment="1">
      <alignment horizontal="center" vertical="center" wrapText="1"/>
    </xf>
    <xf numFmtId="0" fontId="2" fillId="0" borderId="26" xfId="0" applyFont="1" applyBorder="1" applyAlignment="1">
      <alignment vertical="center" wrapText="1"/>
    </xf>
    <xf numFmtId="0" fontId="2" fillId="0" borderId="6" xfId="0" applyFont="1" applyBorder="1" applyAlignment="1">
      <alignment vertical="center" wrapText="1"/>
    </xf>
    <xf numFmtId="0" fontId="2" fillId="0" borderId="0" xfId="0" applyFont="1" applyBorder="1" applyAlignment="1">
      <alignment vertical="center" wrapText="1"/>
    </xf>
    <xf numFmtId="0" fontId="0" fillId="0" borderId="1" xfId="0" applyBorder="1" applyAlignment="1">
      <alignment horizontal="center" vertical="center"/>
    </xf>
    <xf numFmtId="0" fontId="0" fillId="0" borderId="28" xfId="0" applyBorder="1" applyAlignment="1">
      <alignment horizontal="center" vertical="center"/>
    </xf>
    <xf numFmtId="0" fontId="2" fillId="0" borderId="16" xfId="0" applyFont="1" applyBorder="1" applyAlignment="1">
      <alignment horizontal="center" vertical="center" wrapText="1"/>
    </xf>
    <xf numFmtId="0" fontId="0" fillId="0" borderId="27" xfId="0" applyFont="1" applyBorder="1" applyAlignment="1">
      <alignment horizontal="center" vertical="center"/>
    </xf>
    <xf numFmtId="0" fontId="0" fillId="0" borderId="6" xfId="0" applyBorder="1" applyAlignment="1">
      <alignment horizontal="center" vertical="center"/>
    </xf>
    <xf numFmtId="0" fontId="0" fillId="0" borderId="0" xfId="0" applyFont="1" applyBorder="1" applyAlignment="1">
      <alignment horizontal="center" vertical="center"/>
    </xf>
    <xf numFmtId="0" fontId="6" fillId="0" borderId="1" xfId="0" applyFont="1" applyBorder="1" applyAlignment="1">
      <alignment horizontal="center" vertical="center" wrapText="1"/>
    </xf>
    <xf numFmtId="0" fontId="0" fillId="0" borderId="0" xfId="0" applyFont="1" applyAlignment="1"/>
    <xf numFmtId="0" fontId="6" fillId="0" borderId="1" xfId="0" applyFont="1" applyBorder="1" applyAlignment="1">
      <alignment horizontal="center" vertical="center" wrapText="1"/>
    </xf>
    <xf numFmtId="0" fontId="19" fillId="2" borderId="17" xfId="0" applyFont="1" applyFill="1" applyBorder="1" applyAlignment="1">
      <alignment horizontal="left" vertical="top" wrapText="1"/>
    </xf>
    <xf numFmtId="0" fontId="19" fillId="3" borderId="17" xfId="0" applyFont="1" applyFill="1" applyBorder="1" applyAlignment="1">
      <alignment horizontal="left" vertical="top" wrapText="1"/>
    </xf>
    <xf numFmtId="0" fontId="19" fillId="3" borderId="23" xfId="0" applyFont="1" applyFill="1" applyBorder="1" applyAlignment="1">
      <alignment horizontal="left" vertical="top" wrapText="1"/>
    </xf>
    <xf numFmtId="0" fontId="19" fillId="4" borderId="17" xfId="0" applyFont="1" applyFill="1" applyBorder="1" applyAlignment="1">
      <alignment horizontal="left" vertical="top" wrapText="1"/>
    </xf>
    <xf numFmtId="0" fontId="20" fillId="4" borderId="17" xfId="0" applyFont="1" applyFill="1" applyBorder="1" applyAlignment="1">
      <alignment horizontal="left" vertical="top" wrapText="1"/>
    </xf>
    <xf numFmtId="0" fontId="20" fillId="4" borderId="16" xfId="0" applyFont="1" applyFill="1" applyBorder="1" applyAlignment="1">
      <alignment horizontal="left" vertical="top" wrapText="1"/>
    </xf>
    <xf numFmtId="0" fontId="19" fillId="5" borderId="17" xfId="0" applyFont="1" applyFill="1" applyBorder="1" applyAlignment="1">
      <alignment horizontal="left" vertical="top" wrapText="1"/>
    </xf>
    <xf numFmtId="0" fontId="19" fillId="6" borderId="18" xfId="0" applyFont="1" applyFill="1" applyBorder="1" applyAlignment="1">
      <alignment horizontal="left" vertical="top" wrapText="1"/>
    </xf>
    <xf numFmtId="0" fontId="19" fillId="6" borderId="28" xfId="0" applyFont="1" applyFill="1" applyBorder="1" applyAlignment="1">
      <alignment horizontal="left" vertical="top" wrapText="1"/>
    </xf>
    <xf numFmtId="0" fontId="19" fillId="6" borderId="17" xfId="0" applyFont="1" applyFill="1" applyBorder="1" applyAlignment="1">
      <alignment horizontal="left" vertical="top" wrapText="1"/>
    </xf>
    <xf numFmtId="0" fontId="19" fillId="30" borderId="19" xfId="0" applyFont="1" applyFill="1" applyBorder="1" applyAlignment="1">
      <alignment horizontal="left" vertical="top" wrapText="1"/>
    </xf>
    <xf numFmtId="0" fontId="0" fillId="0" borderId="0" xfId="0" applyFont="1" applyAlignment="1">
      <alignment horizontal="left" vertical="top"/>
    </xf>
    <xf numFmtId="0" fontId="2" fillId="31" borderId="6" xfId="0" applyFont="1" applyFill="1" applyBorder="1" applyAlignment="1">
      <alignment horizontal="center" vertical="center" wrapText="1"/>
    </xf>
    <xf numFmtId="0" fontId="2" fillId="31" borderId="6" xfId="0" applyFont="1" applyFill="1" applyBorder="1" applyAlignment="1">
      <alignment horizontal="left" vertical="center" wrapText="1"/>
    </xf>
    <xf numFmtId="0" fontId="2" fillId="31" borderId="6" xfId="0" applyFont="1" applyFill="1" applyBorder="1" applyAlignment="1">
      <alignment vertical="center" wrapText="1"/>
    </xf>
    <xf numFmtId="0" fontId="6" fillId="8" borderId="6" xfId="0" applyFont="1" applyFill="1" applyBorder="1" applyAlignment="1">
      <alignment horizontal="center" vertical="center" wrapText="1"/>
    </xf>
    <xf numFmtId="0" fontId="6" fillId="8" borderId="6" xfId="0" applyFont="1" applyFill="1" applyBorder="1" applyAlignment="1">
      <alignment horizontal="center" vertical="center"/>
    </xf>
    <xf numFmtId="0" fontId="2" fillId="0" borderId="34" xfId="0" applyFont="1" applyBorder="1" applyAlignment="1">
      <alignment vertical="center" wrapText="1"/>
    </xf>
    <xf numFmtId="0" fontId="6" fillId="0" borderId="33" xfId="0" applyFont="1" applyBorder="1" applyAlignment="1">
      <alignment vertical="center" wrapText="1"/>
    </xf>
    <xf numFmtId="0" fontId="2" fillId="0" borderId="8" xfId="0" applyFont="1" applyBorder="1" applyAlignment="1">
      <alignment horizontal="center" vertical="center" wrapText="1"/>
    </xf>
    <xf numFmtId="0" fontId="19" fillId="2" borderId="0" xfId="0" applyFont="1" applyFill="1" applyBorder="1" applyAlignment="1">
      <alignment horizontal="center" vertical="center" wrapText="1"/>
    </xf>
    <xf numFmtId="0" fontId="19" fillId="2" borderId="0" xfId="0" applyFont="1" applyFill="1" applyBorder="1" applyAlignment="1">
      <alignment horizontal="left" vertical="center" wrapText="1"/>
    </xf>
    <xf numFmtId="0" fontId="19" fillId="2" borderId="0" xfId="0" applyFont="1" applyFill="1" applyBorder="1" applyAlignment="1">
      <alignment vertical="center" wrapText="1"/>
    </xf>
    <xf numFmtId="0" fontId="19" fillId="3" borderId="0" xfId="0" applyFont="1" applyFill="1" applyBorder="1" applyAlignment="1">
      <alignment horizontal="center" vertical="center" wrapText="1"/>
    </xf>
    <xf numFmtId="0" fontId="19" fillId="4" borderId="0" xfId="0" applyFont="1" applyFill="1" applyBorder="1" applyAlignment="1">
      <alignment horizontal="center" vertical="center" wrapText="1"/>
    </xf>
    <xf numFmtId="0" fontId="20" fillId="4" borderId="0" xfId="0" applyFont="1" applyFill="1" applyBorder="1" applyAlignment="1">
      <alignment horizontal="center" vertical="center" wrapText="1"/>
    </xf>
    <xf numFmtId="0" fontId="19" fillId="5" borderId="0" xfId="0" applyFont="1" applyFill="1" applyBorder="1" applyAlignment="1">
      <alignment horizontal="center" vertical="center" wrapText="1"/>
    </xf>
    <xf numFmtId="0" fontId="19" fillId="6" borderId="0" xfId="0" applyFont="1" applyFill="1" applyBorder="1" applyAlignment="1">
      <alignment horizontal="center" vertical="center" wrapText="1"/>
    </xf>
    <xf numFmtId="0" fontId="19" fillId="6" borderId="0" xfId="0" applyFont="1" applyFill="1" applyBorder="1" applyAlignment="1">
      <alignment vertical="center" wrapText="1"/>
    </xf>
    <xf numFmtId="0" fontId="19" fillId="30" borderId="0" xfId="0" applyFont="1" applyFill="1" applyBorder="1" applyAlignment="1">
      <alignment horizontal="center" vertical="center" wrapText="1"/>
    </xf>
    <xf numFmtId="0" fontId="2" fillId="0" borderId="35" xfId="0" applyFont="1" applyBorder="1" applyAlignment="1">
      <alignment horizontal="center" vertical="center" wrapText="1"/>
    </xf>
    <xf numFmtId="0" fontId="2" fillId="0" borderId="11" xfId="0" applyFont="1" applyBorder="1" applyAlignment="1">
      <alignment horizontal="center" vertical="center" wrapText="1"/>
    </xf>
    <xf numFmtId="0" fontId="19" fillId="32" borderId="17" xfId="0" applyFont="1" applyFill="1" applyBorder="1" applyAlignment="1">
      <alignment horizontal="center" vertical="top" wrapText="1"/>
    </xf>
    <xf numFmtId="0" fontId="6" fillId="15" borderId="7" xfId="0" applyFont="1" applyFill="1" applyBorder="1" applyAlignment="1">
      <alignment horizontal="center" vertical="center" wrapText="1"/>
    </xf>
    <xf numFmtId="0" fontId="2" fillId="23" borderId="0" xfId="0" applyFont="1" applyFill="1" applyBorder="1" applyAlignment="1">
      <alignment horizontal="center" vertical="center" wrapText="1"/>
    </xf>
    <xf numFmtId="0" fontId="2" fillId="0" borderId="31" xfId="0" applyFont="1" applyBorder="1" applyAlignment="1">
      <alignment vertical="center" wrapText="1"/>
    </xf>
    <xf numFmtId="0" fontId="0" fillId="0" borderId="30" xfId="0" applyFont="1" applyBorder="1" applyAlignment="1">
      <alignment vertical="center"/>
    </xf>
    <xf numFmtId="0" fontId="2" fillId="23" borderId="7" xfId="0" applyFont="1" applyFill="1" applyBorder="1" applyAlignment="1">
      <alignment horizontal="center" vertical="center" wrapText="1"/>
    </xf>
    <xf numFmtId="0" fontId="2" fillId="23" borderId="0" xfId="0" applyFont="1" applyFill="1" applyBorder="1" applyAlignment="1">
      <alignment horizontal="left" vertical="center" wrapText="1"/>
    </xf>
    <xf numFmtId="0" fontId="2" fillId="23" borderId="7" xfId="0" applyFont="1" applyFill="1" applyBorder="1" applyAlignment="1">
      <alignment horizontal="left" vertical="center" wrapText="1"/>
    </xf>
    <xf numFmtId="0" fontId="2" fillId="23" borderId="0" xfId="0" applyFont="1" applyFill="1" applyBorder="1" applyAlignment="1">
      <alignment vertical="center" wrapText="1"/>
    </xf>
    <xf numFmtId="0" fontId="2" fillId="23" borderId="7" xfId="0" applyFont="1" applyFill="1" applyBorder="1" applyAlignment="1">
      <alignment vertical="center" wrapText="1"/>
    </xf>
    <xf numFmtId="0" fontId="2" fillId="16" borderId="7" xfId="0" applyFont="1" applyFill="1" applyBorder="1" applyAlignment="1">
      <alignment vertical="center" wrapText="1"/>
    </xf>
    <xf numFmtId="0" fontId="2" fillId="12" borderId="22" xfId="0" applyFont="1" applyFill="1" applyBorder="1" applyAlignment="1">
      <alignment vertical="center" wrapText="1"/>
    </xf>
    <xf numFmtId="0" fontId="2" fillId="10" borderId="7" xfId="0" applyFont="1" applyFill="1" applyBorder="1" applyAlignment="1">
      <alignment horizontal="center" vertical="center" wrapText="1"/>
    </xf>
    <xf numFmtId="0" fontId="2" fillId="2" borderId="7" xfId="0" applyFont="1" applyFill="1" applyBorder="1" applyAlignment="1">
      <alignment vertical="center" wrapText="1"/>
    </xf>
    <xf numFmtId="0" fontId="2" fillId="2" borderId="0" xfId="0" applyFont="1" applyFill="1" applyBorder="1" applyAlignment="1">
      <alignment vertical="center" wrapText="1"/>
    </xf>
    <xf numFmtId="0" fontId="0" fillId="0" borderId="0" xfId="0" applyBorder="1" applyAlignment="1">
      <alignment horizontal="center" vertical="center"/>
    </xf>
    <xf numFmtId="0" fontId="25" fillId="0" borderId="0" xfId="0" applyFont="1" applyBorder="1" applyAlignment="1">
      <alignment horizontal="center" vertical="center"/>
    </xf>
    <xf numFmtId="0" fontId="6" fillId="0" borderId="30" xfId="0" applyFont="1" applyBorder="1" applyAlignment="1">
      <alignment vertical="center" wrapText="1"/>
    </xf>
    <xf numFmtId="0" fontId="6" fillId="0" borderId="6" xfId="0" applyFont="1" applyBorder="1" applyAlignment="1">
      <alignment vertical="center"/>
    </xf>
    <xf numFmtId="0" fontId="6" fillId="0" borderId="0" xfId="0" applyFont="1" applyBorder="1" applyAlignment="1">
      <alignment vertical="center" wrapText="1"/>
    </xf>
    <xf numFmtId="0" fontId="19" fillId="32" borderId="0" xfId="0" applyFont="1" applyFill="1" applyBorder="1" applyAlignment="1">
      <alignment horizontal="center" vertical="top" wrapText="1"/>
    </xf>
    <xf numFmtId="0" fontId="0" fillId="0" borderId="0" xfId="0" applyFont="1" applyAlignment="1"/>
    <xf numFmtId="0" fontId="6" fillId="0" borderId="1" xfId="0" applyFont="1" applyBorder="1" applyAlignment="1">
      <alignment horizontal="center" vertical="center" wrapText="1"/>
    </xf>
    <xf numFmtId="0" fontId="6" fillId="8" borderId="1" xfId="0" applyFont="1" applyFill="1" applyBorder="1" applyAlignment="1">
      <alignment vertical="center" wrapText="1"/>
    </xf>
    <xf numFmtId="0" fontId="0" fillId="0" borderId="1" xfId="0" applyFont="1" applyBorder="1" applyAlignment="1">
      <alignment vertical="center"/>
    </xf>
    <xf numFmtId="0" fontId="6" fillId="8" borderId="6" xfId="0" applyFont="1" applyFill="1" applyBorder="1" applyAlignment="1">
      <alignment vertical="center" wrapText="1"/>
    </xf>
    <xf numFmtId="0" fontId="7" fillId="11" borderId="1" xfId="0" applyFont="1" applyFill="1" applyBorder="1" applyAlignment="1">
      <alignment wrapText="1"/>
    </xf>
    <xf numFmtId="0" fontId="6" fillId="0" borderId="1" xfId="0" applyFont="1" applyBorder="1" applyAlignment="1">
      <alignment horizontal="center" vertical="center" wrapText="1"/>
    </xf>
    <xf numFmtId="0" fontId="2" fillId="0" borderId="36" xfId="0" applyFont="1" applyBorder="1" applyAlignment="1">
      <alignment horizontal="center" vertical="center" wrapText="1"/>
    </xf>
    <xf numFmtId="0" fontId="6" fillId="0" borderId="35" xfId="0" applyFont="1" applyBorder="1" applyAlignment="1">
      <alignment horizontal="center" vertical="center"/>
    </xf>
    <xf numFmtId="0" fontId="6" fillId="8" borderId="36" xfId="0" applyFont="1" applyFill="1" applyBorder="1" applyAlignment="1">
      <alignment horizontal="center" vertical="center"/>
    </xf>
    <xf numFmtId="0" fontId="6" fillId="0" borderId="6" xfId="0" applyFont="1" applyBorder="1" applyAlignment="1">
      <alignment horizontal="center" vertical="center"/>
    </xf>
    <xf numFmtId="0" fontId="2" fillId="0" borderId="24" xfId="0" applyFont="1" applyBorder="1" applyAlignment="1">
      <alignment horizontal="center" vertical="center" wrapText="1"/>
    </xf>
    <xf numFmtId="0" fontId="6" fillId="8" borderId="24" xfId="0" applyFont="1" applyFill="1" applyBorder="1" applyAlignment="1">
      <alignment horizontal="center" vertical="center"/>
    </xf>
    <xf numFmtId="0" fontId="0" fillId="0" borderId="0" xfId="0" applyFont="1" applyAlignment="1"/>
    <xf numFmtId="0" fontId="6" fillId="0" borderId="1" xfId="0" applyFont="1" applyBorder="1" applyAlignment="1">
      <alignment horizontal="center" vertical="center" wrapText="1"/>
    </xf>
    <xf numFmtId="0" fontId="2" fillId="10" borderId="7" xfId="0" applyFont="1" applyFill="1" applyBorder="1" applyAlignment="1">
      <alignment horizontal="left" vertical="center" wrapText="1"/>
    </xf>
    <xf numFmtId="0" fontId="2" fillId="10" borderId="7" xfId="0" applyFont="1" applyFill="1" applyBorder="1" applyAlignment="1">
      <alignment vertical="center" wrapText="1"/>
    </xf>
    <xf numFmtId="0" fontId="2" fillId="11" borderId="7" xfId="0" applyFont="1" applyFill="1" applyBorder="1" applyAlignment="1">
      <alignment horizontal="left" vertical="center" wrapText="1"/>
    </xf>
    <xf numFmtId="0" fontId="2" fillId="12" borderId="7" xfId="0" applyFont="1" applyFill="1" applyBorder="1" applyAlignment="1">
      <alignment horizontal="left" vertical="center" wrapText="1"/>
    </xf>
    <xf numFmtId="0" fontId="2" fillId="12" borderId="7" xfId="0" applyFont="1" applyFill="1" applyBorder="1" applyAlignment="1">
      <alignment vertical="center" wrapText="1"/>
    </xf>
    <xf numFmtId="0" fontId="2" fillId="13" borderId="7" xfId="0" applyFont="1" applyFill="1" applyBorder="1" applyAlignment="1">
      <alignment horizontal="center" vertical="center" wrapText="1"/>
    </xf>
    <xf numFmtId="0" fontId="6" fillId="13" borderId="7" xfId="0" applyFont="1" applyFill="1" applyBorder="1" applyAlignment="1">
      <alignment horizontal="left" vertical="center" wrapText="1"/>
    </xf>
    <xf numFmtId="0" fontId="6" fillId="13" borderId="7" xfId="0" applyFont="1" applyFill="1" applyBorder="1" applyAlignment="1">
      <alignment vertical="center" wrapText="1"/>
    </xf>
    <xf numFmtId="0" fontId="6" fillId="13" borderId="0" xfId="0" applyFont="1" applyFill="1" applyBorder="1" applyAlignment="1">
      <alignment vertical="center" wrapText="1"/>
    </xf>
    <xf numFmtId="0" fontId="2" fillId="0" borderId="37" xfId="0" applyFont="1" applyBorder="1" applyAlignment="1">
      <alignment vertical="center" wrapText="1"/>
    </xf>
    <xf numFmtId="0" fontId="2" fillId="0" borderId="37" xfId="0" applyFont="1" applyBorder="1" applyAlignment="1">
      <alignment horizontal="center" vertical="center" wrapText="1"/>
    </xf>
    <xf numFmtId="0" fontId="6" fillId="0" borderId="37" xfId="0" applyFont="1" applyBorder="1" applyAlignment="1">
      <alignment vertical="center"/>
    </xf>
    <xf numFmtId="0" fontId="2" fillId="14" borderId="7" xfId="0" applyFont="1" applyFill="1" applyBorder="1" applyAlignment="1">
      <alignment horizontal="center" vertical="center" wrapText="1"/>
    </xf>
    <xf numFmtId="0" fontId="2" fillId="14" borderId="7" xfId="0" applyFont="1" applyFill="1" applyBorder="1" applyAlignment="1">
      <alignment horizontal="left" vertical="center" wrapText="1"/>
    </xf>
    <xf numFmtId="0" fontId="2" fillId="14" borderId="7" xfId="0" applyFont="1" applyFill="1" applyBorder="1" applyAlignment="1">
      <alignment vertical="center" wrapText="1"/>
    </xf>
    <xf numFmtId="0" fontId="2" fillId="14" borderId="0" xfId="0" applyFont="1" applyFill="1" applyBorder="1" applyAlignment="1">
      <alignment horizontal="center" vertical="center" wrapText="1"/>
    </xf>
    <xf numFmtId="0" fontId="6" fillId="15" borderId="7" xfId="0" applyFont="1" applyFill="1" applyBorder="1" applyAlignment="1">
      <alignment horizontal="left" vertical="center" wrapText="1"/>
    </xf>
    <xf numFmtId="0" fontId="6" fillId="15" borderId="7" xfId="0" applyFont="1" applyFill="1" applyBorder="1" applyAlignment="1">
      <alignment vertical="center" wrapText="1"/>
    </xf>
    <xf numFmtId="0" fontId="2" fillId="11" borderId="6" xfId="0" applyFont="1" applyFill="1" applyBorder="1" applyAlignment="1">
      <alignment horizontal="center" vertical="center" wrapText="1"/>
    </xf>
    <xf numFmtId="0" fontId="2" fillId="11" borderId="6" xfId="0" applyFont="1" applyFill="1" applyBorder="1" applyAlignment="1">
      <alignment horizontal="left" vertical="center" wrapText="1"/>
    </xf>
    <xf numFmtId="0" fontId="2" fillId="12" borderId="6" xfId="0" applyFont="1" applyFill="1" applyBorder="1" applyAlignment="1">
      <alignment horizontal="left" vertical="center" wrapText="1"/>
    </xf>
    <xf numFmtId="0" fontId="2" fillId="12" borderId="6" xfId="0" applyFont="1" applyFill="1" applyBorder="1" applyAlignment="1">
      <alignment vertical="center" wrapText="1"/>
    </xf>
    <xf numFmtId="0" fontId="2" fillId="13" borderId="0" xfId="0" applyFont="1" applyFill="1" applyBorder="1" applyAlignment="1">
      <alignment horizontal="center" vertical="center" wrapText="1"/>
    </xf>
    <xf numFmtId="0" fontId="6" fillId="13" borderId="0" xfId="0" applyFont="1" applyFill="1" applyBorder="1" applyAlignment="1">
      <alignment horizontal="left" vertical="center" wrapText="1"/>
    </xf>
    <xf numFmtId="0" fontId="2" fillId="0" borderId="27" xfId="0" applyFont="1" applyBorder="1" applyAlignment="1">
      <alignment vertical="center" wrapText="1"/>
    </xf>
    <xf numFmtId="0" fontId="2" fillId="0" borderId="10" xfId="0" applyFont="1" applyBorder="1" applyAlignment="1">
      <alignment horizontal="center" vertical="center" wrapText="1"/>
    </xf>
    <xf numFmtId="0" fontId="2" fillId="13" borderId="6" xfId="0" applyFont="1" applyFill="1" applyBorder="1" applyAlignment="1">
      <alignment horizontal="center" vertical="center" wrapText="1"/>
    </xf>
    <xf numFmtId="0" fontId="6" fillId="13" borderId="6" xfId="0" applyFont="1" applyFill="1" applyBorder="1" applyAlignment="1">
      <alignment horizontal="left" vertical="center" wrapText="1"/>
    </xf>
    <xf numFmtId="0" fontId="2" fillId="0" borderId="33" xfId="0" applyFont="1" applyBorder="1" applyAlignment="1">
      <alignment vertical="center" wrapText="1"/>
    </xf>
    <xf numFmtId="0" fontId="2" fillId="0" borderId="38" xfId="0" applyFont="1" applyBorder="1" applyAlignment="1">
      <alignment horizontal="center" vertical="center" wrapText="1"/>
    </xf>
    <xf numFmtId="0" fontId="6" fillId="0" borderId="38" xfId="0" applyFont="1" applyBorder="1" applyAlignment="1">
      <alignment horizontal="center" vertical="center" wrapText="1"/>
    </xf>
    <xf numFmtId="0" fontId="2" fillId="0" borderId="38" xfId="0" applyFont="1" applyBorder="1" applyAlignment="1">
      <alignment vertical="center" wrapText="1"/>
    </xf>
    <xf numFmtId="0" fontId="2" fillId="16" borderId="6" xfId="0" applyFont="1" applyFill="1" applyBorder="1" applyAlignment="1">
      <alignment horizontal="left" vertical="center" wrapText="1"/>
    </xf>
    <xf numFmtId="0" fontId="2" fillId="16" borderId="6" xfId="0" applyFont="1" applyFill="1" applyBorder="1" applyAlignment="1">
      <alignment vertical="center" wrapText="1"/>
    </xf>
    <xf numFmtId="0" fontId="19" fillId="2" borderId="30" xfId="0" applyFont="1" applyFill="1" applyBorder="1" applyAlignment="1">
      <alignment horizontal="center" vertical="center" wrapText="1"/>
    </xf>
    <xf numFmtId="0" fontId="19" fillId="2" borderId="30" xfId="0" applyFont="1" applyFill="1" applyBorder="1" applyAlignment="1">
      <alignment horizontal="left" vertical="center" wrapText="1"/>
    </xf>
    <xf numFmtId="0" fontId="19" fillId="2" borderId="30" xfId="0" applyFont="1" applyFill="1" applyBorder="1" applyAlignment="1">
      <alignment vertical="center" wrapText="1"/>
    </xf>
    <xf numFmtId="0" fontId="19" fillId="3" borderId="30" xfId="0" applyFont="1" applyFill="1" applyBorder="1" applyAlignment="1">
      <alignment horizontal="center" vertical="center" wrapText="1"/>
    </xf>
    <xf numFmtId="0" fontId="19" fillId="4" borderId="30" xfId="0" applyFont="1" applyFill="1" applyBorder="1" applyAlignment="1">
      <alignment horizontal="center" vertical="center" wrapText="1"/>
    </xf>
    <xf numFmtId="0" fontId="19" fillId="5" borderId="30" xfId="0" applyFont="1" applyFill="1" applyBorder="1" applyAlignment="1">
      <alignment horizontal="center" vertical="center" wrapText="1"/>
    </xf>
    <xf numFmtId="0" fontId="19" fillId="6" borderId="30" xfId="0" applyFont="1" applyFill="1" applyBorder="1" applyAlignment="1">
      <alignment vertical="center" wrapText="1"/>
    </xf>
    <xf numFmtId="0" fontId="19" fillId="30" borderId="30" xfId="0" applyFont="1" applyFill="1" applyBorder="1" applyAlignment="1">
      <alignment horizontal="center" vertical="center" wrapText="1"/>
    </xf>
    <xf numFmtId="0" fontId="2" fillId="11" borderId="30" xfId="0" applyFont="1" applyFill="1" applyBorder="1" applyAlignment="1">
      <alignment horizontal="center" vertical="center" wrapText="1"/>
    </xf>
    <xf numFmtId="0" fontId="2" fillId="11" borderId="30" xfId="0" applyFont="1" applyFill="1" applyBorder="1" applyAlignment="1">
      <alignment horizontal="left" vertical="center" wrapText="1"/>
    </xf>
    <xf numFmtId="0" fontId="2" fillId="11" borderId="30" xfId="0" applyFont="1" applyFill="1" applyBorder="1" applyAlignment="1">
      <alignment vertical="center" wrapText="1"/>
    </xf>
    <xf numFmtId="0" fontId="6" fillId="8" borderId="30" xfId="0" applyFont="1" applyFill="1" applyBorder="1" applyAlignment="1">
      <alignment vertical="center" wrapText="1"/>
    </xf>
    <xf numFmtId="0" fontId="0" fillId="0" borderId="30" xfId="0" applyBorder="1" applyAlignment="1">
      <alignment horizontal="center" vertical="center"/>
    </xf>
    <xf numFmtId="0" fontId="2" fillId="12" borderId="30" xfId="0" applyFont="1" applyFill="1" applyBorder="1" applyAlignment="1">
      <alignment horizontal="center" vertical="center" wrapText="1"/>
    </xf>
    <xf numFmtId="0" fontId="2" fillId="12" borderId="30" xfId="0" applyFont="1" applyFill="1" applyBorder="1" applyAlignment="1">
      <alignment horizontal="left" vertical="center" wrapText="1"/>
    </xf>
    <xf numFmtId="0" fontId="2" fillId="12" borderId="30" xfId="0" applyFont="1" applyFill="1" applyBorder="1" applyAlignment="1">
      <alignment vertical="center" wrapText="1"/>
    </xf>
    <xf numFmtId="0" fontId="2" fillId="13" borderId="30" xfId="0" applyFont="1" applyFill="1" applyBorder="1" applyAlignment="1">
      <alignment horizontal="center" vertical="center" wrapText="1"/>
    </xf>
    <xf numFmtId="0" fontId="6" fillId="13" borderId="30" xfId="0" applyFont="1" applyFill="1" applyBorder="1" applyAlignment="1">
      <alignment horizontal="left" vertical="center" wrapText="1"/>
    </xf>
    <xf numFmtId="0" fontId="6" fillId="13" borderId="30" xfId="0" applyFont="1" applyFill="1" applyBorder="1" applyAlignment="1">
      <alignment vertical="center" wrapText="1"/>
    </xf>
    <xf numFmtId="0" fontId="2" fillId="2" borderId="30" xfId="0" applyFont="1" applyFill="1" applyBorder="1" applyAlignment="1">
      <alignment vertical="center" wrapText="1"/>
    </xf>
    <xf numFmtId="0" fontId="2" fillId="16" borderId="30" xfId="0" applyFont="1" applyFill="1" applyBorder="1" applyAlignment="1">
      <alignment horizontal="center" vertical="center" wrapText="1"/>
    </xf>
    <xf numFmtId="0" fontId="2" fillId="16" borderId="30" xfId="0" applyFont="1" applyFill="1" applyBorder="1" applyAlignment="1">
      <alignment horizontal="left" vertical="center" wrapText="1"/>
    </xf>
    <xf numFmtId="0" fontId="2" fillId="16" borderId="30" xfId="0" applyFont="1" applyFill="1" applyBorder="1" applyAlignment="1">
      <alignment vertical="center" wrapText="1"/>
    </xf>
    <xf numFmtId="0" fontId="8" fillId="0" borderId="10" xfId="0" applyFont="1" applyBorder="1" applyAlignment="1">
      <alignment horizontal="left"/>
    </xf>
    <xf numFmtId="0" fontId="4" fillId="0" borderId="10" xfId="0" applyFont="1" applyBorder="1"/>
    <xf numFmtId="0" fontId="4" fillId="0" borderId="8" xfId="0" applyFont="1" applyBorder="1"/>
    <xf numFmtId="0" fontId="8" fillId="0" borderId="11" xfId="0" applyFont="1" applyBorder="1" applyAlignment="1">
      <alignment horizontal="center"/>
    </xf>
    <xf numFmtId="0" fontId="8" fillId="7" borderId="10" xfId="0" applyFont="1" applyFill="1" applyBorder="1" applyAlignment="1">
      <alignment horizontal="center"/>
    </xf>
    <xf numFmtId="0" fontId="8" fillId="0" borderId="10" xfId="0" applyFont="1" applyBorder="1" applyAlignment="1">
      <alignment horizontal="center"/>
    </xf>
    <xf numFmtId="0" fontId="8" fillId="0" borderId="10" xfId="0" applyFont="1" applyBorder="1" applyAlignment="1">
      <alignment horizontal="center" wrapText="1"/>
    </xf>
    <xf numFmtId="0" fontId="8" fillId="0" borderId="0" xfId="0" applyFont="1" applyAlignment="1">
      <alignment horizontal="left"/>
    </xf>
    <xf numFmtId="0" fontId="0" fillId="0" borderId="0" xfId="0" applyFont="1" applyAlignment="1"/>
    <xf numFmtId="0" fontId="16" fillId="0" borderId="0" xfId="0" applyFont="1" applyAlignment="1">
      <alignment horizontal="left"/>
    </xf>
    <xf numFmtId="0" fontId="8" fillId="0" borderId="10" xfId="0" applyFont="1" applyBorder="1" applyAlignment="1">
      <alignment horizontal="left" wrapText="1"/>
    </xf>
    <xf numFmtId="0" fontId="7" fillId="0" borderId="0" xfId="0" applyFont="1" applyAlignment="1">
      <alignment wrapText="1"/>
    </xf>
    <xf numFmtId="0" fontId="7" fillId="11" borderId="0" xfId="0" applyFont="1" applyFill="1" applyAlignment="1">
      <alignment wrapText="1"/>
    </xf>
    <xf numFmtId="0" fontId="7" fillId="24" borderId="14" xfId="0" applyFont="1" applyFill="1" applyBorder="1" applyAlignment="1">
      <alignment horizontal="left"/>
    </xf>
    <xf numFmtId="0" fontId="4" fillId="0" borderId="9" xfId="0" applyFont="1" applyBorder="1"/>
    <xf numFmtId="0" fontId="7" fillId="0" borderId="0" xfId="0" applyFont="1" applyAlignment="1">
      <alignment horizontal="center"/>
    </xf>
    <xf numFmtId="0" fontId="7" fillId="0" borderId="5" xfId="0" applyFont="1" applyBorder="1" applyAlignment="1">
      <alignment horizontal="left"/>
    </xf>
    <xf numFmtId="0" fontId="4" fillId="0" borderId="5" xfId="0" applyFont="1" applyBorder="1"/>
    <xf numFmtId="0" fontId="7" fillId="0" borderId="2" xfId="0" applyFont="1" applyBorder="1" applyAlignment="1">
      <alignment horizontal="left" vertical="top"/>
    </xf>
    <xf numFmtId="0" fontId="4" fillId="0" borderId="1" xfId="0" applyFont="1" applyBorder="1"/>
    <xf numFmtId="0" fontId="4" fillId="0" borderId="3" xfId="0" applyFont="1" applyBorder="1"/>
    <xf numFmtId="0" fontId="7" fillId="0" borderId="12" xfId="0" applyFont="1" applyBorder="1" applyAlignment="1">
      <alignment horizontal="left"/>
    </xf>
    <xf numFmtId="0" fontId="4" fillId="0" borderId="7" xfId="0" applyFont="1" applyBorder="1"/>
    <xf numFmtId="0" fontId="9" fillId="0" borderId="5" xfId="0" applyFont="1" applyBorder="1" applyAlignment="1">
      <alignment horizontal="left" vertical="top"/>
    </xf>
    <xf numFmtId="0" fontId="4" fillId="0" borderId="15" xfId="0" applyFont="1" applyBorder="1"/>
    <xf numFmtId="0" fontId="9" fillId="0" borderId="5" xfId="0" applyFont="1" applyBorder="1" applyAlignment="1">
      <alignment horizontal="left"/>
    </xf>
    <xf numFmtId="0" fontId="9" fillId="0" borderId="14" xfId="0" applyFont="1" applyBorder="1" applyAlignment="1">
      <alignment horizontal="left"/>
    </xf>
    <xf numFmtId="0" fontId="4" fillId="0" borderId="6" xfId="0" applyFont="1" applyBorder="1"/>
    <xf numFmtId="0" fontId="4" fillId="0" borderId="14" xfId="0" applyFont="1" applyBorder="1"/>
    <xf numFmtId="0" fontId="10" fillId="28" borderId="2" xfId="0" applyFont="1" applyFill="1" applyBorder="1" applyAlignment="1">
      <alignment horizontal="left"/>
    </xf>
    <xf numFmtId="0" fontId="7" fillId="0" borderId="6" xfId="0" applyFont="1" applyBorder="1" applyAlignment="1">
      <alignment horizontal="center"/>
    </xf>
    <xf numFmtId="0" fontId="7" fillId="0" borderId="0" xfId="0" applyFont="1" applyAlignment="1"/>
    <xf numFmtId="0" fontId="6" fillId="0" borderId="6" xfId="0" applyFont="1" applyBorder="1" applyAlignment="1">
      <alignment horizontal="center"/>
    </xf>
    <xf numFmtId="0" fontId="15" fillId="28" borderId="2" xfId="0" applyFont="1" applyFill="1" applyBorder="1" applyAlignment="1">
      <alignment horizontal="left"/>
    </xf>
    <xf numFmtId="0" fontId="7" fillId="0" borderId="14" xfId="0" applyFont="1" applyBorder="1" applyAlignment="1">
      <alignment horizontal="center"/>
    </xf>
    <xf numFmtId="0" fontId="9" fillId="0" borderId="14" xfId="0" applyFont="1" applyBorder="1" applyAlignment="1">
      <alignment horizontal="left" vertical="top"/>
    </xf>
    <xf numFmtId="0" fontId="7" fillId="0" borderId="2" xfId="0" applyFont="1" applyBorder="1" applyAlignment="1">
      <alignment horizontal="left" wrapText="1"/>
    </xf>
    <xf numFmtId="0" fontId="7" fillId="28" borderId="2" xfId="0" applyFont="1" applyFill="1" applyBorder="1" applyAlignment="1">
      <alignment horizontal="left" vertical="top"/>
    </xf>
    <xf numFmtId="0" fontId="7" fillId="0" borderId="12" xfId="0" applyFont="1" applyBorder="1" applyAlignment="1">
      <alignment horizontal="left" wrapText="1"/>
    </xf>
    <xf numFmtId="0" fontId="4" fillId="0" borderId="13" xfId="0" applyFont="1" applyBorder="1"/>
    <xf numFmtId="0" fontId="7" fillId="24" borderId="6" xfId="0" applyFont="1" applyFill="1" applyBorder="1" applyAlignment="1">
      <alignment horizontal="center"/>
    </xf>
    <xf numFmtId="0" fontId="10" fillId="0" borderId="2" xfId="0" applyFont="1" applyBorder="1" applyAlignment="1">
      <alignment horizontal="left"/>
    </xf>
    <xf numFmtId="0" fontId="7" fillId="0" borderId="1" xfId="0" applyFont="1" applyBorder="1" applyAlignment="1">
      <alignment horizontal="left" wrapText="1"/>
    </xf>
    <xf numFmtId="0" fontId="7" fillId="28" borderId="12" xfId="0" applyFont="1" applyFill="1" applyBorder="1" applyAlignment="1">
      <alignment horizontal="left"/>
    </xf>
    <xf numFmtId="0" fontId="7" fillId="0" borderId="1" xfId="0" applyFont="1" applyBorder="1" applyAlignment="1">
      <alignment horizontal="left" vertical="top"/>
    </xf>
    <xf numFmtId="0" fontId="7" fillId="0" borderId="7" xfId="0" applyFont="1" applyBorder="1" applyAlignment="1">
      <alignment horizontal="center"/>
    </xf>
    <xf numFmtId="0" fontId="6" fillId="0" borderId="1" xfId="0" applyFont="1" applyBorder="1" applyAlignment="1">
      <alignment horizontal="center" vertical="center" wrapText="1"/>
    </xf>
    <xf numFmtId="0" fontId="10" fillId="24" borderId="10" xfId="0" applyFont="1" applyFill="1" applyBorder="1" applyAlignment="1"/>
    <xf numFmtId="0" fontId="0" fillId="0" borderId="0" xfId="0" applyAlignment="1">
      <alignment wrapText="1"/>
    </xf>
    <xf numFmtId="0" fontId="6" fillId="8" borderId="0" xfId="0" applyFont="1" applyFill="1" applyBorder="1" applyAlignment="1">
      <alignment horizontal="center" vertical="center"/>
    </xf>
    <xf numFmtId="0" fontId="8" fillId="0" borderId="1" xfId="0" applyFont="1" applyBorder="1" applyAlignment="1">
      <alignment horizontal="center" wrapText="1"/>
    </xf>
    <xf numFmtId="0" fontId="7" fillId="0" borderId="1" xfId="0" applyFont="1" applyBorder="1" applyAlignment="1">
      <alignment horizontal="center" wrapText="1"/>
    </xf>
    <xf numFmtId="0" fontId="9" fillId="0" borderId="1" xfId="0" applyFont="1" applyBorder="1" applyAlignment="1">
      <alignment horizontal="center" wrapText="1"/>
    </xf>
    <xf numFmtId="0" fontId="0" fillId="0" borderId="0" xfId="0" applyFont="1" applyBorder="1" applyAlignment="1">
      <alignment horizontal="center" wrapText="1"/>
    </xf>
    <xf numFmtId="0" fontId="19" fillId="4" borderId="39" xfId="0" applyFont="1" applyFill="1" applyBorder="1" applyAlignment="1">
      <alignment horizontal="center" vertical="center" wrapText="1"/>
    </xf>
    <xf numFmtId="0" fontId="0" fillId="0" borderId="39" xfId="0" applyFont="1" applyBorder="1" applyAlignment="1"/>
    <xf numFmtId="0" fontId="8" fillId="0" borderId="1" xfId="0" applyFont="1" applyBorder="1" applyAlignment="1">
      <alignment horizontal="center"/>
    </xf>
    <xf numFmtId="0" fontId="9" fillId="0" borderId="1" xfId="0" applyFont="1" applyBorder="1" applyAlignment="1">
      <alignment horizontal="center"/>
    </xf>
    <xf numFmtId="0" fontId="6" fillId="8" borderId="31" xfId="0" applyFont="1" applyFill="1" applyBorder="1" applyAlignment="1">
      <alignment horizontal="center" vertical="center" wrapText="1"/>
    </xf>
    <xf numFmtId="0" fontId="6" fillId="8" borderId="7" xfId="0" applyFont="1" applyFill="1" applyBorder="1" applyAlignment="1">
      <alignment horizontal="center" vertical="center" wrapText="1"/>
    </xf>
    <xf numFmtId="0" fontId="4" fillId="34" borderId="30" xfId="1" applyFont="1" applyFill="1" applyBorder="1" applyAlignment="1">
      <alignment horizontal="center" vertical="center" wrapText="1"/>
    </xf>
    <xf numFmtId="0" fontId="4" fillId="0" borderId="30" xfId="1" applyFont="1" applyFill="1" applyBorder="1" applyAlignment="1">
      <alignment horizontal="center" vertical="center" wrapText="1"/>
    </xf>
    <xf numFmtId="0" fontId="4" fillId="0" borderId="30" xfId="1" applyFont="1" applyFill="1" applyBorder="1" applyAlignment="1">
      <alignment horizontal="left" vertical="center" wrapText="1"/>
    </xf>
    <xf numFmtId="0" fontId="4" fillId="34" borderId="38" xfId="1" applyFont="1" applyFill="1" applyBorder="1" applyAlignment="1">
      <alignment horizontal="center" vertical="center" wrapText="1"/>
    </xf>
    <xf numFmtId="0" fontId="4" fillId="0" borderId="38" xfId="1" applyFont="1" applyFill="1" applyBorder="1" applyAlignment="1">
      <alignment horizontal="center" vertical="center" wrapText="1"/>
    </xf>
    <xf numFmtId="0" fontId="4" fillId="0" borderId="38" xfId="1" applyFont="1" applyFill="1" applyBorder="1" applyAlignment="1">
      <alignment horizontal="left" vertical="center" wrapText="1"/>
    </xf>
    <xf numFmtId="0" fontId="4" fillId="35" borderId="30" xfId="1" applyFont="1" applyFill="1" applyBorder="1" applyAlignment="1">
      <alignment horizontal="center" vertical="center" wrapText="1"/>
    </xf>
    <xf numFmtId="0" fontId="4" fillId="36" borderId="30" xfId="1" applyFont="1" applyFill="1" applyBorder="1" applyAlignment="1">
      <alignment horizontal="center" vertical="center" wrapText="1"/>
    </xf>
    <xf numFmtId="0" fontId="4" fillId="37" borderId="30" xfId="1" applyFont="1" applyFill="1" applyBorder="1" applyAlignment="1">
      <alignment horizontal="center" vertical="center" wrapText="1"/>
    </xf>
    <xf numFmtId="0" fontId="4" fillId="0" borderId="30" xfId="1" applyFont="1" applyBorder="1" applyAlignment="1">
      <alignment horizontal="center" vertical="center"/>
    </xf>
    <xf numFmtId="0" fontId="28" fillId="33" borderId="30" xfId="1" applyFont="1" applyFill="1" applyBorder="1" applyAlignment="1">
      <alignment horizontal="center" vertical="center" wrapText="1"/>
    </xf>
    <xf numFmtId="0" fontId="4" fillId="38" borderId="30" xfId="1" applyFont="1" applyFill="1" applyBorder="1" applyAlignment="1">
      <alignment horizontal="center" vertical="center" wrapText="1"/>
    </xf>
    <xf numFmtId="0" fontId="26" fillId="0" borderId="30" xfId="1" applyFont="1" applyBorder="1" applyAlignment="1">
      <alignment horizontal="center" vertical="center"/>
    </xf>
    <xf numFmtId="0" fontId="4" fillId="0" borderId="30" xfId="1" applyFont="1" applyBorder="1" applyAlignment="1">
      <alignment horizontal="center" vertical="center" wrapText="1"/>
    </xf>
    <xf numFmtId="0" fontId="4" fillId="0" borderId="30" xfId="1" applyFont="1" applyBorder="1" applyAlignment="1">
      <alignment horizontal="left" vertical="center" wrapText="1"/>
    </xf>
    <xf numFmtId="0" fontId="26" fillId="0" borderId="30" xfId="1" applyFont="1" applyBorder="1" applyAlignment="1">
      <alignment horizontal="center" vertical="center" wrapText="1"/>
    </xf>
    <xf numFmtId="0" fontId="26" fillId="0" borderId="30" xfId="1" applyFont="1" applyFill="1" applyBorder="1" applyAlignment="1">
      <alignment horizontal="center" vertical="center" wrapText="1"/>
    </xf>
    <xf numFmtId="0" fontId="26" fillId="0" borderId="30" xfId="1" applyFont="1" applyBorder="1" applyAlignment="1">
      <alignment horizontal="left" vertical="center" wrapText="1"/>
    </xf>
    <xf numFmtId="0" fontId="26" fillId="0" borderId="30" xfId="1" applyNumberFormat="1" applyFont="1" applyBorder="1" applyAlignment="1">
      <alignment horizontal="left" vertical="center" wrapText="1"/>
    </xf>
    <xf numFmtId="0" fontId="4" fillId="0" borderId="37" xfId="1" applyFont="1" applyFill="1" applyBorder="1" applyAlignment="1">
      <alignment horizontal="left" vertical="center" wrapText="1"/>
    </xf>
    <xf numFmtId="0" fontId="4" fillId="0" borderId="38" xfId="1" applyFont="1" applyFill="1" applyBorder="1" applyAlignment="1">
      <alignment horizontal="left" vertical="center" wrapText="1"/>
    </xf>
    <xf numFmtId="0" fontId="4" fillId="0" borderId="37" xfId="1" applyFont="1" applyFill="1" applyBorder="1" applyAlignment="1">
      <alignment horizontal="center" vertical="center" wrapText="1"/>
    </xf>
    <xf numFmtId="0" fontId="4" fillId="0" borderId="38" xfId="1" applyFont="1" applyFill="1" applyBorder="1" applyAlignment="1">
      <alignment horizontal="center" vertical="center" wrapText="1"/>
    </xf>
    <xf numFmtId="0" fontId="4" fillId="34" borderId="37" xfId="1" applyFont="1" applyFill="1" applyBorder="1" applyAlignment="1">
      <alignment horizontal="center" vertical="center" wrapText="1"/>
    </xf>
    <xf numFmtId="0" fontId="4" fillId="34" borderId="27" xfId="1" applyFont="1" applyFill="1" applyBorder="1" applyAlignment="1">
      <alignment horizontal="center" vertical="center" wrapText="1"/>
    </xf>
    <xf numFmtId="0" fontId="4" fillId="34" borderId="38" xfId="1" applyFont="1" applyFill="1" applyBorder="1" applyAlignment="1">
      <alignment horizontal="center" vertical="center" wrapText="1"/>
    </xf>
    <xf numFmtId="0" fontId="4" fillId="0" borderId="27" xfId="1" applyFont="1" applyFill="1" applyBorder="1" applyAlignment="1">
      <alignment horizontal="center" vertical="center" wrapText="1"/>
    </xf>
  </cellXfs>
  <cellStyles count="5">
    <cellStyle name="Normal" xfId="0" builtinId="0"/>
    <cellStyle name="Normal 2" xfId="2" xr:uid="{77A53CF3-3B16-4313-B5CB-707D2ACDDAE7}"/>
    <cellStyle name="Normal 2 2" xfId="3" xr:uid="{F0042A16-00B9-41C3-B40A-E2056920D4AE}"/>
    <cellStyle name="Normal 3" xfId="1" xr:uid="{07243854-A0FD-48BA-97A7-33ADA1BE052F}"/>
    <cellStyle name="Normal 4" xfId="4" xr:uid="{09C6232B-4CEF-4E6D-A0F3-9422F701F7A6}"/>
  </cellStyles>
  <dxfs count="12">
    <dxf>
      <font>
        <color rgb="FF000000"/>
      </font>
      <fill>
        <patternFill patternType="solid">
          <fgColor rgb="FFF3F3F3"/>
          <bgColor rgb="FFF3F3F3"/>
        </patternFill>
      </fill>
      <border>
        <right style="thin">
          <color rgb="FFFFFFFF"/>
        </right>
      </border>
    </dxf>
    <dxf>
      <font>
        <color rgb="FF000000"/>
      </font>
      <fill>
        <patternFill patternType="solid">
          <fgColor rgb="FFF3F3F3"/>
          <bgColor rgb="FFF3F3F3"/>
        </patternFill>
      </fill>
      <border>
        <right style="thin">
          <color rgb="FFFFFFFF"/>
        </right>
      </border>
    </dxf>
    <dxf>
      <font>
        <color rgb="FF000000"/>
      </font>
      <fill>
        <patternFill patternType="solid">
          <fgColor rgb="FFF3F3F3"/>
          <bgColor rgb="FFF3F3F3"/>
        </patternFill>
      </fill>
      <border>
        <right style="thin">
          <color rgb="FFFFFFFF"/>
        </right>
      </border>
    </dxf>
    <dxf>
      <font>
        <color rgb="FFFFFFFF"/>
      </font>
      <fill>
        <patternFill patternType="solid">
          <fgColor rgb="FF666666"/>
          <bgColor rgb="FF666666"/>
        </patternFill>
      </fill>
      <border>
        <bottom style="thin">
          <color rgb="FFFFFFFF"/>
        </bottom>
      </border>
    </dxf>
    <dxf>
      <font>
        <color rgb="FFFFFFFF"/>
      </font>
      <fill>
        <patternFill patternType="solid">
          <fgColor rgb="FF666666"/>
          <bgColor rgb="FF666666"/>
        </patternFill>
      </fill>
      <border>
        <bottom style="thin">
          <color rgb="FFFFFFFF"/>
        </bottom>
      </border>
    </dxf>
    <dxf>
      <font>
        <color rgb="FFFFFFFF"/>
      </font>
      <fill>
        <patternFill patternType="solid">
          <fgColor rgb="FF666666"/>
          <bgColor rgb="FF666666"/>
        </patternFill>
      </fill>
      <border>
        <bottom style="thin">
          <color rgb="FFFFFFFF"/>
        </bottom>
      </border>
    </dxf>
    <dxf>
      <font>
        <color rgb="FF000000"/>
      </font>
      <fill>
        <patternFill patternType="solid">
          <fgColor rgb="FFD9D9D9"/>
          <bgColor rgb="FFD9D9D9"/>
        </patternFill>
      </fill>
      <border>
        <top style="thin">
          <color rgb="FFFFFFFF"/>
        </top>
      </border>
    </dxf>
    <dxf>
      <font>
        <color rgb="FF000000"/>
      </font>
      <fill>
        <patternFill patternType="solid">
          <fgColor rgb="FFD9D9D9"/>
          <bgColor rgb="FFD9D9D9"/>
        </patternFill>
      </fill>
      <border>
        <top style="thin">
          <color rgb="FFFFFFFF"/>
        </top>
      </border>
    </dxf>
    <dxf>
      <font>
        <color rgb="FF000000"/>
      </font>
      <fill>
        <patternFill patternType="solid">
          <fgColor rgb="FFD9D9D9"/>
          <bgColor rgb="FFD9D9D9"/>
        </patternFill>
      </fill>
      <border>
        <top style="thin">
          <color rgb="FFFFFFFF"/>
        </top>
      </border>
    </dxf>
    <dxf>
      <font>
        <b/>
        <color rgb="FF000000"/>
      </font>
      <fill>
        <patternFill patternType="solid">
          <fgColor rgb="FFD9D9D9"/>
          <bgColor rgb="FFD9D9D9"/>
        </patternFill>
      </fill>
      <border>
        <top style="double">
          <color rgb="FF000000"/>
        </top>
      </border>
    </dxf>
    <dxf>
      <font>
        <color rgb="FFFFFFFF"/>
      </font>
      <fill>
        <patternFill patternType="solid">
          <fgColor rgb="FF666666"/>
          <bgColor rgb="FF666666"/>
        </patternFill>
      </fill>
      <border>
        <bottom style="thin">
          <color rgb="FFFFFFFF"/>
        </bottom>
      </border>
    </dxf>
    <dxf>
      <font>
        <color rgb="FF000000"/>
      </font>
      <fill>
        <patternFill patternType="solid">
          <fgColor rgb="FFFFFFFF"/>
          <bgColor rgb="FFFFFFFF"/>
        </patternFill>
      </fill>
    </dxf>
  </dxfs>
  <tableStyles count="1" defaultTableStyle="TableStyleMedium2" defaultPivotStyle="PivotStyleLight16">
    <tableStyle name="Google Sheets Pivot Table Style" table="0" count="12" xr9:uid="{00000000-0011-0000-FFFF-FFFF00000000}">
      <tableStyleElement type="wholeTable" dxfId="11"/>
      <tableStyleElement type="headerRow" dxfId="10"/>
      <tableStyleElement type="totalRow"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fs.usda.gov/Internet/FSE_DOCUMENTS/fseprd494543.pdf" TargetMode="External"/><Relationship Id="rId2" Type="http://schemas.openxmlformats.org/officeDocument/2006/relationships/hyperlink" Target="https://www.epa.gov/sites/production/files/2019-05/documents/nrsa_1819_fom_wadeable_version_1.2_0.pdf" TargetMode="External"/><Relationship Id="rId1" Type="http://schemas.openxmlformats.org/officeDocument/2006/relationships/hyperlink" Target="https://aim.landscapetoolbox.org/wp-content/uploads/2018/10/TR_1735-02.pdf" TargetMode="External"/><Relationship Id="rId5" Type="http://schemas.openxmlformats.org/officeDocument/2006/relationships/hyperlink" Target="https://www.fs.usda.gov/detail/r4/landmanagement/resourcemanagement/?cid=stelprd3845865" TargetMode="External"/><Relationship Id="rId4" Type="http://schemas.openxmlformats.org/officeDocument/2006/relationships/hyperlink" Target="https://aim.landscapetoolbox.org/wp-content/uploads/2018/01/AIM-strategy011818.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5"/>
  <sheetViews>
    <sheetView workbookViewId="0">
      <selection sqref="A1:E16"/>
    </sheetView>
  </sheetViews>
  <sheetFormatPr defaultColWidth="14.44140625" defaultRowHeight="13.2"/>
  <cols>
    <col min="2" max="2" width="46.88671875" customWidth="1"/>
    <col min="3" max="3" width="29.33203125" customWidth="1"/>
    <col min="4" max="4" width="58.109375" customWidth="1"/>
    <col min="5" max="5" width="51.6640625" customWidth="1"/>
  </cols>
  <sheetData>
    <row r="1" spans="1:26" ht="26.4">
      <c r="A1" s="2" t="s">
        <v>0</v>
      </c>
      <c r="B1" s="3" t="s">
        <v>1</v>
      </c>
      <c r="C1" s="3" t="s">
        <v>2</v>
      </c>
      <c r="D1" s="3" t="s">
        <v>3</v>
      </c>
      <c r="E1" s="3" t="s">
        <v>4</v>
      </c>
      <c r="F1" s="4"/>
      <c r="G1" s="4"/>
      <c r="H1" s="4"/>
      <c r="I1" s="4"/>
      <c r="J1" s="4"/>
      <c r="K1" s="4"/>
      <c r="L1" s="4"/>
      <c r="M1" s="4"/>
      <c r="N1" s="4"/>
      <c r="O1" s="4"/>
      <c r="P1" s="4"/>
      <c r="Q1" s="4"/>
      <c r="R1" s="4"/>
      <c r="S1" s="4"/>
      <c r="T1" s="4"/>
      <c r="U1" s="4"/>
      <c r="V1" s="4"/>
      <c r="W1" s="4"/>
      <c r="X1" s="4"/>
      <c r="Y1" s="4"/>
      <c r="Z1" s="4"/>
    </row>
    <row r="2" spans="1:26" ht="26.4">
      <c r="A2" s="2" t="s">
        <v>5</v>
      </c>
      <c r="B2" s="3" t="s">
        <v>6</v>
      </c>
      <c r="C2" s="3" t="s">
        <v>7</v>
      </c>
      <c r="D2" s="3" t="s">
        <v>8</v>
      </c>
      <c r="E2" s="3" t="s">
        <v>9</v>
      </c>
      <c r="F2" s="4"/>
      <c r="G2" s="4"/>
      <c r="H2" s="4"/>
      <c r="I2" s="4"/>
      <c r="J2" s="4"/>
      <c r="K2" s="4"/>
      <c r="L2" s="4"/>
      <c r="M2" s="4"/>
      <c r="N2" s="4"/>
      <c r="O2" s="4"/>
      <c r="P2" s="4"/>
      <c r="Q2" s="4"/>
      <c r="R2" s="4"/>
      <c r="S2" s="4"/>
      <c r="T2" s="4"/>
      <c r="U2" s="4"/>
      <c r="V2" s="4"/>
      <c r="W2" s="4"/>
      <c r="X2" s="4"/>
      <c r="Y2" s="4"/>
      <c r="Z2" s="4"/>
    </row>
    <row r="3" spans="1:26">
      <c r="A3" s="2" t="s">
        <v>10</v>
      </c>
      <c r="B3" s="3" t="s">
        <v>11</v>
      </c>
      <c r="C3" s="3" t="s">
        <v>12</v>
      </c>
      <c r="D3" s="3" t="s">
        <v>13</v>
      </c>
      <c r="E3" s="3" t="s">
        <v>14</v>
      </c>
      <c r="F3" s="4"/>
      <c r="G3" s="4"/>
      <c r="H3" s="4"/>
      <c r="I3" s="4"/>
      <c r="J3" s="4"/>
      <c r="K3" s="4"/>
      <c r="L3" s="4"/>
      <c r="M3" s="4"/>
      <c r="N3" s="4"/>
      <c r="O3" s="4"/>
      <c r="P3" s="4"/>
      <c r="Q3" s="4"/>
      <c r="R3" s="4"/>
      <c r="S3" s="4"/>
      <c r="T3" s="4"/>
      <c r="U3" s="4"/>
      <c r="V3" s="4"/>
      <c r="W3" s="4"/>
      <c r="X3" s="4"/>
      <c r="Y3" s="4"/>
      <c r="Z3" s="4"/>
    </row>
    <row r="4" spans="1:26" ht="118.8">
      <c r="A4" s="2" t="s">
        <v>15</v>
      </c>
      <c r="B4" s="3" t="s">
        <v>16</v>
      </c>
      <c r="C4" s="3" t="s">
        <v>17</v>
      </c>
      <c r="D4" s="3" t="s">
        <v>18</v>
      </c>
      <c r="E4" s="3" t="s">
        <v>19</v>
      </c>
      <c r="F4" s="4"/>
      <c r="G4" s="4"/>
      <c r="H4" s="4"/>
      <c r="I4" s="4"/>
      <c r="J4" s="4"/>
      <c r="K4" s="4"/>
      <c r="L4" s="4"/>
      <c r="M4" s="4"/>
      <c r="N4" s="4"/>
      <c r="O4" s="4"/>
      <c r="P4" s="4"/>
      <c r="Q4" s="4"/>
      <c r="R4" s="4"/>
      <c r="S4" s="4"/>
      <c r="T4" s="4"/>
      <c r="U4" s="4"/>
      <c r="V4" s="4"/>
      <c r="W4" s="4"/>
      <c r="X4" s="4"/>
      <c r="Y4" s="4"/>
      <c r="Z4" s="4"/>
    </row>
    <row r="5" spans="1:26">
      <c r="A5" s="2" t="s">
        <v>20</v>
      </c>
      <c r="B5" s="3">
        <v>2011</v>
      </c>
      <c r="C5" s="3">
        <v>2002</v>
      </c>
      <c r="D5" s="3">
        <v>2008</v>
      </c>
      <c r="E5" s="3">
        <v>1998</v>
      </c>
      <c r="F5" s="4"/>
      <c r="G5" s="4"/>
      <c r="H5" s="4"/>
      <c r="I5" s="4"/>
      <c r="J5" s="4"/>
      <c r="K5" s="4"/>
      <c r="L5" s="4"/>
      <c r="M5" s="4"/>
      <c r="N5" s="4"/>
      <c r="O5" s="4"/>
      <c r="P5" s="4"/>
      <c r="Q5" s="4"/>
      <c r="R5" s="4"/>
      <c r="S5" s="4"/>
      <c r="T5" s="4"/>
      <c r="U5" s="4"/>
      <c r="V5" s="4"/>
      <c r="W5" s="4"/>
      <c r="X5" s="4"/>
      <c r="Y5" s="4"/>
      <c r="Z5" s="4"/>
    </row>
    <row r="6" spans="1:26" ht="26.4">
      <c r="A6" s="2" t="s">
        <v>21</v>
      </c>
      <c r="B6" s="3" t="s">
        <v>22</v>
      </c>
      <c r="C6" s="3" t="s">
        <v>23</v>
      </c>
      <c r="D6" s="3" t="s">
        <v>24</v>
      </c>
      <c r="E6" s="3" t="s">
        <v>25</v>
      </c>
      <c r="F6" s="4"/>
      <c r="G6" s="4"/>
      <c r="H6" s="4"/>
      <c r="I6" s="4"/>
      <c r="J6" s="4"/>
      <c r="K6" s="4"/>
      <c r="L6" s="4"/>
      <c r="M6" s="4"/>
      <c r="N6" s="4"/>
      <c r="O6" s="4"/>
      <c r="P6" s="4"/>
      <c r="Q6" s="4"/>
      <c r="R6" s="4"/>
      <c r="S6" s="4"/>
      <c r="T6" s="4"/>
      <c r="U6" s="4"/>
      <c r="V6" s="4"/>
      <c r="W6" s="4"/>
      <c r="X6" s="4"/>
      <c r="Y6" s="4"/>
      <c r="Z6" s="4"/>
    </row>
    <row r="7" spans="1:26">
      <c r="A7" s="2" t="s">
        <v>26</v>
      </c>
      <c r="B7" s="3" t="s">
        <v>27</v>
      </c>
      <c r="C7" s="3" t="s">
        <v>28</v>
      </c>
      <c r="D7" s="3" t="s">
        <v>29</v>
      </c>
      <c r="E7" s="3" t="s">
        <v>30</v>
      </c>
      <c r="F7" s="4"/>
      <c r="G7" s="4"/>
      <c r="H7" s="4"/>
      <c r="I7" s="4"/>
      <c r="J7" s="4"/>
      <c r="K7" s="4"/>
      <c r="L7" s="4"/>
      <c r="M7" s="4"/>
      <c r="N7" s="4"/>
      <c r="O7" s="4"/>
      <c r="P7" s="4"/>
      <c r="Q7" s="4"/>
      <c r="R7" s="4"/>
      <c r="S7" s="4"/>
      <c r="T7" s="4"/>
      <c r="U7" s="4"/>
      <c r="V7" s="4"/>
      <c r="W7" s="4"/>
      <c r="X7" s="4"/>
      <c r="Y7" s="4"/>
      <c r="Z7" s="4"/>
    </row>
    <row r="8" spans="1:26" ht="145.19999999999999">
      <c r="A8" s="2" t="s">
        <v>31</v>
      </c>
      <c r="B8" s="3" t="s">
        <v>32</v>
      </c>
      <c r="C8" s="3" t="s">
        <v>33</v>
      </c>
      <c r="D8" s="3" t="s">
        <v>1736</v>
      </c>
      <c r="E8" s="3" t="s">
        <v>34</v>
      </c>
      <c r="F8" s="4"/>
      <c r="G8" s="4"/>
      <c r="H8" s="4"/>
      <c r="I8" s="4"/>
      <c r="J8" s="4"/>
      <c r="K8" s="4"/>
      <c r="L8" s="4"/>
      <c r="M8" s="4"/>
      <c r="N8" s="4"/>
      <c r="O8" s="4"/>
      <c r="P8" s="4"/>
      <c r="Q8" s="4"/>
      <c r="R8" s="4"/>
      <c r="S8" s="4"/>
      <c r="T8" s="4"/>
      <c r="U8" s="4"/>
      <c r="V8" s="4"/>
      <c r="W8" s="4"/>
      <c r="X8" s="4"/>
      <c r="Y8" s="4"/>
      <c r="Z8" s="4"/>
    </row>
    <row r="9" spans="1:26" ht="26.4">
      <c r="A9" s="2" t="s">
        <v>35</v>
      </c>
      <c r="B9" s="3" t="s">
        <v>36</v>
      </c>
      <c r="C9" s="3"/>
      <c r="D9" s="3"/>
      <c r="E9" s="3"/>
      <c r="F9" s="4"/>
      <c r="G9" s="4"/>
      <c r="H9" s="4"/>
      <c r="I9" s="4"/>
      <c r="J9" s="4"/>
      <c r="K9" s="4"/>
      <c r="L9" s="4"/>
      <c r="M9" s="4"/>
      <c r="N9" s="4"/>
      <c r="O9" s="4"/>
      <c r="P9" s="4"/>
      <c r="Q9" s="4"/>
      <c r="R9" s="4"/>
      <c r="S9" s="4"/>
      <c r="T9" s="4"/>
      <c r="U9" s="4"/>
      <c r="V9" s="4"/>
      <c r="W9" s="4"/>
      <c r="X9" s="4"/>
      <c r="Y9" s="4"/>
      <c r="Z9" s="4"/>
    </row>
    <row r="10" spans="1:26" ht="316.8">
      <c r="A10" s="2" t="s">
        <v>37</v>
      </c>
      <c r="B10" s="3"/>
      <c r="C10" s="3"/>
      <c r="D10" s="3" t="s">
        <v>38</v>
      </c>
      <c r="E10" s="3"/>
      <c r="F10" s="4"/>
      <c r="G10" s="4"/>
      <c r="H10" s="4"/>
      <c r="I10" s="4"/>
      <c r="J10" s="4"/>
      <c r="K10" s="4"/>
      <c r="L10" s="4"/>
      <c r="M10" s="4"/>
      <c r="N10" s="4"/>
      <c r="O10" s="4"/>
      <c r="P10" s="4"/>
      <c r="Q10" s="4"/>
      <c r="R10" s="4"/>
      <c r="S10" s="4"/>
      <c r="T10" s="4"/>
      <c r="U10" s="4"/>
      <c r="V10" s="4"/>
      <c r="W10" s="4"/>
      <c r="X10" s="4"/>
      <c r="Y10" s="4"/>
      <c r="Z10" s="4"/>
    </row>
    <row r="11" spans="1:26" ht="26.4">
      <c r="A11" s="2" t="s">
        <v>39</v>
      </c>
      <c r="B11" s="3" t="s">
        <v>40</v>
      </c>
      <c r="C11" s="3" t="s">
        <v>40</v>
      </c>
      <c r="D11" s="3" t="s">
        <v>41</v>
      </c>
      <c r="E11" s="3" t="s">
        <v>42</v>
      </c>
      <c r="F11" s="4"/>
      <c r="G11" s="4"/>
      <c r="H11" s="4"/>
      <c r="I11" s="4"/>
      <c r="J11" s="4"/>
      <c r="K11" s="4"/>
      <c r="L11" s="4"/>
      <c r="M11" s="4"/>
      <c r="N11" s="4"/>
      <c r="O11" s="4"/>
      <c r="P11" s="4"/>
      <c r="Q11" s="4"/>
      <c r="R11" s="4"/>
      <c r="S11" s="4"/>
      <c r="T11" s="4"/>
      <c r="U11" s="4"/>
      <c r="V11" s="4"/>
      <c r="W11" s="4"/>
      <c r="X11" s="4"/>
      <c r="Y11" s="4"/>
      <c r="Z11" s="4"/>
    </row>
    <row r="12" spans="1:26" ht="132">
      <c r="A12" s="2" t="s">
        <v>43</v>
      </c>
      <c r="B12" s="3"/>
      <c r="C12" s="3"/>
      <c r="D12" s="3"/>
      <c r="E12" s="3" t="s">
        <v>44</v>
      </c>
      <c r="F12" s="4"/>
      <c r="G12" s="4"/>
      <c r="H12" s="4"/>
      <c r="I12" s="4"/>
      <c r="J12" s="4"/>
      <c r="K12" s="4"/>
      <c r="L12" s="4"/>
      <c r="M12" s="4"/>
      <c r="N12" s="4"/>
      <c r="O12" s="4"/>
      <c r="P12" s="4"/>
      <c r="Q12" s="4"/>
      <c r="R12" s="4"/>
      <c r="S12" s="4"/>
      <c r="T12" s="4"/>
      <c r="U12" s="4"/>
      <c r="V12" s="4"/>
      <c r="W12" s="4"/>
      <c r="X12" s="4"/>
      <c r="Y12" s="4"/>
      <c r="Z12" s="4"/>
    </row>
    <row r="13" spans="1:26" ht="52.8">
      <c r="A13" s="2" t="s">
        <v>45</v>
      </c>
      <c r="B13" s="3"/>
      <c r="C13" s="3"/>
      <c r="D13" s="3" t="s">
        <v>46</v>
      </c>
      <c r="E13" s="3"/>
      <c r="F13" s="4"/>
      <c r="G13" s="4"/>
      <c r="H13" s="4"/>
      <c r="I13" s="4"/>
      <c r="J13" s="4"/>
      <c r="K13" s="4"/>
      <c r="L13" s="4"/>
      <c r="M13" s="4"/>
      <c r="N13" s="4"/>
      <c r="O13" s="4"/>
      <c r="P13" s="4"/>
      <c r="Q13" s="4"/>
      <c r="R13" s="4"/>
      <c r="S13" s="4"/>
      <c r="T13" s="4"/>
      <c r="U13" s="4"/>
      <c r="V13" s="4"/>
      <c r="W13" s="4"/>
      <c r="X13" s="4"/>
      <c r="Y13" s="4"/>
      <c r="Z13" s="4"/>
    </row>
    <row r="14" spans="1:26" ht="39.6">
      <c r="A14" s="2" t="s">
        <v>47</v>
      </c>
      <c r="B14" s="3" t="s">
        <v>48</v>
      </c>
      <c r="C14" s="3" t="s">
        <v>49</v>
      </c>
      <c r="D14" s="3" t="s">
        <v>48</v>
      </c>
      <c r="E14" s="3" t="s">
        <v>48</v>
      </c>
      <c r="F14" s="4"/>
      <c r="G14" s="4"/>
      <c r="H14" s="4"/>
      <c r="I14" s="4"/>
      <c r="J14" s="4"/>
      <c r="K14" s="4"/>
      <c r="L14" s="4"/>
      <c r="M14" s="4"/>
      <c r="N14" s="4"/>
      <c r="O14" s="4"/>
      <c r="P14" s="4"/>
      <c r="Q14" s="4"/>
      <c r="R14" s="4"/>
      <c r="S14" s="4"/>
      <c r="T14" s="4"/>
      <c r="U14" s="4"/>
      <c r="V14" s="4"/>
      <c r="W14" s="4"/>
      <c r="X14" s="4"/>
      <c r="Y14" s="4"/>
      <c r="Z14" s="4"/>
    </row>
    <row r="15" spans="1:26" ht="66">
      <c r="A15" s="2" t="s">
        <v>50</v>
      </c>
      <c r="B15" s="6" t="s">
        <v>51</v>
      </c>
      <c r="C15" s="3" t="s">
        <v>71</v>
      </c>
      <c r="D15" s="6" t="s">
        <v>72</v>
      </c>
      <c r="E15" s="6" t="s">
        <v>77</v>
      </c>
      <c r="F15" s="4"/>
      <c r="G15" s="4"/>
      <c r="H15" s="4"/>
      <c r="I15" s="4"/>
      <c r="J15" s="4"/>
      <c r="K15" s="4"/>
      <c r="L15" s="4"/>
      <c r="M15" s="4"/>
      <c r="N15" s="4"/>
      <c r="O15" s="4"/>
      <c r="P15" s="4"/>
      <c r="Q15" s="4"/>
      <c r="R15" s="4"/>
      <c r="S15" s="4"/>
      <c r="T15" s="4"/>
      <c r="U15" s="4"/>
      <c r="V15" s="4"/>
      <c r="W15" s="4"/>
      <c r="X15" s="4"/>
      <c r="Y15" s="4"/>
      <c r="Z15" s="4"/>
    </row>
    <row r="16" spans="1:26" ht="118.8">
      <c r="A16" s="2" t="s">
        <v>81</v>
      </c>
      <c r="B16" s="3"/>
      <c r="C16" s="3"/>
      <c r="D16" s="3" t="s">
        <v>82</v>
      </c>
      <c r="E16" s="3" t="s">
        <v>83</v>
      </c>
      <c r="F16" s="4"/>
      <c r="G16" s="4"/>
      <c r="H16" s="4"/>
      <c r="I16" s="4"/>
      <c r="J16" s="4"/>
      <c r="K16" s="4"/>
      <c r="L16" s="4"/>
      <c r="M16" s="4"/>
      <c r="N16" s="4"/>
      <c r="O16" s="4"/>
      <c r="P16" s="4"/>
      <c r="Q16" s="4"/>
      <c r="R16" s="4"/>
      <c r="S16" s="4"/>
      <c r="T16" s="4"/>
      <c r="U16" s="4"/>
      <c r="V16" s="4"/>
      <c r="W16" s="4"/>
      <c r="X16" s="4"/>
      <c r="Y16" s="4"/>
      <c r="Z16" s="4"/>
    </row>
    <row r="17" spans="1:26" ht="26.4">
      <c r="A17" s="2" t="s">
        <v>85</v>
      </c>
      <c r="B17" s="6" t="s">
        <v>87</v>
      </c>
      <c r="C17" s="3"/>
      <c r="D17" s="3"/>
      <c r="E17" s="6" t="s">
        <v>90</v>
      </c>
      <c r="F17" s="4"/>
      <c r="G17" s="4"/>
      <c r="H17" s="4"/>
      <c r="I17" s="4"/>
      <c r="J17" s="4"/>
      <c r="K17" s="4"/>
      <c r="L17" s="4"/>
      <c r="M17" s="4"/>
      <c r="N17" s="4"/>
      <c r="O17" s="4"/>
      <c r="P17" s="4"/>
      <c r="Q17" s="4"/>
      <c r="R17" s="4"/>
      <c r="S17" s="4"/>
      <c r="T17" s="4"/>
      <c r="U17" s="4"/>
      <c r="V17" s="4"/>
      <c r="W17" s="4"/>
      <c r="X17" s="4"/>
      <c r="Y17" s="4"/>
      <c r="Z17" s="4"/>
    </row>
    <row r="18" spans="1:26">
      <c r="A18" s="10"/>
      <c r="B18" s="10"/>
      <c r="C18" s="4"/>
      <c r="D18" s="10"/>
      <c r="E18" s="10"/>
      <c r="F18" s="4"/>
      <c r="G18" s="4"/>
      <c r="H18" s="4"/>
      <c r="I18" s="4"/>
      <c r="J18" s="4"/>
      <c r="K18" s="4"/>
      <c r="L18" s="4"/>
      <c r="M18" s="4"/>
      <c r="N18" s="4"/>
      <c r="O18" s="4"/>
      <c r="P18" s="4"/>
      <c r="Q18" s="4"/>
      <c r="R18" s="4"/>
      <c r="S18" s="4"/>
      <c r="T18" s="4"/>
      <c r="U18" s="4"/>
      <c r="V18" s="4"/>
      <c r="W18" s="4"/>
      <c r="X18" s="4"/>
      <c r="Y18" s="4"/>
      <c r="Z18" s="4"/>
    </row>
    <row r="19" spans="1:26">
      <c r="A19" s="10"/>
      <c r="B19" s="10"/>
      <c r="C19" s="4"/>
      <c r="D19" s="10"/>
      <c r="E19" s="10"/>
      <c r="F19" s="4"/>
      <c r="G19" s="4"/>
      <c r="H19" s="4"/>
      <c r="I19" s="4"/>
      <c r="J19" s="4"/>
      <c r="K19" s="4"/>
      <c r="L19" s="4"/>
      <c r="M19" s="4"/>
      <c r="N19" s="4"/>
      <c r="O19" s="4"/>
      <c r="P19" s="4"/>
      <c r="Q19" s="4"/>
      <c r="R19" s="4"/>
      <c r="S19" s="4"/>
      <c r="T19" s="4"/>
      <c r="U19" s="4"/>
      <c r="V19" s="4"/>
      <c r="W19" s="4"/>
      <c r="X19" s="4"/>
      <c r="Y19" s="4"/>
      <c r="Z19" s="4"/>
    </row>
    <row r="20" spans="1:26">
      <c r="A20" s="10"/>
      <c r="B20" s="10"/>
      <c r="C20" s="4"/>
      <c r="D20" s="10"/>
      <c r="E20" s="10"/>
      <c r="F20" s="4"/>
      <c r="G20" s="4"/>
      <c r="H20" s="4"/>
      <c r="I20" s="4"/>
      <c r="J20" s="4"/>
      <c r="K20" s="4"/>
      <c r="L20" s="4"/>
      <c r="M20" s="4"/>
      <c r="N20" s="4"/>
      <c r="O20" s="4"/>
      <c r="P20" s="4"/>
      <c r="Q20" s="4"/>
      <c r="R20" s="4"/>
      <c r="S20" s="4"/>
      <c r="T20" s="4"/>
      <c r="U20" s="4"/>
      <c r="V20" s="4"/>
      <c r="W20" s="4"/>
      <c r="X20" s="4"/>
      <c r="Y20" s="4"/>
      <c r="Z20" s="4"/>
    </row>
    <row r="21" spans="1:26">
      <c r="A21" s="10"/>
      <c r="B21" s="10"/>
      <c r="C21" s="4"/>
      <c r="D21" s="10"/>
      <c r="E21" s="10"/>
      <c r="F21" s="4"/>
      <c r="G21" s="4"/>
      <c r="H21" s="4"/>
      <c r="I21" s="4"/>
      <c r="J21" s="4"/>
      <c r="K21" s="4"/>
      <c r="L21" s="4"/>
      <c r="M21" s="4"/>
      <c r="N21" s="4"/>
      <c r="O21" s="4"/>
      <c r="P21" s="4"/>
      <c r="Q21" s="4"/>
      <c r="R21" s="4"/>
      <c r="S21" s="4"/>
      <c r="T21" s="4"/>
      <c r="U21" s="4"/>
      <c r="V21" s="4"/>
      <c r="W21" s="4"/>
      <c r="X21" s="4"/>
      <c r="Y21" s="4"/>
      <c r="Z21" s="4"/>
    </row>
    <row r="22" spans="1:26">
      <c r="A22" s="10"/>
      <c r="B22" s="10"/>
      <c r="C22" s="4"/>
      <c r="D22" s="10"/>
      <c r="E22" s="10"/>
      <c r="F22" s="4"/>
      <c r="G22" s="4"/>
      <c r="H22" s="4"/>
      <c r="I22" s="4"/>
      <c r="J22" s="4"/>
      <c r="K22" s="4"/>
      <c r="L22" s="4"/>
      <c r="M22" s="4"/>
      <c r="N22" s="4"/>
      <c r="O22" s="4"/>
      <c r="P22" s="4"/>
      <c r="Q22" s="4"/>
      <c r="R22" s="4"/>
      <c r="S22" s="4"/>
      <c r="T22" s="4"/>
      <c r="U22" s="4"/>
      <c r="V22" s="4"/>
      <c r="W22" s="4"/>
      <c r="X22" s="4"/>
      <c r="Y22" s="4"/>
      <c r="Z22" s="4"/>
    </row>
    <row r="23" spans="1:26">
      <c r="A23" s="10"/>
      <c r="B23" s="10"/>
      <c r="C23" s="4"/>
      <c r="D23" s="10"/>
      <c r="E23" s="10"/>
      <c r="F23" s="4"/>
      <c r="G23" s="4"/>
      <c r="H23" s="4"/>
      <c r="I23" s="4"/>
      <c r="J23" s="4"/>
      <c r="K23" s="4"/>
      <c r="L23" s="4"/>
      <c r="M23" s="4"/>
      <c r="N23" s="4"/>
      <c r="O23" s="4"/>
      <c r="P23" s="4"/>
      <c r="Q23" s="4"/>
      <c r="R23" s="4"/>
      <c r="S23" s="4"/>
      <c r="T23" s="4"/>
      <c r="U23" s="4"/>
      <c r="V23" s="4"/>
      <c r="W23" s="4"/>
      <c r="X23" s="4"/>
      <c r="Y23" s="4"/>
      <c r="Z23" s="4"/>
    </row>
    <row r="24" spans="1:26">
      <c r="A24" s="10"/>
      <c r="B24" s="10"/>
      <c r="C24" s="4"/>
      <c r="D24" s="10"/>
      <c r="E24" s="10"/>
      <c r="F24" s="4"/>
      <c r="G24" s="4"/>
      <c r="H24" s="4"/>
      <c r="I24" s="4"/>
      <c r="J24" s="4"/>
      <c r="K24" s="4"/>
      <c r="L24" s="4"/>
      <c r="M24" s="4"/>
      <c r="N24" s="4"/>
      <c r="O24" s="4"/>
      <c r="P24" s="4"/>
      <c r="Q24" s="4"/>
      <c r="R24" s="4"/>
      <c r="S24" s="4"/>
      <c r="T24" s="4"/>
      <c r="U24" s="4"/>
      <c r="V24" s="4"/>
      <c r="W24" s="4"/>
      <c r="X24" s="4"/>
      <c r="Y24" s="4"/>
      <c r="Z24" s="4"/>
    </row>
    <row r="25" spans="1:26">
      <c r="A25" s="10"/>
      <c r="B25" s="10"/>
      <c r="C25" s="4"/>
      <c r="D25" s="10"/>
      <c r="E25" s="10"/>
      <c r="F25" s="4"/>
      <c r="G25" s="4"/>
      <c r="H25" s="4"/>
      <c r="I25" s="4"/>
      <c r="J25" s="4"/>
      <c r="K25" s="4"/>
      <c r="L25" s="4"/>
      <c r="M25" s="4"/>
      <c r="N25" s="4"/>
      <c r="O25" s="4"/>
      <c r="P25" s="4"/>
      <c r="Q25" s="4"/>
      <c r="R25" s="4"/>
      <c r="S25" s="4"/>
      <c r="T25" s="4"/>
      <c r="U25" s="4"/>
      <c r="V25" s="4"/>
      <c r="W25" s="4"/>
      <c r="X25" s="4"/>
      <c r="Y25" s="4"/>
      <c r="Z25" s="4"/>
    </row>
    <row r="26" spans="1:26">
      <c r="A26" s="10"/>
      <c r="B26" s="10"/>
      <c r="C26" s="4"/>
      <c r="D26" s="10"/>
      <c r="E26" s="10"/>
      <c r="F26" s="4"/>
      <c r="G26" s="4"/>
      <c r="H26" s="4"/>
      <c r="I26" s="4"/>
      <c r="J26" s="4"/>
      <c r="K26" s="4"/>
      <c r="L26" s="4"/>
      <c r="M26" s="4"/>
      <c r="N26" s="4"/>
      <c r="O26" s="4"/>
      <c r="P26" s="4"/>
      <c r="Q26" s="4"/>
      <c r="R26" s="4"/>
      <c r="S26" s="4"/>
      <c r="T26" s="4"/>
      <c r="U26" s="4"/>
      <c r="V26" s="4"/>
      <c r="W26" s="4"/>
      <c r="X26" s="4"/>
      <c r="Y26" s="4"/>
      <c r="Z26" s="4"/>
    </row>
    <row r="27" spans="1:26">
      <c r="A27" s="10"/>
      <c r="B27" s="10"/>
      <c r="C27" s="4"/>
      <c r="D27" s="10"/>
      <c r="E27" s="10"/>
      <c r="F27" s="4"/>
      <c r="G27" s="4"/>
      <c r="H27" s="4"/>
      <c r="I27" s="4"/>
      <c r="J27" s="4"/>
      <c r="K27" s="4"/>
      <c r="L27" s="4"/>
      <c r="M27" s="4"/>
      <c r="N27" s="4"/>
      <c r="O27" s="4"/>
      <c r="P27" s="4"/>
      <c r="Q27" s="4"/>
      <c r="R27" s="4"/>
      <c r="S27" s="4"/>
      <c r="T27" s="4"/>
      <c r="U27" s="4"/>
      <c r="V27" s="4"/>
      <c r="W27" s="4"/>
      <c r="X27" s="4"/>
      <c r="Y27" s="4"/>
      <c r="Z27" s="4"/>
    </row>
    <row r="28" spans="1:26">
      <c r="A28" s="10"/>
      <c r="B28" s="10"/>
      <c r="C28" s="4"/>
      <c r="D28" s="10"/>
      <c r="E28" s="10"/>
      <c r="F28" s="4"/>
      <c r="G28" s="4"/>
      <c r="H28" s="4"/>
      <c r="I28" s="4"/>
      <c r="J28" s="4"/>
      <c r="K28" s="4"/>
      <c r="L28" s="4"/>
      <c r="M28" s="4"/>
      <c r="N28" s="4"/>
      <c r="O28" s="4"/>
      <c r="P28" s="4"/>
      <c r="Q28" s="4"/>
      <c r="R28" s="4"/>
      <c r="S28" s="4"/>
      <c r="T28" s="4"/>
      <c r="U28" s="4"/>
      <c r="V28" s="4"/>
      <c r="W28" s="4"/>
      <c r="X28" s="4"/>
      <c r="Y28" s="4"/>
      <c r="Z28" s="4"/>
    </row>
    <row r="29" spans="1:26">
      <c r="A29" s="10"/>
      <c r="B29" s="10"/>
      <c r="C29" s="4"/>
      <c r="D29" s="10"/>
      <c r="E29" s="10"/>
      <c r="F29" s="4"/>
      <c r="G29" s="4"/>
      <c r="H29" s="4"/>
      <c r="I29" s="4"/>
      <c r="J29" s="4"/>
      <c r="K29" s="4"/>
      <c r="L29" s="4"/>
      <c r="M29" s="4"/>
      <c r="N29" s="4"/>
      <c r="O29" s="4"/>
      <c r="P29" s="4"/>
      <c r="Q29" s="4"/>
      <c r="R29" s="4"/>
      <c r="S29" s="4"/>
      <c r="T29" s="4"/>
      <c r="U29" s="4"/>
      <c r="V29" s="4"/>
      <c r="W29" s="4"/>
      <c r="X29" s="4"/>
      <c r="Y29" s="4"/>
      <c r="Z29" s="4"/>
    </row>
    <row r="30" spans="1:26">
      <c r="A30" s="10"/>
      <c r="B30" s="10"/>
      <c r="C30" s="4"/>
      <c r="D30" s="10"/>
      <c r="E30" s="10"/>
      <c r="F30" s="4"/>
      <c r="G30" s="4"/>
      <c r="H30" s="4"/>
      <c r="I30" s="4"/>
      <c r="J30" s="4"/>
      <c r="K30" s="4"/>
      <c r="L30" s="4"/>
      <c r="M30" s="4"/>
      <c r="N30" s="4"/>
      <c r="O30" s="4"/>
      <c r="P30" s="4"/>
      <c r="Q30" s="4"/>
      <c r="R30" s="4"/>
      <c r="S30" s="4"/>
      <c r="T30" s="4"/>
      <c r="U30" s="4"/>
      <c r="V30" s="4"/>
      <c r="W30" s="4"/>
      <c r="X30" s="4"/>
      <c r="Y30" s="4"/>
      <c r="Z30" s="4"/>
    </row>
    <row r="31" spans="1:26">
      <c r="A31" s="10"/>
      <c r="B31" s="10"/>
      <c r="C31" s="4"/>
      <c r="D31" s="10"/>
      <c r="E31" s="10"/>
      <c r="F31" s="4"/>
      <c r="G31" s="4"/>
      <c r="H31" s="4"/>
      <c r="I31" s="4"/>
      <c r="J31" s="4"/>
      <c r="K31" s="4"/>
      <c r="L31" s="4"/>
      <c r="M31" s="4"/>
      <c r="N31" s="4"/>
      <c r="O31" s="4"/>
      <c r="P31" s="4"/>
      <c r="Q31" s="4"/>
      <c r="R31" s="4"/>
      <c r="S31" s="4"/>
      <c r="T31" s="4"/>
      <c r="U31" s="4"/>
      <c r="V31" s="4"/>
      <c r="W31" s="4"/>
      <c r="X31" s="4"/>
      <c r="Y31" s="4"/>
      <c r="Z31" s="4"/>
    </row>
    <row r="32" spans="1:26">
      <c r="A32" s="10"/>
      <c r="B32" s="10"/>
      <c r="C32" s="4"/>
      <c r="D32" s="10"/>
      <c r="E32" s="10"/>
      <c r="F32" s="4"/>
      <c r="G32" s="4"/>
      <c r="H32" s="4"/>
      <c r="I32" s="4"/>
      <c r="J32" s="4"/>
      <c r="K32" s="4"/>
      <c r="L32" s="4"/>
      <c r="M32" s="4"/>
      <c r="N32" s="4"/>
      <c r="O32" s="4"/>
      <c r="P32" s="4"/>
      <c r="Q32" s="4"/>
      <c r="R32" s="4"/>
      <c r="S32" s="4"/>
      <c r="T32" s="4"/>
      <c r="U32" s="4"/>
      <c r="V32" s="4"/>
      <c r="W32" s="4"/>
      <c r="X32" s="4"/>
      <c r="Y32" s="4"/>
      <c r="Z32" s="4"/>
    </row>
    <row r="33" spans="1:26">
      <c r="A33" s="10"/>
      <c r="B33" s="10"/>
      <c r="C33" s="4"/>
      <c r="D33" s="10"/>
      <c r="E33" s="10"/>
      <c r="F33" s="4"/>
      <c r="G33" s="4"/>
      <c r="H33" s="4"/>
      <c r="I33" s="4"/>
      <c r="J33" s="4"/>
      <c r="K33" s="4"/>
      <c r="L33" s="4"/>
      <c r="M33" s="4"/>
      <c r="N33" s="4"/>
      <c r="O33" s="4"/>
      <c r="P33" s="4"/>
      <c r="Q33" s="4"/>
      <c r="R33" s="4"/>
      <c r="S33" s="4"/>
      <c r="T33" s="4"/>
      <c r="U33" s="4"/>
      <c r="V33" s="4"/>
      <c r="W33" s="4"/>
      <c r="X33" s="4"/>
      <c r="Y33" s="4"/>
      <c r="Z33" s="4"/>
    </row>
    <row r="34" spans="1:26">
      <c r="A34" s="10"/>
      <c r="B34" s="10"/>
      <c r="C34" s="4"/>
      <c r="D34" s="10"/>
      <c r="E34" s="10"/>
      <c r="F34" s="4"/>
      <c r="G34" s="4"/>
      <c r="H34" s="4"/>
      <c r="I34" s="4"/>
      <c r="J34" s="4"/>
      <c r="K34" s="4"/>
      <c r="L34" s="4"/>
      <c r="M34" s="4"/>
      <c r="N34" s="4"/>
      <c r="O34" s="4"/>
      <c r="P34" s="4"/>
      <c r="Q34" s="4"/>
      <c r="R34" s="4"/>
      <c r="S34" s="4"/>
      <c r="T34" s="4"/>
      <c r="U34" s="4"/>
      <c r="V34" s="4"/>
      <c r="W34" s="4"/>
      <c r="X34" s="4"/>
      <c r="Y34" s="4"/>
      <c r="Z34" s="4"/>
    </row>
    <row r="35" spans="1:26">
      <c r="A35" s="10"/>
      <c r="B35" s="10"/>
      <c r="C35" s="4"/>
      <c r="D35" s="10"/>
      <c r="E35" s="10"/>
      <c r="F35" s="4"/>
      <c r="G35" s="4"/>
      <c r="H35" s="4"/>
      <c r="I35" s="4"/>
      <c r="J35" s="4"/>
      <c r="K35" s="4"/>
      <c r="L35" s="4"/>
      <c r="M35" s="4"/>
      <c r="N35" s="4"/>
      <c r="O35" s="4"/>
      <c r="P35" s="4"/>
      <c r="Q35" s="4"/>
      <c r="R35" s="4"/>
      <c r="S35" s="4"/>
      <c r="T35" s="4"/>
      <c r="U35" s="4"/>
      <c r="V35" s="4"/>
      <c r="W35" s="4"/>
      <c r="X35" s="4"/>
      <c r="Y35" s="4"/>
      <c r="Z35" s="4"/>
    </row>
    <row r="36" spans="1:26">
      <c r="A36" s="10"/>
      <c r="B36" s="10"/>
      <c r="C36" s="4"/>
      <c r="D36" s="10"/>
      <c r="E36" s="10"/>
      <c r="F36" s="4"/>
      <c r="G36" s="4"/>
      <c r="H36" s="4"/>
      <c r="I36" s="4"/>
      <c r="J36" s="4"/>
      <c r="K36" s="4"/>
      <c r="L36" s="4"/>
      <c r="M36" s="4"/>
      <c r="N36" s="4"/>
      <c r="O36" s="4"/>
      <c r="P36" s="4"/>
      <c r="Q36" s="4"/>
      <c r="R36" s="4"/>
      <c r="S36" s="4"/>
      <c r="T36" s="4"/>
      <c r="U36" s="4"/>
      <c r="V36" s="4"/>
      <c r="W36" s="4"/>
      <c r="X36" s="4"/>
      <c r="Y36" s="4"/>
      <c r="Z36" s="4"/>
    </row>
    <row r="37" spans="1:26">
      <c r="A37" s="10"/>
      <c r="B37" s="10"/>
      <c r="C37" s="4"/>
      <c r="D37" s="10"/>
      <c r="E37" s="10"/>
      <c r="F37" s="4"/>
      <c r="G37" s="4"/>
      <c r="H37" s="4"/>
      <c r="I37" s="4"/>
      <c r="J37" s="4"/>
      <c r="K37" s="4"/>
      <c r="L37" s="4"/>
      <c r="M37" s="4"/>
      <c r="N37" s="4"/>
      <c r="O37" s="4"/>
      <c r="P37" s="4"/>
      <c r="Q37" s="4"/>
      <c r="R37" s="4"/>
      <c r="S37" s="4"/>
      <c r="T37" s="4"/>
      <c r="U37" s="4"/>
      <c r="V37" s="4"/>
      <c r="W37" s="4"/>
      <c r="X37" s="4"/>
      <c r="Y37" s="4"/>
      <c r="Z37" s="4"/>
    </row>
    <row r="38" spans="1:26">
      <c r="A38" s="10"/>
      <c r="B38" s="10"/>
      <c r="C38" s="4"/>
      <c r="D38" s="10"/>
      <c r="E38" s="10"/>
      <c r="F38" s="4"/>
      <c r="G38" s="4"/>
      <c r="H38" s="4"/>
      <c r="I38" s="4"/>
      <c r="J38" s="4"/>
      <c r="K38" s="4"/>
      <c r="L38" s="4"/>
      <c r="M38" s="4"/>
      <c r="N38" s="4"/>
      <c r="O38" s="4"/>
      <c r="P38" s="4"/>
      <c r="Q38" s="4"/>
      <c r="R38" s="4"/>
      <c r="S38" s="4"/>
      <c r="T38" s="4"/>
      <c r="U38" s="4"/>
      <c r="V38" s="4"/>
      <c r="W38" s="4"/>
      <c r="X38" s="4"/>
      <c r="Y38" s="4"/>
      <c r="Z38" s="4"/>
    </row>
    <row r="39" spans="1:26">
      <c r="A39" s="10"/>
      <c r="B39" s="10"/>
      <c r="C39" s="4"/>
      <c r="D39" s="10"/>
      <c r="E39" s="10"/>
      <c r="F39" s="4"/>
      <c r="G39" s="4"/>
      <c r="H39" s="4"/>
      <c r="I39" s="4"/>
      <c r="J39" s="4"/>
      <c r="K39" s="4"/>
      <c r="L39" s="4"/>
      <c r="M39" s="4"/>
      <c r="N39" s="4"/>
      <c r="O39" s="4"/>
      <c r="P39" s="4"/>
      <c r="Q39" s="4"/>
      <c r="R39" s="4"/>
      <c r="S39" s="4"/>
      <c r="T39" s="4"/>
      <c r="U39" s="4"/>
      <c r="V39" s="4"/>
      <c r="W39" s="4"/>
      <c r="X39" s="4"/>
      <c r="Y39" s="4"/>
      <c r="Z39" s="4"/>
    </row>
    <row r="40" spans="1:26">
      <c r="A40" s="10"/>
      <c r="B40" s="10"/>
      <c r="C40" s="4"/>
      <c r="D40" s="10"/>
      <c r="E40" s="10"/>
      <c r="F40" s="4"/>
      <c r="G40" s="4"/>
      <c r="H40" s="4"/>
      <c r="I40" s="4"/>
      <c r="J40" s="4"/>
      <c r="K40" s="4"/>
      <c r="L40" s="4"/>
      <c r="M40" s="4"/>
      <c r="N40" s="4"/>
      <c r="O40" s="4"/>
      <c r="P40" s="4"/>
      <c r="Q40" s="4"/>
      <c r="R40" s="4"/>
      <c r="S40" s="4"/>
      <c r="T40" s="4"/>
      <c r="U40" s="4"/>
      <c r="V40" s="4"/>
      <c r="W40" s="4"/>
      <c r="X40" s="4"/>
      <c r="Y40" s="4"/>
      <c r="Z40" s="4"/>
    </row>
    <row r="41" spans="1:26">
      <c r="A41" s="10"/>
      <c r="B41" s="10"/>
      <c r="C41" s="4"/>
      <c r="D41" s="10"/>
      <c r="E41" s="10"/>
      <c r="F41" s="4"/>
      <c r="G41" s="4"/>
      <c r="H41" s="4"/>
      <c r="I41" s="4"/>
      <c r="J41" s="4"/>
      <c r="K41" s="4"/>
      <c r="L41" s="4"/>
      <c r="M41" s="4"/>
      <c r="N41" s="4"/>
      <c r="O41" s="4"/>
      <c r="P41" s="4"/>
      <c r="Q41" s="4"/>
      <c r="R41" s="4"/>
      <c r="S41" s="4"/>
      <c r="T41" s="4"/>
      <c r="U41" s="4"/>
      <c r="V41" s="4"/>
      <c r="W41" s="4"/>
      <c r="X41" s="4"/>
      <c r="Y41" s="4"/>
      <c r="Z41" s="4"/>
    </row>
    <row r="42" spans="1:26">
      <c r="A42" s="10"/>
      <c r="B42" s="10"/>
      <c r="C42" s="4"/>
      <c r="D42" s="10"/>
      <c r="E42" s="10"/>
      <c r="F42" s="4"/>
      <c r="G42" s="4"/>
      <c r="H42" s="4"/>
      <c r="I42" s="4"/>
      <c r="J42" s="4"/>
      <c r="K42" s="4"/>
      <c r="L42" s="4"/>
      <c r="M42" s="4"/>
      <c r="N42" s="4"/>
      <c r="O42" s="4"/>
      <c r="P42" s="4"/>
      <c r="Q42" s="4"/>
      <c r="R42" s="4"/>
      <c r="S42" s="4"/>
      <c r="T42" s="4"/>
      <c r="U42" s="4"/>
      <c r="V42" s="4"/>
      <c r="W42" s="4"/>
      <c r="X42" s="4"/>
      <c r="Y42" s="4"/>
      <c r="Z42" s="4"/>
    </row>
    <row r="43" spans="1:26">
      <c r="A43" s="10"/>
      <c r="B43" s="10"/>
      <c r="C43" s="4"/>
      <c r="D43" s="10"/>
      <c r="E43" s="10"/>
      <c r="F43" s="4"/>
      <c r="G43" s="4"/>
      <c r="H43" s="4"/>
      <c r="I43" s="4"/>
      <c r="J43" s="4"/>
      <c r="K43" s="4"/>
      <c r="L43" s="4"/>
      <c r="M43" s="4"/>
      <c r="N43" s="4"/>
      <c r="O43" s="4"/>
      <c r="P43" s="4"/>
      <c r="Q43" s="4"/>
      <c r="R43" s="4"/>
      <c r="S43" s="4"/>
      <c r="T43" s="4"/>
      <c r="U43" s="4"/>
      <c r="V43" s="4"/>
      <c r="W43" s="4"/>
      <c r="X43" s="4"/>
      <c r="Y43" s="4"/>
      <c r="Z43" s="4"/>
    </row>
    <row r="44" spans="1:26">
      <c r="A44" s="10"/>
      <c r="B44" s="10"/>
      <c r="C44" s="4"/>
      <c r="D44" s="10"/>
      <c r="E44" s="10"/>
      <c r="F44" s="4"/>
      <c r="G44" s="4"/>
      <c r="H44" s="4"/>
      <c r="I44" s="4"/>
      <c r="J44" s="4"/>
      <c r="K44" s="4"/>
      <c r="L44" s="4"/>
      <c r="M44" s="4"/>
      <c r="N44" s="4"/>
      <c r="O44" s="4"/>
      <c r="P44" s="4"/>
      <c r="Q44" s="4"/>
      <c r="R44" s="4"/>
      <c r="S44" s="4"/>
      <c r="T44" s="4"/>
      <c r="U44" s="4"/>
      <c r="V44" s="4"/>
      <c r="W44" s="4"/>
      <c r="X44" s="4"/>
      <c r="Y44" s="4"/>
      <c r="Z44" s="4"/>
    </row>
    <row r="45" spans="1:26">
      <c r="A45" s="10"/>
      <c r="B45" s="10"/>
      <c r="C45" s="4"/>
      <c r="D45" s="10"/>
      <c r="E45" s="10"/>
      <c r="F45" s="4"/>
      <c r="G45" s="4"/>
      <c r="H45" s="4"/>
      <c r="I45" s="4"/>
      <c r="J45" s="4"/>
      <c r="K45" s="4"/>
      <c r="L45" s="4"/>
      <c r="M45" s="4"/>
      <c r="N45" s="4"/>
      <c r="O45" s="4"/>
      <c r="P45" s="4"/>
      <c r="Q45" s="4"/>
      <c r="R45" s="4"/>
      <c r="S45" s="4"/>
      <c r="T45" s="4"/>
      <c r="U45" s="4"/>
      <c r="V45" s="4"/>
      <c r="W45" s="4"/>
      <c r="X45" s="4"/>
      <c r="Y45" s="4"/>
      <c r="Z45" s="4"/>
    </row>
    <row r="46" spans="1:26">
      <c r="A46" s="10"/>
      <c r="B46" s="10"/>
      <c r="C46" s="4"/>
      <c r="D46" s="10"/>
      <c r="E46" s="10"/>
      <c r="F46" s="4"/>
      <c r="G46" s="4"/>
      <c r="H46" s="4"/>
      <c r="I46" s="4"/>
      <c r="J46" s="4"/>
      <c r="K46" s="4"/>
      <c r="L46" s="4"/>
      <c r="M46" s="4"/>
      <c r="N46" s="4"/>
      <c r="O46" s="4"/>
      <c r="P46" s="4"/>
      <c r="Q46" s="4"/>
      <c r="R46" s="4"/>
      <c r="S46" s="4"/>
      <c r="T46" s="4"/>
      <c r="U46" s="4"/>
      <c r="V46" s="4"/>
      <c r="W46" s="4"/>
      <c r="X46" s="4"/>
      <c r="Y46" s="4"/>
      <c r="Z46" s="4"/>
    </row>
    <row r="47" spans="1:26">
      <c r="A47" s="10"/>
      <c r="B47" s="10"/>
      <c r="C47" s="4"/>
      <c r="D47" s="10"/>
      <c r="E47" s="10"/>
      <c r="F47" s="4"/>
      <c r="G47" s="4"/>
      <c r="H47" s="4"/>
      <c r="I47" s="4"/>
      <c r="J47" s="4"/>
      <c r="K47" s="4"/>
      <c r="L47" s="4"/>
      <c r="M47" s="4"/>
      <c r="N47" s="4"/>
      <c r="O47" s="4"/>
      <c r="P47" s="4"/>
      <c r="Q47" s="4"/>
      <c r="R47" s="4"/>
      <c r="S47" s="4"/>
      <c r="T47" s="4"/>
      <c r="U47" s="4"/>
      <c r="V47" s="4"/>
      <c r="W47" s="4"/>
      <c r="X47" s="4"/>
      <c r="Y47" s="4"/>
      <c r="Z47" s="4"/>
    </row>
    <row r="48" spans="1:26">
      <c r="A48" s="10"/>
      <c r="B48" s="10"/>
      <c r="C48" s="4"/>
      <c r="D48" s="10"/>
      <c r="E48" s="10"/>
      <c r="F48" s="4"/>
      <c r="G48" s="4"/>
      <c r="H48" s="4"/>
      <c r="I48" s="4"/>
      <c r="J48" s="4"/>
      <c r="K48" s="4"/>
      <c r="L48" s="4"/>
      <c r="M48" s="4"/>
      <c r="N48" s="4"/>
      <c r="O48" s="4"/>
      <c r="P48" s="4"/>
      <c r="Q48" s="4"/>
      <c r="R48" s="4"/>
      <c r="S48" s="4"/>
      <c r="T48" s="4"/>
      <c r="U48" s="4"/>
      <c r="V48" s="4"/>
      <c r="W48" s="4"/>
      <c r="X48" s="4"/>
      <c r="Y48" s="4"/>
      <c r="Z48" s="4"/>
    </row>
    <row r="49" spans="1:26">
      <c r="A49" s="10"/>
      <c r="B49" s="10"/>
      <c r="C49" s="4"/>
      <c r="D49" s="10"/>
      <c r="E49" s="10"/>
      <c r="F49" s="4"/>
      <c r="G49" s="4"/>
      <c r="H49" s="4"/>
      <c r="I49" s="4"/>
      <c r="J49" s="4"/>
      <c r="K49" s="4"/>
      <c r="L49" s="4"/>
      <c r="M49" s="4"/>
      <c r="N49" s="4"/>
      <c r="O49" s="4"/>
      <c r="P49" s="4"/>
      <c r="Q49" s="4"/>
      <c r="R49" s="4"/>
      <c r="S49" s="4"/>
      <c r="T49" s="4"/>
      <c r="U49" s="4"/>
      <c r="V49" s="4"/>
      <c r="W49" s="4"/>
      <c r="X49" s="4"/>
      <c r="Y49" s="4"/>
      <c r="Z49" s="4"/>
    </row>
    <row r="50" spans="1:26">
      <c r="A50" s="10"/>
      <c r="B50" s="10"/>
      <c r="C50" s="4"/>
      <c r="D50" s="10"/>
      <c r="E50" s="10"/>
      <c r="F50" s="4"/>
      <c r="G50" s="4"/>
      <c r="H50" s="4"/>
      <c r="I50" s="4"/>
      <c r="J50" s="4"/>
      <c r="K50" s="4"/>
      <c r="L50" s="4"/>
      <c r="M50" s="4"/>
      <c r="N50" s="4"/>
      <c r="O50" s="4"/>
      <c r="P50" s="4"/>
      <c r="Q50" s="4"/>
      <c r="R50" s="4"/>
      <c r="S50" s="4"/>
      <c r="T50" s="4"/>
      <c r="U50" s="4"/>
      <c r="V50" s="4"/>
      <c r="W50" s="4"/>
      <c r="X50" s="4"/>
      <c r="Y50" s="4"/>
      <c r="Z50" s="4"/>
    </row>
    <row r="51" spans="1:26">
      <c r="A51" s="10"/>
      <c r="B51" s="10"/>
      <c r="C51" s="4"/>
      <c r="D51" s="10"/>
      <c r="E51" s="10"/>
      <c r="F51" s="4"/>
      <c r="G51" s="4"/>
      <c r="H51" s="4"/>
      <c r="I51" s="4"/>
      <c r="J51" s="4"/>
      <c r="K51" s="4"/>
      <c r="L51" s="4"/>
      <c r="M51" s="4"/>
      <c r="N51" s="4"/>
      <c r="O51" s="4"/>
      <c r="P51" s="4"/>
      <c r="Q51" s="4"/>
      <c r="R51" s="4"/>
      <c r="S51" s="4"/>
      <c r="T51" s="4"/>
      <c r="U51" s="4"/>
      <c r="V51" s="4"/>
      <c r="W51" s="4"/>
      <c r="X51" s="4"/>
      <c r="Y51" s="4"/>
      <c r="Z51" s="4"/>
    </row>
    <row r="52" spans="1:26">
      <c r="A52" s="10"/>
      <c r="B52" s="10"/>
      <c r="C52" s="4"/>
      <c r="D52" s="10"/>
      <c r="E52" s="10"/>
      <c r="F52" s="4"/>
      <c r="G52" s="4"/>
      <c r="H52" s="4"/>
      <c r="I52" s="4"/>
      <c r="J52" s="4"/>
      <c r="K52" s="4"/>
      <c r="L52" s="4"/>
      <c r="M52" s="4"/>
      <c r="N52" s="4"/>
      <c r="O52" s="4"/>
      <c r="P52" s="4"/>
      <c r="Q52" s="4"/>
      <c r="R52" s="4"/>
      <c r="S52" s="4"/>
      <c r="T52" s="4"/>
      <c r="U52" s="4"/>
      <c r="V52" s="4"/>
      <c r="W52" s="4"/>
      <c r="X52" s="4"/>
      <c r="Y52" s="4"/>
      <c r="Z52" s="4"/>
    </row>
    <row r="53" spans="1:26">
      <c r="A53" s="10"/>
      <c r="B53" s="10"/>
      <c r="C53" s="4"/>
      <c r="D53" s="10"/>
      <c r="E53" s="10"/>
      <c r="F53" s="4"/>
      <c r="G53" s="4"/>
      <c r="H53" s="4"/>
      <c r="I53" s="4"/>
      <c r="J53" s="4"/>
      <c r="K53" s="4"/>
      <c r="L53" s="4"/>
      <c r="M53" s="4"/>
      <c r="N53" s="4"/>
      <c r="O53" s="4"/>
      <c r="P53" s="4"/>
      <c r="Q53" s="4"/>
      <c r="R53" s="4"/>
      <c r="S53" s="4"/>
      <c r="T53" s="4"/>
      <c r="U53" s="4"/>
      <c r="V53" s="4"/>
      <c r="W53" s="4"/>
      <c r="X53" s="4"/>
      <c r="Y53" s="4"/>
      <c r="Z53" s="4"/>
    </row>
    <row r="54" spans="1:26">
      <c r="A54" s="10"/>
      <c r="B54" s="10"/>
      <c r="C54" s="4"/>
      <c r="D54" s="10"/>
      <c r="E54" s="10"/>
      <c r="F54" s="4"/>
      <c r="G54" s="4"/>
      <c r="H54" s="4"/>
      <c r="I54" s="4"/>
      <c r="J54" s="4"/>
      <c r="K54" s="4"/>
      <c r="L54" s="4"/>
      <c r="M54" s="4"/>
      <c r="N54" s="4"/>
      <c r="O54" s="4"/>
      <c r="P54" s="4"/>
      <c r="Q54" s="4"/>
      <c r="R54" s="4"/>
      <c r="S54" s="4"/>
      <c r="T54" s="4"/>
      <c r="U54" s="4"/>
      <c r="V54" s="4"/>
      <c r="W54" s="4"/>
      <c r="X54" s="4"/>
      <c r="Y54" s="4"/>
      <c r="Z54" s="4"/>
    </row>
    <row r="55" spans="1:26">
      <c r="A55" s="10"/>
      <c r="B55" s="10"/>
      <c r="C55" s="4"/>
      <c r="D55" s="10"/>
      <c r="E55" s="10"/>
      <c r="F55" s="4"/>
      <c r="G55" s="4"/>
      <c r="H55" s="4"/>
      <c r="I55" s="4"/>
      <c r="J55" s="4"/>
      <c r="K55" s="4"/>
      <c r="L55" s="4"/>
      <c r="M55" s="4"/>
      <c r="N55" s="4"/>
      <c r="O55" s="4"/>
      <c r="P55" s="4"/>
      <c r="Q55" s="4"/>
      <c r="R55" s="4"/>
      <c r="S55" s="4"/>
      <c r="T55" s="4"/>
      <c r="U55" s="4"/>
      <c r="V55" s="4"/>
      <c r="W55" s="4"/>
      <c r="X55" s="4"/>
      <c r="Y55" s="4"/>
      <c r="Z55" s="4"/>
    </row>
    <row r="56" spans="1:26">
      <c r="A56" s="10"/>
      <c r="B56" s="10"/>
      <c r="C56" s="4"/>
      <c r="D56" s="10"/>
      <c r="E56" s="10"/>
      <c r="F56" s="4"/>
      <c r="G56" s="4"/>
      <c r="H56" s="4"/>
      <c r="I56" s="4"/>
      <c r="J56" s="4"/>
      <c r="K56" s="4"/>
      <c r="L56" s="4"/>
      <c r="M56" s="4"/>
      <c r="N56" s="4"/>
      <c r="O56" s="4"/>
      <c r="P56" s="4"/>
      <c r="Q56" s="4"/>
      <c r="R56" s="4"/>
      <c r="S56" s="4"/>
      <c r="T56" s="4"/>
      <c r="U56" s="4"/>
      <c r="V56" s="4"/>
      <c r="W56" s="4"/>
      <c r="X56" s="4"/>
      <c r="Y56" s="4"/>
      <c r="Z56" s="4"/>
    </row>
    <row r="57" spans="1:26">
      <c r="A57" s="10"/>
      <c r="B57" s="10"/>
      <c r="C57" s="4"/>
      <c r="D57" s="10"/>
      <c r="E57" s="10"/>
      <c r="F57" s="4"/>
      <c r="G57" s="4"/>
      <c r="H57" s="4"/>
      <c r="I57" s="4"/>
      <c r="J57" s="4"/>
      <c r="K57" s="4"/>
      <c r="L57" s="4"/>
      <c r="M57" s="4"/>
      <c r="N57" s="4"/>
      <c r="O57" s="4"/>
      <c r="P57" s="4"/>
      <c r="Q57" s="4"/>
      <c r="R57" s="4"/>
      <c r="S57" s="4"/>
      <c r="T57" s="4"/>
      <c r="U57" s="4"/>
      <c r="V57" s="4"/>
      <c r="W57" s="4"/>
      <c r="X57" s="4"/>
      <c r="Y57" s="4"/>
      <c r="Z57" s="4"/>
    </row>
    <row r="58" spans="1:26">
      <c r="A58" s="10"/>
      <c r="B58" s="10"/>
      <c r="C58" s="4"/>
      <c r="D58" s="10"/>
      <c r="E58" s="10"/>
      <c r="F58" s="4"/>
      <c r="G58" s="4"/>
      <c r="H58" s="4"/>
      <c r="I58" s="4"/>
      <c r="J58" s="4"/>
      <c r="K58" s="4"/>
      <c r="L58" s="4"/>
      <c r="M58" s="4"/>
      <c r="N58" s="4"/>
      <c r="O58" s="4"/>
      <c r="P58" s="4"/>
      <c r="Q58" s="4"/>
      <c r="R58" s="4"/>
      <c r="S58" s="4"/>
      <c r="T58" s="4"/>
      <c r="U58" s="4"/>
      <c r="V58" s="4"/>
      <c r="W58" s="4"/>
      <c r="X58" s="4"/>
      <c r="Y58" s="4"/>
      <c r="Z58" s="4"/>
    </row>
    <row r="59" spans="1:26">
      <c r="A59" s="10"/>
      <c r="B59" s="10"/>
      <c r="C59" s="4"/>
      <c r="D59" s="10"/>
      <c r="E59" s="10"/>
      <c r="F59" s="4"/>
      <c r="G59" s="4"/>
      <c r="H59" s="4"/>
      <c r="I59" s="4"/>
      <c r="J59" s="4"/>
      <c r="K59" s="4"/>
      <c r="L59" s="4"/>
      <c r="M59" s="4"/>
      <c r="N59" s="4"/>
      <c r="O59" s="4"/>
      <c r="P59" s="4"/>
      <c r="Q59" s="4"/>
      <c r="R59" s="4"/>
      <c r="S59" s="4"/>
      <c r="T59" s="4"/>
      <c r="U59" s="4"/>
      <c r="V59" s="4"/>
      <c r="W59" s="4"/>
      <c r="X59" s="4"/>
      <c r="Y59" s="4"/>
      <c r="Z59" s="4"/>
    </row>
    <row r="60" spans="1:26">
      <c r="A60" s="10"/>
      <c r="B60" s="10"/>
      <c r="C60" s="4"/>
      <c r="D60" s="10"/>
      <c r="E60" s="10"/>
      <c r="F60" s="4"/>
      <c r="G60" s="4"/>
      <c r="H60" s="4"/>
      <c r="I60" s="4"/>
      <c r="J60" s="4"/>
      <c r="K60" s="4"/>
      <c r="L60" s="4"/>
      <c r="M60" s="4"/>
      <c r="N60" s="4"/>
      <c r="O60" s="4"/>
      <c r="P60" s="4"/>
      <c r="Q60" s="4"/>
      <c r="R60" s="4"/>
      <c r="S60" s="4"/>
      <c r="T60" s="4"/>
      <c r="U60" s="4"/>
      <c r="V60" s="4"/>
      <c r="W60" s="4"/>
      <c r="X60" s="4"/>
      <c r="Y60" s="4"/>
      <c r="Z60" s="4"/>
    </row>
    <row r="61" spans="1:26">
      <c r="A61" s="10"/>
      <c r="B61" s="10"/>
      <c r="C61" s="4"/>
      <c r="D61" s="10"/>
      <c r="E61" s="10"/>
      <c r="F61" s="4"/>
      <c r="G61" s="4"/>
      <c r="H61" s="4"/>
      <c r="I61" s="4"/>
      <c r="J61" s="4"/>
      <c r="K61" s="4"/>
      <c r="L61" s="4"/>
      <c r="M61" s="4"/>
      <c r="N61" s="4"/>
      <c r="O61" s="4"/>
      <c r="P61" s="4"/>
      <c r="Q61" s="4"/>
      <c r="R61" s="4"/>
      <c r="S61" s="4"/>
      <c r="T61" s="4"/>
      <c r="U61" s="4"/>
      <c r="V61" s="4"/>
      <c r="W61" s="4"/>
      <c r="X61" s="4"/>
      <c r="Y61" s="4"/>
      <c r="Z61" s="4"/>
    </row>
    <row r="62" spans="1:26">
      <c r="A62" s="10"/>
      <c r="B62" s="10"/>
      <c r="C62" s="4"/>
      <c r="D62" s="10"/>
      <c r="E62" s="10"/>
      <c r="F62" s="4"/>
      <c r="G62" s="4"/>
      <c r="H62" s="4"/>
      <c r="I62" s="4"/>
      <c r="J62" s="4"/>
      <c r="K62" s="4"/>
      <c r="L62" s="4"/>
      <c r="M62" s="4"/>
      <c r="N62" s="4"/>
      <c r="O62" s="4"/>
      <c r="P62" s="4"/>
      <c r="Q62" s="4"/>
      <c r="R62" s="4"/>
      <c r="S62" s="4"/>
      <c r="T62" s="4"/>
      <c r="U62" s="4"/>
      <c r="V62" s="4"/>
      <c r="W62" s="4"/>
      <c r="X62" s="4"/>
      <c r="Y62" s="4"/>
      <c r="Z62" s="4"/>
    </row>
    <row r="63" spans="1:26">
      <c r="A63" s="10"/>
      <c r="B63" s="10"/>
      <c r="C63" s="4"/>
      <c r="D63" s="10"/>
      <c r="E63" s="10"/>
      <c r="F63" s="4"/>
      <c r="G63" s="4"/>
      <c r="H63" s="4"/>
      <c r="I63" s="4"/>
      <c r="J63" s="4"/>
      <c r="K63" s="4"/>
      <c r="L63" s="4"/>
      <c r="M63" s="4"/>
      <c r="N63" s="4"/>
      <c r="O63" s="4"/>
      <c r="P63" s="4"/>
      <c r="Q63" s="4"/>
      <c r="R63" s="4"/>
      <c r="S63" s="4"/>
      <c r="T63" s="4"/>
      <c r="U63" s="4"/>
      <c r="V63" s="4"/>
      <c r="W63" s="4"/>
      <c r="X63" s="4"/>
      <c r="Y63" s="4"/>
      <c r="Z63" s="4"/>
    </row>
    <row r="64" spans="1:26">
      <c r="A64" s="10"/>
      <c r="B64" s="10"/>
      <c r="C64" s="4"/>
      <c r="D64" s="10"/>
      <c r="E64" s="10"/>
      <c r="F64" s="4"/>
      <c r="G64" s="4"/>
      <c r="H64" s="4"/>
      <c r="I64" s="4"/>
      <c r="J64" s="4"/>
      <c r="K64" s="4"/>
      <c r="L64" s="4"/>
      <c r="M64" s="4"/>
      <c r="N64" s="4"/>
      <c r="O64" s="4"/>
      <c r="P64" s="4"/>
      <c r="Q64" s="4"/>
      <c r="R64" s="4"/>
      <c r="S64" s="4"/>
      <c r="T64" s="4"/>
      <c r="U64" s="4"/>
      <c r="V64" s="4"/>
      <c r="W64" s="4"/>
      <c r="X64" s="4"/>
      <c r="Y64" s="4"/>
      <c r="Z64" s="4"/>
    </row>
    <row r="65" spans="1:26">
      <c r="A65" s="10"/>
      <c r="B65" s="10"/>
      <c r="C65" s="4"/>
      <c r="D65" s="10"/>
      <c r="E65" s="10"/>
      <c r="F65" s="4"/>
      <c r="G65" s="4"/>
      <c r="H65" s="4"/>
      <c r="I65" s="4"/>
      <c r="J65" s="4"/>
      <c r="K65" s="4"/>
      <c r="L65" s="4"/>
      <c r="M65" s="4"/>
      <c r="N65" s="4"/>
      <c r="O65" s="4"/>
      <c r="P65" s="4"/>
      <c r="Q65" s="4"/>
      <c r="R65" s="4"/>
      <c r="S65" s="4"/>
      <c r="T65" s="4"/>
      <c r="U65" s="4"/>
      <c r="V65" s="4"/>
      <c r="W65" s="4"/>
      <c r="X65" s="4"/>
      <c r="Y65" s="4"/>
      <c r="Z65" s="4"/>
    </row>
    <row r="66" spans="1:26">
      <c r="A66" s="10"/>
      <c r="B66" s="10"/>
      <c r="C66" s="4"/>
      <c r="D66" s="10"/>
      <c r="E66" s="10"/>
      <c r="F66" s="4"/>
      <c r="G66" s="4"/>
      <c r="H66" s="4"/>
      <c r="I66" s="4"/>
      <c r="J66" s="4"/>
      <c r="K66" s="4"/>
      <c r="L66" s="4"/>
      <c r="M66" s="4"/>
      <c r="N66" s="4"/>
      <c r="O66" s="4"/>
      <c r="P66" s="4"/>
      <c r="Q66" s="4"/>
      <c r="R66" s="4"/>
      <c r="S66" s="4"/>
      <c r="T66" s="4"/>
      <c r="U66" s="4"/>
      <c r="V66" s="4"/>
      <c r="W66" s="4"/>
      <c r="X66" s="4"/>
      <c r="Y66" s="4"/>
      <c r="Z66" s="4"/>
    </row>
    <row r="67" spans="1:26">
      <c r="A67" s="10"/>
      <c r="B67" s="10"/>
      <c r="C67" s="4"/>
      <c r="D67" s="10"/>
      <c r="E67" s="10"/>
      <c r="F67" s="4"/>
      <c r="G67" s="4"/>
      <c r="H67" s="4"/>
      <c r="I67" s="4"/>
      <c r="J67" s="4"/>
      <c r="K67" s="4"/>
      <c r="L67" s="4"/>
      <c r="M67" s="4"/>
      <c r="N67" s="4"/>
      <c r="O67" s="4"/>
      <c r="P67" s="4"/>
      <c r="Q67" s="4"/>
      <c r="R67" s="4"/>
      <c r="S67" s="4"/>
      <c r="T67" s="4"/>
      <c r="U67" s="4"/>
      <c r="V67" s="4"/>
      <c r="W67" s="4"/>
      <c r="X67" s="4"/>
      <c r="Y67" s="4"/>
      <c r="Z67" s="4"/>
    </row>
    <row r="68" spans="1:26">
      <c r="A68" s="10"/>
      <c r="B68" s="10"/>
      <c r="C68" s="4"/>
      <c r="D68" s="10"/>
      <c r="E68" s="10"/>
      <c r="F68" s="4"/>
      <c r="G68" s="4"/>
      <c r="H68" s="4"/>
      <c r="I68" s="4"/>
      <c r="J68" s="4"/>
      <c r="K68" s="4"/>
      <c r="L68" s="4"/>
      <c r="M68" s="4"/>
      <c r="N68" s="4"/>
      <c r="O68" s="4"/>
      <c r="P68" s="4"/>
      <c r="Q68" s="4"/>
      <c r="R68" s="4"/>
      <c r="S68" s="4"/>
      <c r="T68" s="4"/>
      <c r="U68" s="4"/>
      <c r="V68" s="4"/>
      <c r="W68" s="4"/>
      <c r="X68" s="4"/>
      <c r="Y68" s="4"/>
      <c r="Z68" s="4"/>
    </row>
    <row r="69" spans="1:26">
      <c r="A69" s="10"/>
      <c r="B69" s="10"/>
      <c r="C69" s="4"/>
      <c r="D69" s="10"/>
      <c r="E69" s="10"/>
      <c r="F69" s="4"/>
      <c r="G69" s="4"/>
      <c r="H69" s="4"/>
      <c r="I69" s="4"/>
      <c r="J69" s="4"/>
      <c r="K69" s="4"/>
      <c r="L69" s="4"/>
      <c r="M69" s="4"/>
      <c r="N69" s="4"/>
      <c r="O69" s="4"/>
      <c r="P69" s="4"/>
      <c r="Q69" s="4"/>
      <c r="R69" s="4"/>
      <c r="S69" s="4"/>
      <c r="T69" s="4"/>
      <c r="U69" s="4"/>
      <c r="V69" s="4"/>
      <c r="W69" s="4"/>
      <c r="X69" s="4"/>
      <c r="Y69" s="4"/>
      <c r="Z69" s="4"/>
    </row>
    <row r="70" spans="1:26">
      <c r="A70" s="10"/>
      <c r="B70" s="10"/>
      <c r="C70" s="4"/>
      <c r="D70" s="10"/>
      <c r="E70" s="10"/>
      <c r="F70" s="4"/>
      <c r="G70" s="4"/>
      <c r="H70" s="4"/>
      <c r="I70" s="4"/>
      <c r="J70" s="4"/>
      <c r="K70" s="4"/>
      <c r="L70" s="4"/>
      <c r="M70" s="4"/>
      <c r="N70" s="4"/>
      <c r="O70" s="4"/>
      <c r="P70" s="4"/>
      <c r="Q70" s="4"/>
      <c r="R70" s="4"/>
      <c r="S70" s="4"/>
      <c r="T70" s="4"/>
      <c r="U70" s="4"/>
      <c r="V70" s="4"/>
      <c r="W70" s="4"/>
      <c r="X70" s="4"/>
      <c r="Y70" s="4"/>
      <c r="Z70" s="4"/>
    </row>
    <row r="71" spans="1:26">
      <c r="A71" s="10"/>
      <c r="B71" s="10"/>
      <c r="C71" s="4"/>
      <c r="D71" s="10"/>
      <c r="E71" s="10"/>
      <c r="F71" s="4"/>
      <c r="G71" s="4"/>
      <c r="H71" s="4"/>
      <c r="I71" s="4"/>
      <c r="J71" s="4"/>
      <c r="K71" s="4"/>
      <c r="L71" s="4"/>
      <c r="M71" s="4"/>
      <c r="N71" s="4"/>
      <c r="O71" s="4"/>
      <c r="P71" s="4"/>
      <c r="Q71" s="4"/>
      <c r="R71" s="4"/>
      <c r="S71" s="4"/>
      <c r="T71" s="4"/>
      <c r="U71" s="4"/>
      <c r="V71" s="4"/>
      <c r="W71" s="4"/>
      <c r="X71" s="4"/>
      <c r="Y71" s="4"/>
      <c r="Z71" s="4"/>
    </row>
    <row r="72" spans="1:26">
      <c r="A72" s="10"/>
      <c r="B72" s="10"/>
      <c r="C72" s="4"/>
      <c r="D72" s="10"/>
      <c r="E72" s="10"/>
      <c r="F72" s="4"/>
      <c r="G72" s="4"/>
      <c r="H72" s="4"/>
      <c r="I72" s="4"/>
      <c r="J72" s="4"/>
      <c r="K72" s="4"/>
      <c r="L72" s="4"/>
      <c r="M72" s="4"/>
      <c r="N72" s="4"/>
      <c r="O72" s="4"/>
      <c r="P72" s="4"/>
      <c r="Q72" s="4"/>
      <c r="R72" s="4"/>
      <c r="S72" s="4"/>
      <c r="T72" s="4"/>
      <c r="U72" s="4"/>
      <c r="V72" s="4"/>
      <c r="W72" s="4"/>
      <c r="X72" s="4"/>
      <c r="Y72" s="4"/>
      <c r="Z72" s="4"/>
    </row>
    <row r="73" spans="1:26">
      <c r="A73" s="10"/>
      <c r="B73" s="10"/>
      <c r="C73" s="4"/>
      <c r="D73" s="10"/>
      <c r="E73" s="10"/>
      <c r="F73" s="4"/>
      <c r="G73" s="4"/>
      <c r="H73" s="4"/>
      <c r="I73" s="4"/>
      <c r="J73" s="4"/>
      <c r="K73" s="4"/>
      <c r="L73" s="4"/>
      <c r="M73" s="4"/>
      <c r="N73" s="4"/>
      <c r="O73" s="4"/>
      <c r="P73" s="4"/>
      <c r="Q73" s="4"/>
      <c r="R73" s="4"/>
      <c r="S73" s="4"/>
      <c r="T73" s="4"/>
      <c r="U73" s="4"/>
      <c r="V73" s="4"/>
      <c r="W73" s="4"/>
      <c r="X73" s="4"/>
      <c r="Y73" s="4"/>
      <c r="Z73" s="4"/>
    </row>
    <row r="74" spans="1:26">
      <c r="A74" s="10"/>
      <c r="B74" s="10"/>
      <c r="C74" s="4"/>
      <c r="D74" s="10"/>
      <c r="E74" s="10"/>
      <c r="F74" s="4"/>
      <c r="G74" s="4"/>
      <c r="H74" s="4"/>
      <c r="I74" s="4"/>
      <c r="J74" s="4"/>
      <c r="K74" s="4"/>
      <c r="L74" s="4"/>
      <c r="M74" s="4"/>
      <c r="N74" s="4"/>
      <c r="O74" s="4"/>
      <c r="P74" s="4"/>
      <c r="Q74" s="4"/>
      <c r="R74" s="4"/>
      <c r="S74" s="4"/>
      <c r="T74" s="4"/>
      <c r="U74" s="4"/>
      <c r="V74" s="4"/>
      <c r="W74" s="4"/>
      <c r="X74" s="4"/>
      <c r="Y74" s="4"/>
      <c r="Z74" s="4"/>
    </row>
    <row r="75" spans="1:26">
      <c r="A75" s="10"/>
      <c r="B75" s="10"/>
      <c r="C75" s="4"/>
      <c r="D75" s="10"/>
      <c r="E75" s="10"/>
      <c r="F75" s="4"/>
      <c r="G75" s="4"/>
      <c r="H75" s="4"/>
      <c r="I75" s="4"/>
      <c r="J75" s="4"/>
      <c r="K75" s="4"/>
      <c r="L75" s="4"/>
      <c r="M75" s="4"/>
      <c r="N75" s="4"/>
      <c r="O75" s="4"/>
      <c r="P75" s="4"/>
      <c r="Q75" s="4"/>
      <c r="R75" s="4"/>
      <c r="S75" s="4"/>
      <c r="T75" s="4"/>
      <c r="U75" s="4"/>
      <c r="V75" s="4"/>
      <c r="W75" s="4"/>
      <c r="X75" s="4"/>
      <c r="Y75" s="4"/>
      <c r="Z75" s="4"/>
    </row>
    <row r="76" spans="1:26">
      <c r="A76" s="10"/>
      <c r="B76" s="10"/>
      <c r="C76" s="4"/>
      <c r="D76" s="10"/>
      <c r="E76" s="10"/>
      <c r="F76" s="4"/>
      <c r="G76" s="4"/>
      <c r="H76" s="4"/>
      <c r="I76" s="4"/>
      <c r="J76" s="4"/>
      <c r="K76" s="4"/>
      <c r="L76" s="4"/>
      <c r="M76" s="4"/>
      <c r="N76" s="4"/>
      <c r="O76" s="4"/>
      <c r="P76" s="4"/>
      <c r="Q76" s="4"/>
      <c r="R76" s="4"/>
      <c r="S76" s="4"/>
      <c r="T76" s="4"/>
      <c r="U76" s="4"/>
      <c r="V76" s="4"/>
      <c r="W76" s="4"/>
      <c r="X76" s="4"/>
      <c r="Y76" s="4"/>
      <c r="Z76" s="4"/>
    </row>
    <row r="77" spans="1:26">
      <c r="A77" s="10"/>
      <c r="B77" s="10"/>
      <c r="C77" s="4"/>
      <c r="D77" s="10"/>
      <c r="E77" s="10"/>
      <c r="F77" s="4"/>
      <c r="G77" s="4"/>
      <c r="H77" s="4"/>
      <c r="I77" s="4"/>
      <c r="J77" s="4"/>
      <c r="K77" s="4"/>
      <c r="L77" s="4"/>
      <c r="M77" s="4"/>
      <c r="N77" s="4"/>
      <c r="O77" s="4"/>
      <c r="P77" s="4"/>
      <c r="Q77" s="4"/>
      <c r="R77" s="4"/>
      <c r="S77" s="4"/>
      <c r="T77" s="4"/>
      <c r="U77" s="4"/>
      <c r="V77" s="4"/>
      <c r="W77" s="4"/>
      <c r="X77" s="4"/>
      <c r="Y77" s="4"/>
      <c r="Z77" s="4"/>
    </row>
    <row r="78" spans="1:26">
      <c r="A78" s="10"/>
      <c r="B78" s="10"/>
      <c r="C78" s="4"/>
      <c r="D78" s="10"/>
      <c r="E78" s="10"/>
      <c r="F78" s="4"/>
      <c r="G78" s="4"/>
      <c r="H78" s="4"/>
      <c r="I78" s="4"/>
      <c r="J78" s="4"/>
      <c r="K78" s="4"/>
      <c r="L78" s="4"/>
      <c r="M78" s="4"/>
      <c r="N78" s="4"/>
      <c r="O78" s="4"/>
      <c r="P78" s="4"/>
      <c r="Q78" s="4"/>
      <c r="R78" s="4"/>
      <c r="S78" s="4"/>
      <c r="T78" s="4"/>
      <c r="U78" s="4"/>
      <c r="V78" s="4"/>
      <c r="W78" s="4"/>
      <c r="X78" s="4"/>
      <c r="Y78" s="4"/>
      <c r="Z78" s="4"/>
    </row>
    <row r="79" spans="1:26">
      <c r="A79" s="10"/>
      <c r="B79" s="10"/>
      <c r="C79" s="4"/>
      <c r="D79" s="10"/>
      <c r="E79" s="10"/>
      <c r="F79" s="4"/>
      <c r="G79" s="4"/>
      <c r="H79" s="4"/>
      <c r="I79" s="4"/>
      <c r="J79" s="4"/>
      <c r="K79" s="4"/>
      <c r="L79" s="4"/>
      <c r="M79" s="4"/>
      <c r="N79" s="4"/>
      <c r="O79" s="4"/>
      <c r="P79" s="4"/>
      <c r="Q79" s="4"/>
      <c r="R79" s="4"/>
      <c r="S79" s="4"/>
      <c r="T79" s="4"/>
      <c r="U79" s="4"/>
      <c r="V79" s="4"/>
      <c r="W79" s="4"/>
      <c r="X79" s="4"/>
      <c r="Y79" s="4"/>
      <c r="Z79" s="4"/>
    </row>
    <row r="80" spans="1:26">
      <c r="A80" s="10"/>
      <c r="B80" s="10"/>
      <c r="C80" s="4"/>
      <c r="D80" s="10"/>
      <c r="E80" s="10"/>
      <c r="F80" s="4"/>
      <c r="G80" s="4"/>
      <c r="H80" s="4"/>
      <c r="I80" s="4"/>
      <c r="J80" s="4"/>
      <c r="K80" s="4"/>
      <c r="L80" s="4"/>
      <c r="M80" s="4"/>
      <c r="N80" s="4"/>
      <c r="O80" s="4"/>
      <c r="P80" s="4"/>
      <c r="Q80" s="4"/>
      <c r="R80" s="4"/>
      <c r="S80" s="4"/>
      <c r="T80" s="4"/>
      <c r="U80" s="4"/>
      <c r="V80" s="4"/>
      <c r="W80" s="4"/>
      <c r="X80" s="4"/>
      <c r="Y80" s="4"/>
      <c r="Z80" s="4"/>
    </row>
    <row r="81" spans="1:26">
      <c r="A81" s="10"/>
      <c r="B81" s="10"/>
      <c r="C81" s="4"/>
      <c r="D81" s="10"/>
      <c r="E81" s="10"/>
      <c r="F81" s="4"/>
      <c r="G81" s="4"/>
      <c r="H81" s="4"/>
      <c r="I81" s="4"/>
      <c r="J81" s="4"/>
      <c r="K81" s="4"/>
      <c r="L81" s="4"/>
      <c r="M81" s="4"/>
      <c r="N81" s="4"/>
      <c r="O81" s="4"/>
      <c r="P81" s="4"/>
      <c r="Q81" s="4"/>
      <c r="R81" s="4"/>
      <c r="S81" s="4"/>
      <c r="T81" s="4"/>
      <c r="U81" s="4"/>
      <c r="V81" s="4"/>
      <c r="W81" s="4"/>
      <c r="X81" s="4"/>
      <c r="Y81" s="4"/>
      <c r="Z81" s="4"/>
    </row>
    <row r="82" spans="1:26">
      <c r="A82" s="10"/>
      <c r="B82" s="10"/>
      <c r="C82" s="4"/>
      <c r="D82" s="10"/>
      <c r="E82" s="10"/>
      <c r="F82" s="4"/>
      <c r="G82" s="4"/>
      <c r="H82" s="4"/>
      <c r="I82" s="4"/>
      <c r="J82" s="4"/>
      <c r="K82" s="4"/>
      <c r="L82" s="4"/>
      <c r="M82" s="4"/>
      <c r="N82" s="4"/>
      <c r="O82" s="4"/>
      <c r="P82" s="4"/>
      <c r="Q82" s="4"/>
      <c r="R82" s="4"/>
      <c r="S82" s="4"/>
      <c r="T82" s="4"/>
      <c r="U82" s="4"/>
      <c r="V82" s="4"/>
      <c r="W82" s="4"/>
      <c r="X82" s="4"/>
      <c r="Y82" s="4"/>
      <c r="Z82" s="4"/>
    </row>
    <row r="83" spans="1:26">
      <c r="A83" s="10"/>
      <c r="B83" s="10"/>
      <c r="C83" s="4"/>
      <c r="D83" s="10"/>
      <c r="E83" s="10"/>
      <c r="F83" s="4"/>
      <c r="G83" s="4"/>
      <c r="H83" s="4"/>
      <c r="I83" s="4"/>
      <c r="J83" s="4"/>
      <c r="K83" s="4"/>
      <c r="L83" s="4"/>
      <c r="M83" s="4"/>
      <c r="N83" s="4"/>
      <c r="O83" s="4"/>
      <c r="P83" s="4"/>
      <c r="Q83" s="4"/>
      <c r="R83" s="4"/>
      <c r="S83" s="4"/>
      <c r="T83" s="4"/>
      <c r="U83" s="4"/>
      <c r="V83" s="4"/>
      <c r="W83" s="4"/>
      <c r="X83" s="4"/>
      <c r="Y83" s="4"/>
      <c r="Z83" s="4"/>
    </row>
    <row r="84" spans="1:26">
      <c r="A84" s="10"/>
      <c r="B84" s="10"/>
      <c r="C84" s="4"/>
      <c r="D84" s="10"/>
      <c r="E84" s="10"/>
      <c r="F84" s="4"/>
      <c r="G84" s="4"/>
      <c r="H84" s="4"/>
      <c r="I84" s="4"/>
      <c r="J84" s="4"/>
      <c r="K84" s="4"/>
      <c r="L84" s="4"/>
      <c r="M84" s="4"/>
      <c r="N84" s="4"/>
      <c r="O84" s="4"/>
      <c r="P84" s="4"/>
      <c r="Q84" s="4"/>
      <c r="R84" s="4"/>
      <c r="S84" s="4"/>
      <c r="T84" s="4"/>
      <c r="U84" s="4"/>
      <c r="V84" s="4"/>
      <c r="W84" s="4"/>
      <c r="X84" s="4"/>
      <c r="Y84" s="4"/>
      <c r="Z84" s="4"/>
    </row>
    <row r="85" spans="1:26">
      <c r="A85" s="10"/>
      <c r="B85" s="10"/>
      <c r="C85" s="4"/>
      <c r="D85" s="10"/>
      <c r="E85" s="10"/>
      <c r="F85" s="4"/>
      <c r="G85" s="4"/>
      <c r="H85" s="4"/>
      <c r="I85" s="4"/>
      <c r="J85" s="4"/>
      <c r="K85" s="4"/>
      <c r="L85" s="4"/>
      <c r="M85" s="4"/>
      <c r="N85" s="4"/>
      <c r="O85" s="4"/>
      <c r="P85" s="4"/>
      <c r="Q85" s="4"/>
      <c r="R85" s="4"/>
      <c r="S85" s="4"/>
      <c r="T85" s="4"/>
      <c r="U85" s="4"/>
      <c r="V85" s="4"/>
      <c r="W85" s="4"/>
      <c r="X85" s="4"/>
      <c r="Y85" s="4"/>
      <c r="Z85" s="4"/>
    </row>
    <row r="86" spans="1:26">
      <c r="A86" s="10"/>
      <c r="B86" s="10"/>
      <c r="C86" s="4"/>
      <c r="D86" s="10"/>
      <c r="E86" s="10"/>
      <c r="F86" s="4"/>
      <c r="G86" s="4"/>
      <c r="H86" s="4"/>
      <c r="I86" s="4"/>
      <c r="J86" s="4"/>
      <c r="K86" s="4"/>
      <c r="L86" s="4"/>
      <c r="M86" s="4"/>
      <c r="N86" s="4"/>
      <c r="O86" s="4"/>
      <c r="P86" s="4"/>
      <c r="Q86" s="4"/>
      <c r="R86" s="4"/>
      <c r="S86" s="4"/>
      <c r="T86" s="4"/>
      <c r="U86" s="4"/>
      <c r="V86" s="4"/>
      <c r="W86" s="4"/>
      <c r="X86" s="4"/>
      <c r="Y86" s="4"/>
      <c r="Z86" s="4"/>
    </row>
    <row r="87" spans="1:26">
      <c r="A87" s="10"/>
      <c r="B87" s="10"/>
      <c r="C87" s="4"/>
      <c r="D87" s="10"/>
      <c r="E87" s="10"/>
      <c r="F87" s="4"/>
      <c r="G87" s="4"/>
      <c r="H87" s="4"/>
      <c r="I87" s="4"/>
      <c r="J87" s="4"/>
      <c r="K87" s="4"/>
      <c r="L87" s="4"/>
      <c r="M87" s="4"/>
      <c r="N87" s="4"/>
      <c r="O87" s="4"/>
      <c r="P87" s="4"/>
      <c r="Q87" s="4"/>
      <c r="R87" s="4"/>
      <c r="S87" s="4"/>
      <c r="T87" s="4"/>
      <c r="U87" s="4"/>
      <c r="V87" s="4"/>
      <c r="W87" s="4"/>
      <c r="X87" s="4"/>
      <c r="Y87" s="4"/>
      <c r="Z87" s="4"/>
    </row>
    <row r="88" spans="1:26">
      <c r="A88" s="10"/>
      <c r="B88" s="10"/>
      <c r="C88" s="4"/>
      <c r="D88" s="10"/>
      <c r="E88" s="10"/>
      <c r="F88" s="4"/>
      <c r="G88" s="4"/>
      <c r="H88" s="4"/>
      <c r="I88" s="4"/>
      <c r="J88" s="4"/>
      <c r="K88" s="4"/>
      <c r="L88" s="4"/>
      <c r="M88" s="4"/>
      <c r="N88" s="4"/>
      <c r="O88" s="4"/>
      <c r="P88" s="4"/>
      <c r="Q88" s="4"/>
      <c r="R88" s="4"/>
      <c r="S88" s="4"/>
      <c r="T88" s="4"/>
      <c r="U88" s="4"/>
      <c r="V88" s="4"/>
      <c r="W88" s="4"/>
      <c r="X88" s="4"/>
      <c r="Y88" s="4"/>
      <c r="Z88" s="4"/>
    </row>
    <row r="89" spans="1:26">
      <c r="A89" s="10"/>
      <c r="B89" s="10"/>
      <c r="C89" s="4"/>
      <c r="D89" s="10"/>
      <c r="E89" s="10"/>
      <c r="F89" s="4"/>
      <c r="G89" s="4"/>
      <c r="H89" s="4"/>
      <c r="I89" s="4"/>
      <c r="J89" s="4"/>
      <c r="K89" s="4"/>
      <c r="L89" s="4"/>
      <c r="M89" s="4"/>
      <c r="N89" s="4"/>
      <c r="O89" s="4"/>
      <c r="P89" s="4"/>
      <c r="Q89" s="4"/>
      <c r="R89" s="4"/>
      <c r="S89" s="4"/>
      <c r="T89" s="4"/>
      <c r="U89" s="4"/>
      <c r="V89" s="4"/>
      <c r="W89" s="4"/>
      <c r="X89" s="4"/>
      <c r="Y89" s="4"/>
      <c r="Z89" s="4"/>
    </row>
    <row r="90" spans="1:26">
      <c r="A90" s="10"/>
      <c r="B90" s="10"/>
      <c r="C90" s="4"/>
      <c r="D90" s="10"/>
      <c r="E90" s="10"/>
      <c r="F90" s="4"/>
      <c r="G90" s="4"/>
      <c r="H90" s="4"/>
      <c r="I90" s="4"/>
      <c r="J90" s="4"/>
      <c r="K90" s="4"/>
      <c r="L90" s="4"/>
      <c r="M90" s="4"/>
      <c r="N90" s="4"/>
      <c r="O90" s="4"/>
      <c r="P90" s="4"/>
      <c r="Q90" s="4"/>
      <c r="R90" s="4"/>
      <c r="S90" s="4"/>
      <c r="T90" s="4"/>
      <c r="U90" s="4"/>
      <c r="V90" s="4"/>
      <c r="W90" s="4"/>
      <c r="X90" s="4"/>
      <c r="Y90" s="4"/>
      <c r="Z90" s="4"/>
    </row>
    <row r="91" spans="1:26">
      <c r="A91" s="10"/>
      <c r="B91" s="10"/>
      <c r="C91" s="4"/>
      <c r="D91" s="10"/>
      <c r="E91" s="10"/>
      <c r="F91" s="4"/>
      <c r="G91" s="4"/>
      <c r="H91" s="4"/>
      <c r="I91" s="4"/>
      <c r="J91" s="4"/>
      <c r="K91" s="4"/>
      <c r="L91" s="4"/>
      <c r="M91" s="4"/>
      <c r="N91" s="4"/>
      <c r="O91" s="4"/>
      <c r="P91" s="4"/>
      <c r="Q91" s="4"/>
      <c r="R91" s="4"/>
      <c r="S91" s="4"/>
      <c r="T91" s="4"/>
      <c r="U91" s="4"/>
      <c r="V91" s="4"/>
      <c r="W91" s="4"/>
      <c r="X91" s="4"/>
      <c r="Y91" s="4"/>
      <c r="Z91" s="4"/>
    </row>
    <row r="92" spans="1:26">
      <c r="A92" s="10"/>
      <c r="B92" s="10"/>
      <c r="C92" s="4"/>
      <c r="D92" s="10"/>
      <c r="E92" s="10"/>
      <c r="F92" s="4"/>
      <c r="G92" s="4"/>
      <c r="H92" s="4"/>
      <c r="I92" s="4"/>
      <c r="J92" s="4"/>
      <c r="K92" s="4"/>
      <c r="L92" s="4"/>
      <c r="M92" s="4"/>
      <c r="N92" s="4"/>
      <c r="O92" s="4"/>
      <c r="P92" s="4"/>
      <c r="Q92" s="4"/>
      <c r="R92" s="4"/>
      <c r="S92" s="4"/>
      <c r="T92" s="4"/>
      <c r="U92" s="4"/>
      <c r="V92" s="4"/>
      <c r="W92" s="4"/>
      <c r="X92" s="4"/>
      <c r="Y92" s="4"/>
      <c r="Z92" s="4"/>
    </row>
    <row r="93" spans="1:26">
      <c r="A93" s="10"/>
      <c r="B93" s="10"/>
      <c r="C93" s="4"/>
      <c r="D93" s="10"/>
      <c r="E93" s="10"/>
      <c r="F93" s="4"/>
      <c r="G93" s="4"/>
      <c r="H93" s="4"/>
      <c r="I93" s="4"/>
      <c r="J93" s="4"/>
      <c r="K93" s="4"/>
      <c r="L93" s="4"/>
      <c r="M93" s="4"/>
      <c r="N93" s="4"/>
      <c r="O93" s="4"/>
      <c r="P93" s="4"/>
      <c r="Q93" s="4"/>
      <c r="R93" s="4"/>
      <c r="S93" s="4"/>
      <c r="T93" s="4"/>
      <c r="U93" s="4"/>
      <c r="V93" s="4"/>
      <c r="W93" s="4"/>
      <c r="X93" s="4"/>
      <c r="Y93" s="4"/>
      <c r="Z93" s="4"/>
    </row>
    <row r="94" spans="1:26">
      <c r="A94" s="10"/>
      <c r="B94" s="10"/>
      <c r="C94" s="4"/>
      <c r="D94" s="10"/>
      <c r="E94" s="10"/>
      <c r="F94" s="4"/>
      <c r="G94" s="4"/>
      <c r="H94" s="4"/>
      <c r="I94" s="4"/>
      <c r="J94" s="4"/>
      <c r="K94" s="4"/>
      <c r="L94" s="4"/>
      <c r="M94" s="4"/>
      <c r="N94" s="4"/>
      <c r="O94" s="4"/>
      <c r="P94" s="4"/>
      <c r="Q94" s="4"/>
      <c r="R94" s="4"/>
      <c r="S94" s="4"/>
      <c r="T94" s="4"/>
      <c r="U94" s="4"/>
      <c r="V94" s="4"/>
      <c r="W94" s="4"/>
      <c r="X94" s="4"/>
      <c r="Y94" s="4"/>
      <c r="Z94" s="4"/>
    </row>
    <row r="95" spans="1:26">
      <c r="A95" s="10"/>
      <c r="B95" s="10"/>
      <c r="C95" s="4"/>
      <c r="D95" s="10"/>
      <c r="E95" s="10"/>
      <c r="F95" s="4"/>
      <c r="G95" s="4"/>
      <c r="H95" s="4"/>
      <c r="I95" s="4"/>
      <c r="J95" s="4"/>
      <c r="K95" s="4"/>
      <c r="L95" s="4"/>
      <c r="M95" s="4"/>
      <c r="N95" s="4"/>
      <c r="O95" s="4"/>
      <c r="P95" s="4"/>
      <c r="Q95" s="4"/>
      <c r="R95" s="4"/>
      <c r="S95" s="4"/>
      <c r="T95" s="4"/>
      <c r="U95" s="4"/>
      <c r="V95" s="4"/>
      <c r="W95" s="4"/>
      <c r="X95" s="4"/>
      <c r="Y95" s="4"/>
      <c r="Z95" s="4"/>
    </row>
    <row r="96" spans="1:26">
      <c r="A96" s="10"/>
      <c r="B96" s="10"/>
      <c r="C96" s="4"/>
      <c r="D96" s="10"/>
      <c r="E96" s="10"/>
      <c r="F96" s="4"/>
      <c r="G96" s="4"/>
      <c r="H96" s="4"/>
      <c r="I96" s="4"/>
      <c r="J96" s="4"/>
      <c r="K96" s="4"/>
      <c r="L96" s="4"/>
      <c r="M96" s="4"/>
      <c r="N96" s="4"/>
      <c r="O96" s="4"/>
      <c r="P96" s="4"/>
      <c r="Q96" s="4"/>
      <c r="R96" s="4"/>
      <c r="S96" s="4"/>
      <c r="T96" s="4"/>
      <c r="U96" s="4"/>
      <c r="V96" s="4"/>
      <c r="W96" s="4"/>
      <c r="X96" s="4"/>
      <c r="Y96" s="4"/>
      <c r="Z96" s="4"/>
    </row>
    <row r="97" spans="1:26">
      <c r="A97" s="10"/>
      <c r="B97" s="10"/>
      <c r="C97" s="4"/>
      <c r="D97" s="10"/>
      <c r="E97" s="10"/>
      <c r="F97" s="4"/>
      <c r="G97" s="4"/>
      <c r="H97" s="4"/>
      <c r="I97" s="4"/>
      <c r="J97" s="4"/>
      <c r="K97" s="4"/>
      <c r="L97" s="4"/>
      <c r="M97" s="4"/>
      <c r="N97" s="4"/>
      <c r="O97" s="4"/>
      <c r="P97" s="4"/>
      <c r="Q97" s="4"/>
      <c r="R97" s="4"/>
      <c r="S97" s="4"/>
      <c r="T97" s="4"/>
      <c r="U97" s="4"/>
      <c r="V97" s="4"/>
      <c r="W97" s="4"/>
      <c r="X97" s="4"/>
      <c r="Y97" s="4"/>
      <c r="Z97" s="4"/>
    </row>
    <row r="98" spans="1:26">
      <c r="A98" s="10"/>
      <c r="B98" s="10"/>
      <c r="C98" s="4"/>
      <c r="D98" s="10"/>
      <c r="E98" s="10"/>
      <c r="F98" s="4"/>
      <c r="G98" s="4"/>
      <c r="H98" s="4"/>
      <c r="I98" s="4"/>
      <c r="J98" s="4"/>
      <c r="K98" s="4"/>
      <c r="L98" s="4"/>
      <c r="M98" s="4"/>
      <c r="N98" s="4"/>
      <c r="O98" s="4"/>
      <c r="P98" s="4"/>
      <c r="Q98" s="4"/>
      <c r="R98" s="4"/>
      <c r="S98" s="4"/>
      <c r="T98" s="4"/>
      <c r="U98" s="4"/>
      <c r="V98" s="4"/>
      <c r="W98" s="4"/>
      <c r="X98" s="4"/>
      <c r="Y98" s="4"/>
      <c r="Z98" s="4"/>
    </row>
    <row r="99" spans="1:26">
      <c r="A99" s="10"/>
      <c r="B99" s="10"/>
      <c r="C99" s="4"/>
      <c r="D99" s="10"/>
      <c r="E99" s="10"/>
      <c r="F99" s="4"/>
      <c r="G99" s="4"/>
      <c r="H99" s="4"/>
      <c r="I99" s="4"/>
      <c r="J99" s="4"/>
      <c r="K99" s="4"/>
      <c r="L99" s="4"/>
      <c r="M99" s="4"/>
      <c r="N99" s="4"/>
      <c r="O99" s="4"/>
      <c r="P99" s="4"/>
      <c r="Q99" s="4"/>
      <c r="R99" s="4"/>
      <c r="S99" s="4"/>
      <c r="T99" s="4"/>
      <c r="U99" s="4"/>
      <c r="V99" s="4"/>
      <c r="W99" s="4"/>
      <c r="X99" s="4"/>
      <c r="Y99" s="4"/>
      <c r="Z99" s="4"/>
    </row>
    <row r="100" spans="1:26">
      <c r="A100" s="10"/>
      <c r="B100" s="10"/>
      <c r="C100" s="4"/>
      <c r="D100" s="10"/>
      <c r="E100" s="10"/>
      <c r="F100" s="4"/>
      <c r="G100" s="4"/>
      <c r="H100" s="4"/>
      <c r="I100" s="4"/>
      <c r="J100" s="4"/>
      <c r="K100" s="4"/>
      <c r="L100" s="4"/>
      <c r="M100" s="4"/>
      <c r="N100" s="4"/>
      <c r="O100" s="4"/>
      <c r="P100" s="4"/>
      <c r="Q100" s="4"/>
      <c r="R100" s="4"/>
      <c r="S100" s="4"/>
      <c r="T100" s="4"/>
      <c r="U100" s="4"/>
      <c r="V100" s="4"/>
      <c r="W100" s="4"/>
      <c r="X100" s="4"/>
      <c r="Y100" s="4"/>
      <c r="Z100" s="4"/>
    </row>
    <row r="101" spans="1:26">
      <c r="A101" s="10"/>
      <c r="B101" s="10"/>
      <c r="C101" s="4"/>
      <c r="D101" s="10"/>
      <c r="E101" s="10"/>
      <c r="F101" s="4"/>
      <c r="G101" s="4"/>
      <c r="H101" s="4"/>
      <c r="I101" s="4"/>
      <c r="J101" s="4"/>
      <c r="K101" s="4"/>
      <c r="L101" s="4"/>
      <c r="M101" s="4"/>
      <c r="N101" s="4"/>
      <c r="O101" s="4"/>
      <c r="P101" s="4"/>
      <c r="Q101" s="4"/>
      <c r="R101" s="4"/>
      <c r="S101" s="4"/>
      <c r="T101" s="4"/>
      <c r="U101" s="4"/>
      <c r="V101" s="4"/>
      <c r="W101" s="4"/>
      <c r="X101" s="4"/>
      <c r="Y101" s="4"/>
      <c r="Z101" s="4"/>
    </row>
    <row r="102" spans="1:26">
      <c r="A102" s="10"/>
      <c r="B102" s="10"/>
      <c r="C102" s="4"/>
      <c r="D102" s="10"/>
      <c r="E102" s="10"/>
      <c r="F102" s="4"/>
      <c r="G102" s="4"/>
      <c r="H102" s="4"/>
      <c r="I102" s="4"/>
      <c r="J102" s="4"/>
      <c r="K102" s="4"/>
      <c r="L102" s="4"/>
      <c r="M102" s="4"/>
      <c r="N102" s="4"/>
      <c r="O102" s="4"/>
      <c r="P102" s="4"/>
      <c r="Q102" s="4"/>
      <c r="R102" s="4"/>
      <c r="S102" s="4"/>
      <c r="T102" s="4"/>
      <c r="U102" s="4"/>
      <c r="V102" s="4"/>
      <c r="W102" s="4"/>
      <c r="X102" s="4"/>
      <c r="Y102" s="4"/>
      <c r="Z102" s="4"/>
    </row>
    <row r="103" spans="1:26">
      <c r="A103" s="10"/>
      <c r="B103" s="10"/>
      <c r="C103" s="4"/>
      <c r="D103" s="10"/>
      <c r="E103" s="10"/>
      <c r="F103" s="4"/>
      <c r="G103" s="4"/>
      <c r="H103" s="4"/>
      <c r="I103" s="4"/>
      <c r="J103" s="4"/>
      <c r="K103" s="4"/>
      <c r="L103" s="4"/>
      <c r="M103" s="4"/>
      <c r="N103" s="4"/>
      <c r="O103" s="4"/>
      <c r="P103" s="4"/>
      <c r="Q103" s="4"/>
      <c r="R103" s="4"/>
      <c r="S103" s="4"/>
      <c r="T103" s="4"/>
      <c r="U103" s="4"/>
      <c r="V103" s="4"/>
      <c r="W103" s="4"/>
      <c r="X103" s="4"/>
      <c r="Y103" s="4"/>
      <c r="Z103" s="4"/>
    </row>
    <row r="104" spans="1:26">
      <c r="A104" s="10"/>
      <c r="B104" s="10"/>
      <c r="C104" s="4"/>
      <c r="D104" s="10"/>
      <c r="E104" s="10"/>
      <c r="F104" s="4"/>
      <c r="G104" s="4"/>
      <c r="H104" s="4"/>
      <c r="I104" s="4"/>
      <c r="J104" s="4"/>
      <c r="K104" s="4"/>
      <c r="L104" s="4"/>
      <c r="M104" s="4"/>
      <c r="N104" s="4"/>
      <c r="O104" s="4"/>
      <c r="P104" s="4"/>
      <c r="Q104" s="4"/>
      <c r="R104" s="4"/>
      <c r="S104" s="4"/>
      <c r="T104" s="4"/>
      <c r="U104" s="4"/>
      <c r="V104" s="4"/>
      <c r="W104" s="4"/>
      <c r="X104" s="4"/>
      <c r="Y104" s="4"/>
      <c r="Z104" s="4"/>
    </row>
    <row r="105" spans="1:26">
      <c r="A105" s="10"/>
      <c r="B105" s="10"/>
      <c r="C105" s="4"/>
      <c r="D105" s="10"/>
      <c r="E105" s="10"/>
      <c r="F105" s="4"/>
      <c r="G105" s="4"/>
      <c r="H105" s="4"/>
      <c r="I105" s="4"/>
      <c r="J105" s="4"/>
      <c r="K105" s="4"/>
      <c r="L105" s="4"/>
      <c r="M105" s="4"/>
      <c r="N105" s="4"/>
      <c r="O105" s="4"/>
      <c r="P105" s="4"/>
      <c r="Q105" s="4"/>
      <c r="R105" s="4"/>
      <c r="S105" s="4"/>
      <c r="T105" s="4"/>
      <c r="U105" s="4"/>
      <c r="V105" s="4"/>
      <c r="W105" s="4"/>
      <c r="X105" s="4"/>
      <c r="Y105" s="4"/>
      <c r="Z105" s="4"/>
    </row>
    <row r="106" spans="1:26">
      <c r="A106" s="10"/>
      <c r="B106" s="10"/>
      <c r="C106" s="4"/>
      <c r="D106" s="10"/>
      <c r="E106" s="10"/>
      <c r="F106" s="4"/>
      <c r="G106" s="4"/>
      <c r="H106" s="4"/>
      <c r="I106" s="4"/>
      <c r="J106" s="4"/>
      <c r="K106" s="4"/>
      <c r="L106" s="4"/>
      <c r="M106" s="4"/>
      <c r="N106" s="4"/>
      <c r="O106" s="4"/>
      <c r="P106" s="4"/>
      <c r="Q106" s="4"/>
      <c r="R106" s="4"/>
      <c r="S106" s="4"/>
      <c r="T106" s="4"/>
      <c r="U106" s="4"/>
      <c r="V106" s="4"/>
      <c r="W106" s="4"/>
      <c r="X106" s="4"/>
      <c r="Y106" s="4"/>
      <c r="Z106" s="4"/>
    </row>
    <row r="107" spans="1:26">
      <c r="A107" s="10"/>
      <c r="B107" s="10"/>
      <c r="C107" s="4"/>
      <c r="D107" s="10"/>
      <c r="E107" s="10"/>
      <c r="F107" s="4"/>
      <c r="G107" s="4"/>
      <c r="H107" s="4"/>
      <c r="I107" s="4"/>
      <c r="J107" s="4"/>
      <c r="K107" s="4"/>
      <c r="L107" s="4"/>
      <c r="M107" s="4"/>
      <c r="N107" s="4"/>
      <c r="O107" s="4"/>
      <c r="P107" s="4"/>
      <c r="Q107" s="4"/>
      <c r="R107" s="4"/>
      <c r="S107" s="4"/>
      <c r="T107" s="4"/>
      <c r="U107" s="4"/>
      <c r="V107" s="4"/>
      <c r="W107" s="4"/>
      <c r="X107" s="4"/>
      <c r="Y107" s="4"/>
      <c r="Z107" s="4"/>
    </row>
    <row r="108" spans="1:26">
      <c r="A108" s="10"/>
      <c r="B108" s="10"/>
      <c r="C108" s="4"/>
      <c r="D108" s="10"/>
      <c r="E108" s="10"/>
      <c r="F108" s="4"/>
      <c r="G108" s="4"/>
      <c r="H108" s="4"/>
      <c r="I108" s="4"/>
      <c r="J108" s="4"/>
      <c r="K108" s="4"/>
      <c r="L108" s="4"/>
      <c r="M108" s="4"/>
      <c r="N108" s="4"/>
      <c r="O108" s="4"/>
      <c r="P108" s="4"/>
      <c r="Q108" s="4"/>
      <c r="R108" s="4"/>
      <c r="S108" s="4"/>
      <c r="T108" s="4"/>
      <c r="U108" s="4"/>
      <c r="V108" s="4"/>
      <c r="W108" s="4"/>
      <c r="X108" s="4"/>
      <c r="Y108" s="4"/>
      <c r="Z108" s="4"/>
    </row>
    <row r="109" spans="1:26">
      <c r="A109" s="10"/>
      <c r="B109" s="10"/>
      <c r="C109" s="4"/>
      <c r="D109" s="10"/>
      <c r="E109" s="10"/>
      <c r="F109" s="4"/>
      <c r="G109" s="4"/>
      <c r="H109" s="4"/>
      <c r="I109" s="4"/>
      <c r="J109" s="4"/>
      <c r="K109" s="4"/>
      <c r="L109" s="4"/>
      <c r="M109" s="4"/>
      <c r="N109" s="4"/>
      <c r="O109" s="4"/>
      <c r="P109" s="4"/>
      <c r="Q109" s="4"/>
      <c r="R109" s="4"/>
      <c r="S109" s="4"/>
      <c r="T109" s="4"/>
      <c r="U109" s="4"/>
      <c r="V109" s="4"/>
      <c r="W109" s="4"/>
      <c r="X109" s="4"/>
      <c r="Y109" s="4"/>
      <c r="Z109" s="4"/>
    </row>
    <row r="110" spans="1:26">
      <c r="A110" s="10"/>
      <c r="B110" s="10"/>
      <c r="C110" s="4"/>
      <c r="D110" s="10"/>
      <c r="E110" s="10"/>
      <c r="F110" s="4"/>
      <c r="G110" s="4"/>
      <c r="H110" s="4"/>
      <c r="I110" s="4"/>
      <c r="J110" s="4"/>
      <c r="K110" s="4"/>
      <c r="L110" s="4"/>
      <c r="M110" s="4"/>
      <c r="N110" s="4"/>
      <c r="O110" s="4"/>
      <c r="P110" s="4"/>
      <c r="Q110" s="4"/>
      <c r="R110" s="4"/>
      <c r="S110" s="4"/>
      <c r="T110" s="4"/>
      <c r="U110" s="4"/>
      <c r="V110" s="4"/>
      <c r="W110" s="4"/>
      <c r="X110" s="4"/>
      <c r="Y110" s="4"/>
      <c r="Z110" s="4"/>
    </row>
    <row r="111" spans="1:26">
      <c r="A111" s="10"/>
      <c r="B111" s="10"/>
      <c r="C111" s="4"/>
      <c r="D111" s="10"/>
      <c r="E111" s="10"/>
      <c r="F111" s="4"/>
      <c r="G111" s="4"/>
      <c r="H111" s="4"/>
      <c r="I111" s="4"/>
      <c r="J111" s="4"/>
      <c r="K111" s="4"/>
      <c r="L111" s="4"/>
      <c r="M111" s="4"/>
      <c r="N111" s="4"/>
      <c r="O111" s="4"/>
      <c r="P111" s="4"/>
      <c r="Q111" s="4"/>
      <c r="R111" s="4"/>
      <c r="S111" s="4"/>
      <c r="T111" s="4"/>
      <c r="U111" s="4"/>
      <c r="V111" s="4"/>
      <c r="W111" s="4"/>
      <c r="X111" s="4"/>
      <c r="Y111" s="4"/>
      <c r="Z111" s="4"/>
    </row>
    <row r="112" spans="1:26">
      <c r="A112" s="10"/>
      <c r="B112" s="10"/>
      <c r="C112" s="4"/>
      <c r="D112" s="10"/>
      <c r="E112" s="10"/>
      <c r="F112" s="4"/>
      <c r="G112" s="4"/>
      <c r="H112" s="4"/>
      <c r="I112" s="4"/>
      <c r="J112" s="4"/>
      <c r="K112" s="4"/>
      <c r="L112" s="4"/>
      <c r="M112" s="4"/>
      <c r="N112" s="4"/>
      <c r="O112" s="4"/>
      <c r="P112" s="4"/>
      <c r="Q112" s="4"/>
      <c r="R112" s="4"/>
      <c r="S112" s="4"/>
      <c r="T112" s="4"/>
      <c r="U112" s="4"/>
      <c r="V112" s="4"/>
      <c r="W112" s="4"/>
      <c r="X112" s="4"/>
      <c r="Y112" s="4"/>
      <c r="Z112" s="4"/>
    </row>
    <row r="113" spans="1:26">
      <c r="A113" s="10"/>
      <c r="B113" s="10"/>
      <c r="C113" s="4"/>
      <c r="D113" s="10"/>
      <c r="E113" s="10"/>
      <c r="F113" s="4"/>
      <c r="G113" s="4"/>
      <c r="H113" s="4"/>
      <c r="I113" s="4"/>
      <c r="J113" s="4"/>
      <c r="K113" s="4"/>
      <c r="L113" s="4"/>
      <c r="M113" s="4"/>
      <c r="N113" s="4"/>
      <c r="O113" s="4"/>
      <c r="P113" s="4"/>
      <c r="Q113" s="4"/>
      <c r="R113" s="4"/>
      <c r="S113" s="4"/>
      <c r="T113" s="4"/>
      <c r="U113" s="4"/>
      <c r="V113" s="4"/>
      <c r="W113" s="4"/>
      <c r="X113" s="4"/>
      <c r="Y113" s="4"/>
      <c r="Z113" s="4"/>
    </row>
    <row r="114" spans="1:26">
      <c r="A114" s="10"/>
      <c r="B114" s="10"/>
      <c r="C114" s="4"/>
      <c r="D114" s="10"/>
      <c r="E114" s="10"/>
      <c r="F114" s="4"/>
      <c r="G114" s="4"/>
      <c r="H114" s="4"/>
      <c r="I114" s="4"/>
      <c r="J114" s="4"/>
      <c r="K114" s="4"/>
      <c r="L114" s="4"/>
      <c r="M114" s="4"/>
      <c r="N114" s="4"/>
      <c r="O114" s="4"/>
      <c r="P114" s="4"/>
      <c r="Q114" s="4"/>
      <c r="R114" s="4"/>
      <c r="S114" s="4"/>
      <c r="T114" s="4"/>
      <c r="U114" s="4"/>
      <c r="V114" s="4"/>
      <c r="W114" s="4"/>
      <c r="X114" s="4"/>
      <c r="Y114" s="4"/>
      <c r="Z114" s="4"/>
    </row>
    <row r="115" spans="1:26">
      <c r="A115" s="10"/>
      <c r="B115" s="10"/>
      <c r="C115" s="4"/>
      <c r="D115" s="10"/>
      <c r="E115" s="10"/>
      <c r="F115" s="4"/>
      <c r="G115" s="4"/>
      <c r="H115" s="4"/>
      <c r="I115" s="4"/>
      <c r="J115" s="4"/>
      <c r="K115" s="4"/>
      <c r="L115" s="4"/>
      <c r="M115" s="4"/>
      <c r="N115" s="4"/>
      <c r="O115" s="4"/>
      <c r="P115" s="4"/>
      <c r="Q115" s="4"/>
      <c r="R115" s="4"/>
      <c r="S115" s="4"/>
      <c r="T115" s="4"/>
      <c r="U115" s="4"/>
      <c r="V115" s="4"/>
      <c r="W115" s="4"/>
      <c r="X115" s="4"/>
      <c r="Y115" s="4"/>
      <c r="Z115" s="4"/>
    </row>
    <row r="116" spans="1:26">
      <c r="A116" s="10"/>
      <c r="B116" s="10"/>
      <c r="C116" s="4"/>
      <c r="D116" s="10"/>
      <c r="E116" s="10"/>
      <c r="F116" s="4"/>
      <c r="G116" s="4"/>
      <c r="H116" s="4"/>
      <c r="I116" s="4"/>
      <c r="J116" s="4"/>
      <c r="K116" s="4"/>
      <c r="L116" s="4"/>
      <c r="M116" s="4"/>
      <c r="N116" s="4"/>
      <c r="O116" s="4"/>
      <c r="P116" s="4"/>
      <c r="Q116" s="4"/>
      <c r="R116" s="4"/>
      <c r="S116" s="4"/>
      <c r="T116" s="4"/>
      <c r="U116" s="4"/>
      <c r="V116" s="4"/>
      <c r="W116" s="4"/>
      <c r="X116" s="4"/>
      <c r="Y116" s="4"/>
      <c r="Z116" s="4"/>
    </row>
    <row r="117" spans="1:26">
      <c r="A117" s="10"/>
      <c r="B117" s="10"/>
      <c r="C117" s="4"/>
      <c r="D117" s="10"/>
      <c r="E117" s="10"/>
      <c r="F117" s="4"/>
      <c r="G117" s="4"/>
      <c r="H117" s="4"/>
      <c r="I117" s="4"/>
      <c r="J117" s="4"/>
      <c r="K117" s="4"/>
      <c r="L117" s="4"/>
      <c r="M117" s="4"/>
      <c r="N117" s="4"/>
      <c r="O117" s="4"/>
      <c r="P117" s="4"/>
      <c r="Q117" s="4"/>
      <c r="R117" s="4"/>
      <c r="S117" s="4"/>
      <c r="T117" s="4"/>
      <c r="U117" s="4"/>
      <c r="V117" s="4"/>
      <c r="W117" s="4"/>
      <c r="X117" s="4"/>
      <c r="Y117" s="4"/>
      <c r="Z117" s="4"/>
    </row>
    <row r="118" spans="1:26">
      <c r="A118" s="10"/>
      <c r="B118" s="10"/>
      <c r="C118" s="4"/>
      <c r="D118" s="10"/>
      <c r="E118" s="10"/>
      <c r="F118" s="4"/>
      <c r="G118" s="4"/>
      <c r="H118" s="4"/>
      <c r="I118" s="4"/>
      <c r="J118" s="4"/>
      <c r="K118" s="4"/>
      <c r="L118" s="4"/>
      <c r="M118" s="4"/>
      <c r="N118" s="4"/>
      <c r="O118" s="4"/>
      <c r="P118" s="4"/>
      <c r="Q118" s="4"/>
      <c r="R118" s="4"/>
      <c r="S118" s="4"/>
      <c r="T118" s="4"/>
      <c r="U118" s="4"/>
      <c r="V118" s="4"/>
      <c r="W118" s="4"/>
      <c r="X118" s="4"/>
      <c r="Y118" s="4"/>
      <c r="Z118" s="4"/>
    </row>
    <row r="119" spans="1:26">
      <c r="A119" s="10"/>
      <c r="B119" s="10"/>
      <c r="C119" s="4"/>
      <c r="D119" s="10"/>
      <c r="E119" s="10"/>
      <c r="F119" s="4"/>
      <c r="G119" s="4"/>
      <c r="H119" s="4"/>
      <c r="I119" s="4"/>
      <c r="J119" s="4"/>
      <c r="K119" s="4"/>
      <c r="L119" s="4"/>
      <c r="M119" s="4"/>
      <c r="N119" s="4"/>
      <c r="O119" s="4"/>
      <c r="P119" s="4"/>
      <c r="Q119" s="4"/>
      <c r="R119" s="4"/>
      <c r="S119" s="4"/>
      <c r="T119" s="4"/>
      <c r="U119" s="4"/>
      <c r="V119" s="4"/>
      <c r="W119" s="4"/>
      <c r="X119" s="4"/>
      <c r="Y119" s="4"/>
      <c r="Z119" s="4"/>
    </row>
    <row r="120" spans="1:26">
      <c r="A120" s="10"/>
      <c r="B120" s="10"/>
      <c r="C120" s="4"/>
      <c r="D120" s="10"/>
      <c r="E120" s="10"/>
      <c r="F120" s="4"/>
      <c r="G120" s="4"/>
      <c r="H120" s="4"/>
      <c r="I120" s="4"/>
      <c r="J120" s="4"/>
      <c r="K120" s="4"/>
      <c r="L120" s="4"/>
      <c r="M120" s="4"/>
      <c r="N120" s="4"/>
      <c r="O120" s="4"/>
      <c r="P120" s="4"/>
      <c r="Q120" s="4"/>
      <c r="R120" s="4"/>
      <c r="S120" s="4"/>
      <c r="T120" s="4"/>
      <c r="U120" s="4"/>
      <c r="V120" s="4"/>
      <c r="W120" s="4"/>
      <c r="X120" s="4"/>
      <c r="Y120" s="4"/>
      <c r="Z120" s="4"/>
    </row>
    <row r="121" spans="1:26">
      <c r="A121" s="10"/>
      <c r="B121" s="10"/>
      <c r="C121" s="4"/>
      <c r="D121" s="10"/>
      <c r="E121" s="10"/>
      <c r="F121" s="4"/>
      <c r="G121" s="4"/>
      <c r="H121" s="4"/>
      <c r="I121" s="4"/>
      <c r="J121" s="4"/>
      <c r="K121" s="4"/>
      <c r="L121" s="4"/>
      <c r="M121" s="4"/>
      <c r="N121" s="4"/>
      <c r="O121" s="4"/>
      <c r="P121" s="4"/>
      <c r="Q121" s="4"/>
      <c r="R121" s="4"/>
      <c r="S121" s="4"/>
      <c r="T121" s="4"/>
      <c r="U121" s="4"/>
      <c r="V121" s="4"/>
      <c r="W121" s="4"/>
      <c r="X121" s="4"/>
      <c r="Y121" s="4"/>
      <c r="Z121" s="4"/>
    </row>
    <row r="122" spans="1:26">
      <c r="A122" s="10"/>
      <c r="B122" s="10"/>
      <c r="C122" s="4"/>
      <c r="D122" s="10"/>
      <c r="E122" s="10"/>
      <c r="F122" s="4"/>
      <c r="G122" s="4"/>
      <c r="H122" s="4"/>
      <c r="I122" s="4"/>
      <c r="J122" s="4"/>
      <c r="K122" s="4"/>
      <c r="L122" s="4"/>
      <c r="M122" s="4"/>
      <c r="N122" s="4"/>
      <c r="O122" s="4"/>
      <c r="P122" s="4"/>
      <c r="Q122" s="4"/>
      <c r="R122" s="4"/>
      <c r="S122" s="4"/>
      <c r="T122" s="4"/>
      <c r="U122" s="4"/>
      <c r="V122" s="4"/>
      <c r="W122" s="4"/>
      <c r="X122" s="4"/>
      <c r="Y122" s="4"/>
      <c r="Z122" s="4"/>
    </row>
    <row r="123" spans="1:26">
      <c r="A123" s="10"/>
      <c r="B123" s="10"/>
      <c r="C123" s="4"/>
      <c r="D123" s="10"/>
      <c r="E123" s="10"/>
      <c r="F123" s="4"/>
      <c r="G123" s="4"/>
      <c r="H123" s="4"/>
      <c r="I123" s="4"/>
      <c r="J123" s="4"/>
      <c r="K123" s="4"/>
      <c r="L123" s="4"/>
      <c r="M123" s="4"/>
      <c r="N123" s="4"/>
      <c r="O123" s="4"/>
      <c r="P123" s="4"/>
      <c r="Q123" s="4"/>
      <c r="R123" s="4"/>
      <c r="S123" s="4"/>
      <c r="T123" s="4"/>
      <c r="U123" s="4"/>
      <c r="V123" s="4"/>
      <c r="W123" s="4"/>
      <c r="X123" s="4"/>
      <c r="Y123" s="4"/>
      <c r="Z123" s="4"/>
    </row>
    <row r="124" spans="1:26">
      <c r="A124" s="10"/>
      <c r="B124" s="10"/>
      <c r="C124" s="4"/>
      <c r="D124" s="10"/>
      <c r="E124" s="10"/>
      <c r="F124" s="4"/>
      <c r="G124" s="4"/>
      <c r="H124" s="4"/>
      <c r="I124" s="4"/>
      <c r="J124" s="4"/>
      <c r="K124" s="4"/>
      <c r="L124" s="4"/>
      <c r="M124" s="4"/>
      <c r="N124" s="4"/>
      <c r="O124" s="4"/>
      <c r="P124" s="4"/>
      <c r="Q124" s="4"/>
      <c r="R124" s="4"/>
      <c r="S124" s="4"/>
      <c r="T124" s="4"/>
      <c r="U124" s="4"/>
      <c r="V124" s="4"/>
      <c r="W124" s="4"/>
      <c r="X124" s="4"/>
      <c r="Y124" s="4"/>
      <c r="Z124" s="4"/>
    </row>
    <row r="125" spans="1:26">
      <c r="A125" s="10"/>
      <c r="B125" s="10"/>
      <c r="C125" s="4"/>
      <c r="D125" s="10"/>
      <c r="E125" s="10"/>
      <c r="F125" s="4"/>
      <c r="G125" s="4"/>
      <c r="H125" s="4"/>
      <c r="I125" s="4"/>
      <c r="J125" s="4"/>
      <c r="K125" s="4"/>
      <c r="L125" s="4"/>
      <c r="M125" s="4"/>
      <c r="N125" s="4"/>
      <c r="O125" s="4"/>
      <c r="P125" s="4"/>
      <c r="Q125" s="4"/>
      <c r="R125" s="4"/>
      <c r="S125" s="4"/>
      <c r="T125" s="4"/>
      <c r="U125" s="4"/>
      <c r="V125" s="4"/>
      <c r="W125" s="4"/>
      <c r="X125" s="4"/>
      <c r="Y125" s="4"/>
      <c r="Z125" s="4"/>
    </row>
    <row r="126" spans="1:26">
      <c r="A126" s="10"/>
      <c r="B126" s="10"/>
      <c r="C126" s="4"/>
      <c r="D126" s="10"/>
      <c r="E126" s="10"/>
      <c r="F126" s="4"/>
      <c r="G126" s="4"/>
      <c r="H126" s="4"/>
      <c r="I126" s="4"/>
      <c r="J126" s="4"/>
      <c r="K126" s="4"/>
      <c r="L126" s="4"/>
      <c r="M126" s="4"/>
      <c r="N126" s="4"/>
      <c r="O126" s="4"/>
      <c r="P126" s="4"/>
      <c r="Q126" s="4"/>
      <c r="R126" s="4"/>
      <c r="S126" s="4"/>
      <c r="T126" s="4"/>
      <c r="U126" s="4"/>
      <c r="V126" s="4"/>
      <c r="W126" s="4"/>
      <c r="X126" s="4"/>
      <c r="Y126" s="4"/>
      <c r="Z126" s="4"/>
    </row>
    <row r="127" spans="1:26">
      <c r="A127" s="10"/>
      <c r="B127" s="10"/>
      <c r="C127" s="4"/>
      <c r="D127" s="10"/>
      <c r="E127" s="10"/>
      <c r="F127" s="4"/>
      <c r="G127" s="4"/>
      <c r="H127" s="4"/>
      <c r="I127" s="4"/>
      <c r="J127" s="4"/>
      <c r="K127" s="4"/>
      <c r="L127" s="4"/>
      <c r="M127" s="4"/>
      <c r="N127" s="4"/>
      <c r="O127" s="4"/>
      <c r="P127" s="4"/>
      <c r="Q127" s="4"/>
      <c r="R127" s="4"/>
      <c r="S127" s="4"/>
      <c r="T127" s="4"/>
      <c r="U127" s="4"/>
      <c r="V127" s="4"/>
      <c r="W127" s="4"/>
      <c r="X127" s="4"/>
      <c r="Y127" s="4"/>
      <c r="Z127" s="4"/>
    </row>
    <row r="128" spans="1:26">
      <c r="A128" s="10"/>
      <c r="B128" s="10"/>
      <c r="C128" s="4"/>
      <c r="D128" s="10"/>
      <c r="E128" s="10"/>
      <c r="F128" s="4"/>
      <c r="G128" s="4"/>
      <c r="H128" s="4"/>
      <c r="I128" s="4"/>
      <c r="J128" s="4"/>
      <c r="K128" s="4"/>
      <c r="L128" s="4"/>
      <c r="M128" s="4"/>
      <c r="N128" s="4"/>
      <c r="O128" s="4"/>
      <c r="P128" s="4"/>
      <c r="Q128" s="4"/>
      <c r="R128" s="4"/>
      <c r="S128" s="4"/>
      <c r="T128" s="4"/>
      <c r="U128" s="4"/>
      <c r="V128" s="4"/>
      <c r="W128" s="4"/>
      <c r="X128" s="4"/>
      <c r="Y128" s="4"/>
      <c r="Z128" s="4"/>
    </row>
    <row r="129" spans="1:26">
      <c r="A129" s="10"/>
      <c r="B129" s="10"/>
      <c r="C129" s="4"/>
      <c r="D129" s="10"/>
      <c r="E129" s="10"/>
      <c r="F129" s="4"/>
      <c r="G129" s="4"/>
      <c r="H129" s="4"/>
      <c r="I129" s="4"/>
      <c r="J129" s="4"/>
      <c r="K129" s="4"/>
      <c r="L129" s="4"/>
      <c r="M129" s="4"/>
      <c r="N129" s="4"/>
      <c r="O129" s="4"/>
      <c r="P129" s="4"/>
      <c r="Q129" s="4"/>
      <c r="R129" s="4"/>
      <c r="S129" s="4"/>
      <c r="T129" s="4"/>
      <c r="U129" s="4"/>
      <c r="V129" s="4"/>
      <c r="W129" s="4"/>
      <c r="X129" s="4"/>
      <c r="Y129" s="4"/>
      <c r="Z129" s="4"/>
    </row>
    <row r="130" spans="1:26">
      <c r="A130" s="10"/>
      <c r="B130" s="10"/>
      <c r="C130" s="4"/>
      <c r="D130" s="10"/>
      <c r="E130" s="10"/>
      <c r="F130" s="4"/>
      <c r="G130" s="4"/>
      <c r="H130" s="4"/>
      <c r="I130" s="4"/>
      <c r="J130" s="4"/>
      <c r="K130" s="4"/>
      <c r="L130" s="4"/>
      <c r="M130" s="4"/>
      <c r="N130" s="4"/>
      <c r="O130" s="4"/>
      <c r="P130" s="4"/>
      <c r="Q130" s="4"/>
      <c r="R130" s="4"/>
      <c r="S130" s="4"/>
      <c r="T130" s="4"/>
      <c r="U130" s="4"/>
      <c r="V130" s="4"/>
      <c r="W130" s="4"/>
      <c r="X130" s="4"/>
      <c r="Y130" s="4"/>
      <c r="Z130" s="4"/>
    </row>
    <row r="131" spans="1:26">
      <c r="A131" s="10"/>
      <c r="B131" s="10"/>
      <c r="C131" s="4"/>
      <c r="D131" s="10"/>
      <c r="E131" s="10"/>
      <c r="F131" s="4"/>
      <c r="G131" s="4"/>
      <c r="H131" s="4"/>
      <c r="I131" s="4"/>
      <c r="J131" s="4"/>
      <c r="K131" s="4"/>
      <c r="L131" s="4"/>
      <c r="M131" s="4"/>
      <c r="N131" s="4"/>
      <c r="O131" s="4"/>
      <c r="P131" s="4"/>
      <c r="Q131" s="4"/>
      <c r="R131" s="4"/>
      <c r="S131" s="4"/>
      <c r="T131" s="4"/>
      <c r="U131" s="4"/>
      <c r="V131" s="4"/>
      <c r="W131" s="4"/>
      <c r="X131" s="4"/>
      <c r="Y131" s="4"/>
      <c r="Z131" s="4"/>
    </row>
    <row r="132" spans="1:26">
      <c r="A132" s="10"/>
      <c r="B132" s="10"/>
      <c r="C132" s="4"/>
      <c r="D132" s="10"/>
      <c r="E132" s="10"/>
      <c r="F132" s="4"/>
      <c r="G132" s="4"/>
      <c r="H132" s="4"/>
      <c r="I132" s="4"/>
      <c r="J132" s="4"/>
      <c r="K132" s="4"/>
      <c r="L132" s="4"/>
      <c r="M132" s="4"/>
      <c r="N132" s="4"/>
      <c r="O132" s="4"/>
      <c r="P132" s="4"/>
      <c r="Q132" s="4"/>
      <c r="R132" s="4"/>
      <c r="S132" s="4"/>
      <c r="T132" s="4"/>
      <c r="U132" s="4"/>
      <c r="V132" s="4"/>
      <c r="W132" s="4"/>
      <c r="X132" s="4"/>
      <c r="Y132" s="4"/>
      <c r="Z132" s="4"/>
    </row>
    <row r="133" spans="1:26">
      <c r="A133" s="10"/>
      <c r="B133" s="10"/>
      <c r="C133" s="4"/>
      <c r="D133" s="10"/>
      <c r="E133" s="10"/>
      <c r="F133" s="4"/>
      <c r="G133" s="4"/>
      <c r="H133" s="4"/>
      <c r="I133" s="4"/>
      <c r="J133" s="4"/>
      <c r="K133" s="4"/>
      <c r="L133" s="4"/>
      <c r="M133" s="4"/>
      <c r="N133" s="4"/>
      <c r="O133" s="4"/>
      <c r="P133" s="4"/>
      <c r="Q133" s="4"/>
      <c r="R133" s="4"/>
      <c r="S133" s="4"/>
      <c r="T133" s="4"/>
      <c r="U133" s="4"/>
      <c r="V133" s="4"/>
      <c r="W133" s="4"/>
      <c r="X133" s="4"/>
      <c r="Y133" s="4"/>
      <c r="Z133" s="4"/>
    </row>
    <row r="134" spans="1:26">
      <c r="A134" s="10"/>
      <c r="B134" s="10"/>
      <c r="C134" s="4"/>
      <c r="D134" s="10"/>
      <c r="E134" s="10"/>
      <c r="F134" s="4"/>
      <c r="G134" s="4"/>
      <c r="H134" s="4"/>
      <c r="I134" s="4"/>
      <c r="J134" s="4"/>
      <c r="K134" s="4"/>
      <c r="L134" s="4"/>
      <c r="M134" s="4"/>
      <c r="N134" s="4"/>
      <c r="O134" s="4"/>
      <c r="P134" s="4"/>
      <c r="Q134" s="4"/>
      <c r="R134" s="4"/>
      <c r="S134" s="4"/>
      <c r="T134" s="4"/>
      <c r="U134" s="4"/>
      <c r="V134" s="4"/>
      <c r="W134" s="4"/>
      <c r="X134" s="4"/>
      <c r="Y134" s="4"/>
      <c r="Z134" s="4"/>
    </row>
    <row r="135" spans="1:26">
      <c r="A135" s="10"/>
      <c r="B135" s="10"/>
      <c r="C135" s="4"/>
      <c r="D135" s="10"/>
      <c r="E135" s="10"/>
      <c r="F135" s="4"/>
      <c r="G135" s="4"/>
      <c r="H135" s="4"/>
      <c r="I135" s="4"/>
      <c r="J135" s="4"/>
      <c r="K135" s="4"/>
      <c r="L135" s="4"/>
      <c r="M135" s="4"/>
      <c r="N135" s="4"/>
      <c r="O135" s="4"/>
      <c r="P135" s="4"/>
      <c r="Q135" s="4"/>
      <c r="R135" s="4"/>
      <c r="S135" s="4"/>
      <c r="T135" s="4"/>
      <c r="U135" s="4"/>
      <c r="V135" s="4"/>
      <c r="W135" s="4"/>
      <c r="X135" s="4"/>
      <c r="Y135" s="4"/>
      <c r="Z135" s="4"/>
    </row>
    <row r="136" spans="1:26">
      <c r="A136" s="10"/>
      <c r="B136" s="10"/>
      <c r="C136" s="4"/>
      <c r="D136" s="10"/>
      <c r="E136" s="10"/>
      <c r="F136" s="4"/>
      <c r="G136" s="4"/>
      <c r="H136" s="4"/>
      <c r="I136" s="4"/>
      <c r="J136" s="4"/>
      <c r="K136" s="4"/>
      <c r="L136" s="4"/>
      <c r="M136" s="4"/>
      <c r="N136" s="4"/>
      <c r="O136" s="4"/>
      <c r="P136" s="4"/>
      <c r="Q136" s="4"/>
      <c r="R136" s="4"/>
      <c r="S136" s="4"/>
      <c r="T136" s="4"/>
      <c r="U136" s="4"/>
      <c r="V136" s="4"/>
      <c r="W136" s="4"/>
      <c r="X136" s="4"/>
      <c r="Y136" s="4"/>
      <c r="Z136" s="4"/>
    </row>
    <row r="137" spans="1:26">
      <c r="A137" s="10"/>
      <c r="B137" s="10"/>
      <c r="C137" s="4"/>
      <c r="D137" s="10"/>
      <c r="E137" s="10"/>
      <c r="F137" s="4"/>
      <c r="G137" s="4"/>
      <c r="H137" s="4"/>
      <c r="I137" s="4"/>
      <c r="J137" s="4"/>
      <c r="K137" s="4"/>
      <c r="L137" s="4"/>
      <c r="M137" s="4"/>
      <c r="N137" s="4"/>
      <c r="O137" s="4"/>
      <c r="P137" s="4"/>
      <c r="Q137" s="4"/>
      <c r="R137" s="4"/>
      <c r="S137" s="4"/>
      <c r="T137" s="4"/>
      <c r="U137" s="4"/>
      <c r="V137" s="4"/>
      <c r="W137" s="4"/>
      <c r="X137" s="4"/>
      <c r="Y137" s="4"/>
      <c r="Z137" s="4"/>
    </row>
    <row r="138" spans="1:26">
      <c r="A138" s="10"/>
      <c r="B138" s="10"/>
      <c r="C138" s="4"/>
      <c r="D138" s="10"/>
      <c r="E138" s="10"/>
      <c r="F138" s="4"/>
      <c r="G138" s="4"/>
      <c r="H138" s="4"/>
      <c r="I138" s="4"/>
      <c r="J138" s="4"/>
      <c r="K138" s="4"/>
      <c r="L138" s="4"/>
      <c r="M138" s="4"/>
      <c r="N138" s="4"/>
      <c r="O138" s="4"/>
      <c r="P138" s="4"/>
      <c r="Q138" s="4"/>
      <c r="R138" s="4"/>
      <c r="S138" s="4"/>
      <c r="T138" s="4"/>
      <c r="U138" s="4"/>
      <c r="V138" s="4"/>
      <c r="W138" s="4"/>
      <c r="X138" s="4"/>
      <c r="Y138" s="4"/>
      <c r="Z138" s="4"/>
    </row>
    <row r="139" spans="1:26">
      <c r="A139" s="10"/>
      <c r="B139" s="10"/>
      <c r="C139" s="4"/>
      <c r="D139" s="10"/>
      <c r="E139" s="10"/>
      <c r="F139" s="4"/>
      <c r="G139" s="4"/>
      <c r="H139" s="4"/>
      <c r="I139" s="4"/>
      <c r="J139" s="4"/>
      <c r="K139" s="4"/>
      <c r="L139" s="4"/>
      <c r="M139" s="4"/>
      <c r="N139" s="4"/>
      <c r="O139" s="4"/>
      <c r="P139" s="4"/>
      <c r="Q139" s="4"/>
      <c r="R139" s="4"/>
      <c r="S139" s="4"/>
      <c r="T139" s="4"/>
      <c r="U139" s="4"/>
      <c r="V139" s="4"/>
      <c r="W139" s="4"/>
      <c r="X139" s="4"/>
      <c r="Y139" s="4"/>
      <c r="Z139" s="4"/>
    </row>
    <row r="140" spans="1:26">
      <c r="A140" s="10"/>
      <c r="B140" s="10"/>
      <c r="C140" s="4"/>
      <c r="D140" s="10"/>
      <c r="E140" s="10"/>
      <c r="F140" s="4"/>
      <c r="G140" s="4"/>
      <c r="H140" s="4"/>
      <c r="I140" s="4"/>
      <c r="J140" s="4"/>
      <c r="K140" s="4"/>
      <c r="L140" s="4"/>
      <c r="M140" s="4"/>
      <c r="N140" s="4"/>
      <c r="O140" s="4"/>
      <c r="P140" s="4"/>
      <c r="Q140" s="4"/>
      <c r="R140" s="4"/>
      <c r="S140" s="4"/>
      <c r="T140" s="4"/>
      <c r="U140" s="4"/>
      <c r="V140" s="4"/>
      <c r="W140" s="4"/>
      <c r="X140" s="4"/>
      <c r="Y140" s="4"/>
      <c r="Z140" s="4"/>
    </row>
    <row r="141" spans="1:26">
      <c r="A141" s="10"/>
      <c r="B141" s="10"/>
      <c r="C141" s="4"/>
      <c r="D141" s="10"/>
      <c r="E141" s="10"/>
      <c r="F141" s="4"/>
      <c r="G141" s="4"/>
      <c r="H141" s="4"/>
      <c r="I141" s="4"/>
      <c r="J141" s="4"/>
      <c r="K141" s="4"/>
      <c r="L141" s="4"/>
      <c r="M141" s="4"/>
      <c r="N141" s="4"/>
      <c r="O141" s="4"/>
      <c r="P141" s="4"/>
      <c r="Q141" s="4"/>
      <c r="R141" s="4"/>
      <c r="S141" s="4"/>
      <c r="T141" s="4"/>
      <c r="U141" s="4"/>
      <c r="V141" s="4"/>
      <c r="W141" s="4"/>
      <c r="X141" s="4"/>
      <c r="Y141" s="4"/>
      <c r="Z141" s="4"/>
    </row>
    <row r="142" spans="1:26">
      <c r="A142" s="10"/>
      <c r="B142" s="10"/>
      <c r="C142" s="4"/>
      <c r="D142" s="10"/>
      <c r="E142" s="10"/>
      <c r="F142" s="4"/>
      <c r="G142" s="4"/>
      <c r="H142" s="4"/>
      <c r="I142" s="4"/>
      <c r="J142" s="4"/>
      <c r="K142" s="4"/>
      <c r="L142" s="4"/>
      <c r="M142" s="4"/>
      <c r="N142" s="4"/>
      <c r="O142" s="4"/>
      <c r="P142" s="4"/>
      <c r="Q142" s="4"/>
      <c r="R142" s="4"/>
      <c r="S142" s="4"/>
      <c r="T142" s="4"/>
      <c r="U142" s="4"/>
      <c r="V142" s="4"/>
      <c r="W142" s="4"/>
      <c r="X142" s="4"/>
      <c r="Y142" s="4"/>
      <c r="Z142" s="4"/>
    </row>
    <row r="143" spans="1:26">
      <c r="A143" s="10"/>
      <c r="B143" s="10"/>
      <c r="C143" s="4"/>
      <c r="D143" s="10"/>
      <c r="E143" s="10"/>
      <c r="F143" s="4"/>
      <c r="G143" s="4"/>
      <c r="H143" s="4"/>
      <c r="I143" s="4"/>
      <c r="J143" s="4"/>
      <c r="K143" s="4"/>
      <c r="L143" s="4"/>
      <c r="M143" s="4"/>
      <c r="N143" s="4"/>
      <c r="O143" s="4"/>
      <c r="P143" s="4"/>
      <c r="Q143" s="4"/>
      <c r="R143" s="4"/>
      <c r="S143" s="4"/>
      <c r="T143" s="4"/>
      <c r="U143" s="4"/>
      <c r="V143" s="4"/>
      <c r="W143" s="4"/>
      <c r="X143" s="4"/>
      <c r="Y143" s="4"/>
      <c r="Z143" s="4"/>
    </row>
    <row r="144" spans="1:26">
      <c r="A144" s="10"/>
      <c r="B144" s="10"/>
      <c r="C144" s="4"/>
      <c r="D144" s="10"/>
      <c r="E144" s="10"/>
      <c r="F144" s="4"/>
      <c r="G144" s="4"/>
      <c r="H144" s="4"/>
      <c r="I144" s="4"/>
      <c r="J144" s="4"/>
      <c r="K144" s="4"/>
      <c r="L144" s="4"/>
      <c r="M144" s="4"/>
      <c r="N144" s="4"/>
      <c r="O144" s="4"/>
      <c r="P144" s="4"/>
      <c r="Q144" s="4"/>
      <c r="R144" s="4"/>
      <c r="S144" s="4"/>
      <c r="T144" s="4"/>
      <c r="U144" s="4"/>
      <c r="V144" s="4"/>
      <c r="W144" s="4"/>
      <c r="X144" s="4"/>
      <c r="Y144" s="4"/>
      <c r="Z144" s="4"/>
    </row>
    <row r="145" spans="1:26">
      <c r="A145" s="10"/>
      <c r="B145" s="10"/>
      <c r="C145" s="4"/>
      <c r="D145" s="10"/>
      <c r="E145" s="10"/>
      <c r="F145" s="4"/>
      <c r="G145" s="4"/>
      <c r="H145" s="4"/>
      <c r="I145" s="4"/>
      <c r="J145" s="4"/>
      <c r="K145" s="4"/>
      <c r="L145" s="4"/>
      <c r="M145" s="4"/>
      <c r="N145" s="4"/>
      <c r="O145" s="4"/>
      <c r="P145" s="4"/>
      <c r="Q145" s="4"/>
      <c r="R145" s="4"/>
      <c r="S145" s="4"/>
      <c r="T145" s="4"/>
      <c r="U145" s="4"/>
      <c r="V145" s="4"/>
      <c r="W145" s="4"/>
      <c r="X145" s="4"/>
      <c r="Y145" s="4"/>
      <c r="Z145" s="4"/>
    </row>
    <row r="146" spans="1:26">
      <c r="A146" s="10"/>
      <c r="B146" s="10"/>
      <c r="C146" s="4"/>
      <c r="D146" s="10"/>
      <c r="E146" s="10"/>
      <c r="F146" s="4"/>
      <c r="G146" s="4"/>
      <c r="H146" s="4"/>
      <c r="I146" s="4"/>
      <c r="J146" s="4"/>
      <c r="K146" s="4"/>
      <c r="L146" s="4"/>
      <c r="M146" s="4"/>
      <c r="N146" s="4"/>
      <c r="O146" s="4"/>
      <c r="P146" s="4"/>
      <c r="Q146" s="4"/>
      <c r="R146" s="4"/>
      <c r="S146" s="4"/>
      <c r="T146" s="4"/>
      <c r="U146" s="4"/>
      <c r="V146" s="4"/>
      <c r="W146" s="4"/>
      <c r="X146" s="4"/>
      <c r="Y146" s="4"/>
      <c r="Z146" s="4"/>
    </row>
    <row r="147" spans="1:26">
      <c r="A147" s="10"/>
      <c r="B147" s="10"/>
      <c r="C147" s="4"/>
      <c r="D147" s="10"/>
      <c r="E147" s="10"/>
      <c r="F147" s="4"/>
      <c r="G147" s="4"/>
      <c r="H147" s="4"/>
      <c r="I147" s="4"/>
      <c r="J147" s="4"/>
      <c r="K147" s="4"/>
      <c r="L147" s="4"/>
      <c r="M147" s="4"/>
      <c r="N147" s="4"/>
      <c r="O147" s="4"/>
      <c r="P147" s="4"/>
      <c r="Q147" s="4"/>
      <c r="R147" s="4"/>
      <c r="S147" s="4"/>
      <c r="T147" s="4"/>
      <c r="U147" s="4"/>
      <c r="V147" s="4"/>
      <c r="W147" s="4"/>
      <c r="X147" s="4"/>
      <c r="Y147" s="4"/>
      <c r="Z147" s="4"/>
    </row>
    <row r="148" spans="1:26">
      <c r="A148" s="10"/>
      <c r="B148" s="10"/>
      <c r="C148" s="4"/>
      <c r="D148" s="10"/>
      <c r="E148" s="10"/>
      <c r="F148" s="4"/>
      <c r="G148" s="4"/>
      <c r="H148" s="4"/>
      <c r="I148" s="4"/>
      <c r="J148" s="4"/>
      <c r="K148" s="4"/>
      <c r="L148" s="4"/>
      <c r="M148" s="4"/>
      <c r="N148" s="4"/>
      <c r="O148" s="4"/>
      <c r="P148" s="4"/>
      <c r="Q148" s="4"/>
      <c r="R148" s="4"/>
      <c r="S148" s="4"/>
      <c r="T148" s="4"/>
      <c r="U148" s="4"/>
      <c r="V148" s="4"/>
      <c r="W148" s="4"/>
      <c r="X148" s="4"/>
      <c r="Y148" s="4"/>
      <c r="Z148" s="4"/>
    </row>
    <row r="149" spans="1:26">
      <c r="A149" s="10"/>
      <c r="B149" s="10"/>
      <c r="C149" s="4"/>
      <c r="D149" s="10"/>
      <c r="E149" s="10"/>
      <c r="F149" s="4"/>
      <c r="G149" s="4"/>
      <c r="H149" s="4"/>
      <c r="I149" s="4"/>
      <c r="J149" s="4"/>
      <c r="K149" s="4"/>
      <c r="L149" s="4"/>
      <c r="M149" s="4"/>
      <c r="N149" s="4"/>
      <c r="O149" s="4"/>
      <c r="P149" s="4"/>
      <c r="Q149" s="4"/>
      <c r="R149" s="4"/>
      <c r="S149" s="4"/>
      <c r="T149" s="4"/>
      <c r="U149" s="4"/>
      <c r="V149" s="4"/>
      <c r="W149" s="4"/>
      <c r="X149" s="4"/>
      <c r="Y149" s="4"/>
      <c r="Z149" s="4"/>
    </row>
    <row r="150" spans="1:26">
      <c r="A150" s="10"/>
      <c r="B150" s="10"/>
      <c r="C150" s="4"/>
      <c r="D150" s="10"/>
      <c r="E150" s="10"/>
      <c r="F150" s="4"/>
      <c r="G150" s="4"/>
      <c r="H150" s="4"/>
      <c r="I150" s="4"/>
      <c r="J150" s="4"/>
      <c r="K150" s="4"/>
      <c r="L150" s="4"/>
      <c r="M150" s="4"/>
      <c r="N150" s="4"/>
      <c r="O150" s="4"/>
      <c r="P150" s="4"/>
      <c r="Q150" s="4"/>
      <c r="R150" s="4"/>
      <c r="S150" s="4"/>
      <c r="T150" s="4"/>
      <c r="U150" s="4"/>
      <c r="V150" s="4"/>
      <c r="W150" s="4"/>
      <c r="X150" s="4"/>
      <c r="Y150" s="4"/>
      <c r="Z150" s="4"/>
    </row>
    <row r="151" spans="1:26">
      <c r="A151" s="10"/>
      <c r="B151" s="10"/>
      <c r="C151" s="4"/>
      <c r="D151" s="10"/>
      <c r="E151" s="10"/>
      <c r="F151" s="4"/>
      <c r="G151" s="4"/>
      <c r="H151" s="4"/>
      <c r="I151" s="4"/>
      <c r="J151" s="4"/>
      <c r="K151" s="4"/>
      <c r="L151" s="4"/>
      <c r="M151" s="4"/>
      <c r="N151" s="4"/>
      <c r="O151" s="4"/>
      <c r="P151" s="4"/>
      <c r="Q151" s="4"/>
      <c r="R151" s="4"/>
      <c r="S151" s="4"/>
      <c r="T151" s="4"/>
      <c r="U151" s="4"/>
      <c r="V151" s="4"/>
      <c r="W151" s="4"/>
      <c r="X151" s="4"/>
      <c r="Y151" s="4"/>
      <c r="Z151" s="4"/>
    </row>
    <row r="152" spans="1:26">
      <c r="A152" s="10"/>
      <c r="B152" s="10"/>
      <c r="C152" s="4"/>
      <c r="D152" s="10"/>
      <c r="E152" s="10"/>
      <c r="F152" s="4"/>
      <c r="G152" s="4"/>
      <c r="H152" s="4"/>
      <c r="I152" s="4"/>
      <c r="J152" s="4"/>
      <c r="K152" s="4"/>
      <c r="L152" s="4"/>
      <c r="M152" s="4"/>
      <c r="N152" s="4"/>
      <c r="O152" s="4"/>
      <c r="P152" s="4"/>
      <c r="Q152" s="4"/>
      <c r="R152" s="4"/>
      <c r="S152" s="4"/>
      <c r="T152" s="4"/>
      <c r="U152" s="4"/>
      <c r="V152" s="4"/>
      <c r="W152" s="4"/>
      <c r="X152" s="4"/>
      <c r="Y152" s="4"/>
      <c r="Z152" s="4"/>
    </row>
    <row r="153" spans="1:26">
      <c r="A153" s="10"/>
      <c r="B153" s="10"/>
      <c r="C153" s="4"/>
      <c r="D153" s="10"/>
      <c r="E153" s="10"/>
      <c r="F153" s="4"/>
      <c r="G153" s="4"/>
      <c r="H153" s="4"/>
      <c r="I153" s="4"/>
      <c r="J153" s="4"/>
      <c r="K153" s="4"/>
      <c r="L153" s="4"/>
      <c r="M153" s="4"/>
      <c r="N153" s="4"/>
      <c r="O153" s="4"/>
      <c r="P153" s="4"/>
      <c r="Q153" s="4"/>
      <c r="R153" s="4"/>
      <c r="S153" s="4"/>
      <c r="T153" s="4"/>
      <c r="U153" s="4"/>
      <c r="V153" s="4"/>
      <c r="W153" s="4"/>
      <c r="X153" s="4"/>
      <c r="Y153" s="4"/>
      <c r="Z153" s="4"/>
    </row>
    <row r="154" spans="1:26">
      <c r="A154" s="10"/>
      <c r="B154" s="10"/>
      <c r="C154" s="4"/>
      <c r="D154" s="10"/>
      <c r="E154" s="10"/>
      <c r="F154" s="4"/>
      <c r="G154" s="4"/>
      <c r="H154" s="4"/>
      <c r="I154" s="4"/>
      <c r="J154" s="4"/>
      <c r="K154" s="4"/>
      <c r="L154" s="4"/>
      <c r="M154" s="4"/>
      <c r="N154" s="4"/>
      <c r="O154" s="4"/>
      <c r="P154" s="4"/>
      <c r="Q154" s="4"/>
      <c r="R154" s="4"/>
      <c r="S154" s="4"/>
      <c r="T154" s="4"/>
      <c r="U154" s="4"/>
      <c r="V154" s="4"/>
      <c r="W154" s="4"/>
      <c r="X154" s="4"/>
      <c r="Y154" s="4"/>
      <c r="Z154" s="4"/>
    </row>
    <row r="155" spans="1:26">
      <c r="A155" s="10"/>
      <c r="B155" s="10"/>
      <c r="C155" s="4"/>
      <c r="D155" s="10"/>
      <c r="E155" s="10"/>
      <c r="F155" s="4"/>
      <c r="G155" s="4"/>
      <c r="H155" s="4"/>
      <c r="I155" s="4"/>
      <c r="J155" s="4"/>
      <c r="K155" s="4"/>
      <c r="L155" s="4"/>
      <c r="M155" s="4"/>
      <c r="N155" s="4"/>
      <c r="O155" s="4"/>
      <c r="P155" s="4"/>
      <c r="Q155" s="4"/>
      <c r="R155" s="4"/>
      <c r="S155" s="4"/>
      <c r="T155" s="4"/>
      <c r="U155" s="4"/>
      <c r="V155" s="4"/>
      <c r="W155" s="4"/>
      <c r="X155" s="4"/>
      <c r="Y155" s="4"/>
      <c r="Z155" s="4"/>
    </row>
    <row r="156" spans="1:26">
      <c r="A156" s="10"/>
      <c r="B156" s="10"/>
      <c r="C156" s="4"/>
      <c r="D156" s="10"/>
      <c r="E156" s="10"/>
      <c r="F156" s="4"/>
      <c r="G156" s="4"/>
      <c r="H156" s="4"/>
      <c r="I156" s="4"/>
      <c r="J156" s="4"/>
      <c r="K156" s="4"/>
      <c r="L156" s="4"/>
      <c r="M156" s="4"/>
      <c r="N156" s="4"/>
      <c r="O156" s="4"/>
      <c r="P156" s="4"/>
      <c r="Q156" s="4"/>
      <c r="R156" s="4"/>
      <c r="S156" s="4"/>
      <c r="T156" s="4"/>
      <c r="U156" s="4"/>
      <c r="V156" s="4"/>
      <c r="W156" s="4"/>
      <c r="X156" s="4"/>
      <c r="Y156" s="4"/>
      <c r="Z156" s="4"/>
    </row>
    <row r="157" spans="1:26">
      <c r="A157" s="10"/>
      <c r="B157" s="10"/>
      <c r="C157" s="4"/>
      <c r="D157" s="10"/>
      <c r="E157" s="10"/>
      <c r="F157" s="4"/>
      <c r="G157" s="4"/>
      <c r="H157" s="4"/>
      <c r="I157" s="4"/>
      <c r="J157" s="4"/>
      <c r="K157" s="4"/>
      <c r="L157" s="4"/>
      <c r="M157" s="4"/>
      <c r="N157" s="4"/>
      <c r="O157" s="4"/>
      <c r="P157" s="4"/>
      <c r="Q157" s="4"/>
      <c r="R157" s="4"/>
      <c r="S157" s="4"/>
      <c r="T157" s="4"/>
      <c r="U157" s="4"/>
      <c r="V157" s="4"/>
      <c r="W157" s="4"/>
      <c r="X157" s="4"/>
      <c r="Y157" s="4"/>
      <c r="Z157" s="4"/>
    </row>
    <row r="158" spans="1:26">
      <c r="A158" s="10"/>
      <c r="B158" s="10"/>
      <c r="C158" s="4"/>
      <c r="D158" s="10"/>
      <c r="E158" s="10"/>
      <c r="F158" s="4"/>
      <c r="G158" s="4"/>
      <c r="H158" s="4"/>
      <c r="I158" s="4"/>
      <c r="J158" s="4"/>
      <c r="K158" s="4"/>
      <c r="L158" s="4"/>
      <c r="M158" s="4"/>
      <c r="N158" s="4"/>
      <c r="O158" s="4"/>
      <c r="P158" s="4"/>
      <c r="Q158" s="4"/>
      <c r="R158" s="4"/>
      <c r="S158" s="4"/>
      <c r="T158" s="4"/>
      <c r="U158" s="4"/>
      <c r="V158" s="4"/>
      <c r="W158" s="4"/>
      <c r="X158" s="4"/>
      <c r="Y158" s="4"/>
      <c r="Z158" s="4"/>
    </row>
    <row r="159" spans="1:26">
      <c r="A159" s="10"/>
      <c r="B159" s="10"/>
      <c r="C159" s="4"/>
      <c r="D159" s="10"/>
      <c r="E159" s="10"/>
      <c r="F159" s="4"/>
      <c r="G159" s="4"/>
      <c r="H159" s="4"/>
      <c r="I159" s="4"/>
      <c r="J159" s="4"/>
      <c r="K159" s="4"/>
      <c r="L159" s="4"/>
      <c r="M159" s="4"/>
      <c r="N159" s="4"/>
      <c r="O159" s="4"/>
      <c r="P159" s="4"/>
      <c r="Q159" s="4"/>
      <c r="R159" s="4"/>
      <c r="S159" s="4"/>
      <c r="T159" s="4"/>
      <c r="U159" s="4"/>
      <c r="V159" s="4"/>
      <c r="W159" s="4"/>
      <c r="X159" s="4"/>
      <c r="Y159" s="4"/>
      <c r="Z159" s="4"/>
    </row>
    <row r="160" spans="1:26">
      <c r="A160" s="10"/>
      <c r="B160" s="10"/>
      <c r="C160" s="4"/>
      <c r="D160" s="10"/>
      <c r="E160" s="10"/>
      <c r="F160" s="4"/>
      <c r="G160" s="4"/>
      <c r="H160" s="4"/>
      <c r="I160" s="4"/>
      <c r="J160" s="4"/>
      <c r="K160" s="4"/>
      <c r="L160" s="4"/>
      <c r="M160" s="4"/>
      <c r="N160" s="4"/>
      <c r="O160" s="4"/>
      <c r="P160" s="4"/>
      <c r="Q160" s="4"/>
      <c r="R160" s="4"/>
      <c r="S160" s="4"/>
      <c r="T160" s="4"/>
      <c r="U160" s="4"/>
      <c r="V160" s="4"/>
      <c r="W160" s="4"/>
      <c r="X160" s="4"/>
      <c r="Y160" s="4"/>
      <c r="Z160" s="4"/>
    </row>
    <row r="161" spans="1:26">
      <c r="A161" s="10"/>
      <c r="B161" s="10"/>
      <c r="C161" s="4"/>
      <c r="D161" s="10"/>
      <c r="E161" s="10"/>
      <c r="F161" s="4"/>
      <c r="G161" s="4"/>
      <c r="H161" s="4"/>
      <c r="I161" s="4"/>
      <c r="J161" s="4"/>
      <c r="K161" s="4"/>
      <c r="L161" s="4"/>
      <c r="M161" s="4"/>
      <c r="N161" s="4"/>
      <c r="O161" s="4"/>
      <c r="P161" s="4"/>
      <c r="Q161" s="4"/>
      <c r="R161" s="4"/>
      <c r="S161" s="4"/>
      <c r="T161" s="4"/>
      <c r="U161" s="4"/>
      <c r="V161" s="4"/>
      <c r="W161" s="4"/>
      <c r="X161" s="4"/>
      <c r="Y161" s="4"/>
      <c r="Z161" s="4"/>
    </row>
    <row r="162" spans="1:26">
      <c r="A162" s="10"/>
      <c r="B162" s="10"/>
      <c r="C162" s="4"/>
      <c r="D162" s="10"/>
      <c r="E162" s="10"/>
      <c r="F162" s="4"/>
      <c r="G162" s="4"/>
      <c r="H162" s="4"/>
      <c r="I162" s="4"/>
      <c r="J162" s="4"/>
      <c r="K162" s="4"/>
      <c r="L162" s="4"/>
      <c r="M162" s="4"/>
      <c r="N162" s="4"/>
      <c r="O162" s="4"/>
      <c r="P162" s="4"/>
      <c r="Q162" s="4"/>
      <c r="R162" s="4"/>
      <c r="S162" s="4"/>
      <c r="T162" s="4"/>
      <c r="U162" s="4"/>
      <c r="V162" s="4"/>
      <c r="W162" s="4"/>
      <c r="X162" s="4"/>
      <c r="Y162" s="4"/>
      <c r="Z162" s="4"/>
    </row>
    <row r="163" spans="1:26">
      <c r="A163" s="10"/>
      <c r="B163" s="10"/>
      <c r="C163" s="4"/>
      <c r="D163" s="10"/>
      <c r="E163" s="10"/>
      <c r="F163" s="4"/>
      <c r="G163" s="4"/>
      <c r="H163" s="4"/>
      <c r="I163" s="4"/>
      <c r="J163" s="4"/>
      <c r="K163" s="4"/>
      <c r="L163" s="4"/>
      <c r="M163" s="4"/>
      <c r="N163" s="4"/>
      <c r="O163" s="4"/>
      <c r="P163" s="4"/>
      <c r="Q163" s="4"/>
      <c r="R163" s="4"/>
      <c r="S163" s="4"/>
      <c r="T163" s="4"/>
      <c r="U163" s="4"/>
      <c r="V163" s="4"/>
      <c r="W163" s="4"/>
      <c r="X163" s="4"/>
      <c r="Y163" s="4"/>
      <c r="Z163" s="4"/>
    </row>
    <row r="164" spans="1:26">
      <c r="A164" s="10"/>
      <c r="B164" s="10"/>
      <c r="C164" s="4"/>
      <c r="D164" s="10"/>
      <c r="E164" s="10"/>
      <c r="F164" s="4"/>
      <c r="G164" s="4"/>
      <c r="H164" s="4"/>
      <c r="I164" s="4"/>
      <c r="J164" s="4"/>
      <c r="K164" s="4"/>
      <c r="L164" s="4"/>
      <c r="M164" s="4"/>
      <c r="N164" s="4"/>
      <c r="O164" s="4"/>
      <c r="P164" s="4"/>
      <c r="Q164" s="4"/>
      <c r="R164" s="4"/>
      <c r="S164" s="4"/>
      <c r="T164" s="4"/>
      <c r="U164" s="4"/>
      <c r="V164" s="4"/>
      <c r="W164" s="4"/>
      <c r="X164" s="4"/>
      <c r="Y164" s="4"/>
      <c r="Z164" s="4"/>
    </row>
    <row r="165" spans="1:26">
      <c r="A165" s="10"/>
      <c r="B165" s="10"/>
      <c r="C165" s="4"/>
      <c r="D165" s="10"/>
      <c r="E165" s="10"/>
      <c r="F165" s="4"/>
      <c r="G165" s="4"/>
      <c r="H165" s="4"/>
      <c r="I165" s="4"/>
      <c r="J165" s="4"/>
      <c r="K165" s="4"/>
      <c r="L165" s="4"/>
      <c r="M165" s="4"/>
      <c r="N165" s="4"/>
      <c r="O165" s="4"/>
      <c r="P165" s="4"/>
      <c r="Q165" s="4"/>
      <c r="R165" s="4"/>
      <c r="S165" s="4"/>
      <c r="T165" s="4"/>
      <c r="U165" s="4"/>
      <c r="V165" s="4"/>
      <c r="W165" s="4"/>
      <c r="X165" s="4"/>
      <c r="Y165" s="4"/>
      <c r="Z165" s="4"/>
    </row>
    <row r="166" spans="1:26">
      <c r="A166" s="10"/>
      <c r="B166" s="10"/>
      <c r="C166" s="4"/>
      <c r="D166" s="10"/>
      <c r="E166" s="10"/>
      <c r="F166" s="4"/>
      <c r="G166" s="4"/>
      <c r="H166" s="4"/>
      <c r="I166" s="4"/>
      <c r="J166" s="4"/>
      <c r="K166" s="4"/>
      <c r="L166" s="4"/>
      <c r="M166" s="4"/>
      <c r="N166" s="4"/>
      <c r="O166" s="4"/>
      <c r="P166" s="4"/>
      <c r="Q166" s="4"/>
      <c r="R166" s="4"/>
      <c r="S166" s="4"/>
      <c r="T166" s="4"/>
      <c r="U166" s="4"/>
      <c r="V166" s="4"/>
      <c r="W166" s="4"/>
      <c r="X166" s="4"/>
      <c r="Y166" s="4"/>
      <c r="Z166" s="4"/>
    </row>
    <row r="167" spans="1:26">
      <c r="A167" s="10"/>
      <c r="B167" s="10"/>
      <c r="C167" s="4"/>
      <c r="D167" s="10"/>
      <c r="E167" s="10"/>
      <c r="F167" s="4"/>
      <c r="G167" s="4"/>
      <c r="H167" s="4"/>
      <c r="I167" s="4"/>
      <c r="J167" s="4"/>
      <c r="K167" s="4"/>
      <c r="L167" s="4"/>
      <c r="M167" s="4"/>
      <c r="N167" s="4"/>
      <c r="O167" s="4"/>
      <c r="P167" s="4"/>
      <c r="Q167" s="4"/>
      <c r="R167" s="4"/>
      <c r="S167" s="4"/>
      <c r="T167" s="4"/>
      <c r="U167" s="4"/>
      <c r="V167" s="4"/>
      <c r="W167" s="4"/>
      <c r="X167" s="4"/>
      <c r="Y167" s="4"/>
      <c r="Z167" s="4"/>
    </row>
    <row r="168" spans="1:26">
      <c r="A168" s="10"/>
      <c r="B168" s="10"/>
      <c r="C168" s="4"/>
      <c r="D168" s="10"/>
      <c r="E168" s="10"/>
      <c r="F168" s="4"/>
      <c r="G168" s="4"/>
      <c r="H168" s="4"/>
      <c r="I168" s="4"/>
      <c r="J168" s="4"/>
      <c r="K168" s="4"/>
      <c r="L168" s="4"/>
      <c r="M168" s="4"/>
      <c r="N168" s="4"/>
      <c r="O168" s="4"/>
      <c r="P168" s="4"/>
      <c r="Q168" s="4"/>
      <c r="R168" s="4"/>
      <c r="S168" s="4"/>
      <c r="T168" s="4"/>
      <c r="U168" s="4"/>
      <c r="V168" s="4"/>
      <c r="W168" s="4"/>
      <c r="X168" s="4"/>
      <c r="Y168" s="4"/>
      <c r="Z168" s="4"/>
    </row>
    <row r="169" spans="1:26">
      <c r="A169" s="10"/>
      <c r="B169" s="10"/>
      <c r="C169" s="4"/>
      <c r="D169" s="10"/>
      <c r="E169" s="10"/>
      <c r="F169" s="4"/>
      <c r="G169" s="4"/>
      <c r="H169" s="4"/>
      <c r="I169" s="4"/>
      <c r="J169" s="4"/>
      <c r="K169" s="4"/>
      <c r="L169" s="4"/>
      <c r="M169" s="4"/>
      <c r="N169" s="4"/>
      <c r="O169" s="4"/>
      <c r="P169" s="4"/>
      <c r="Q169" s="4"/>
      <c r="R169" s="4"/>
      <c r="S169" s="4"/>
      <c r="T169" s="4"/>
      <c r="U169" s="4"/>
      <c r="V169" s="4"/>
      <c r="W169" s="4"/>
      <c r="X169" s="4"/>
      <c r="Y169" s="4"/>
      <c r="Z169" s="4"/>
    </row>
    <row r="170" spans="1:26">
      <c r="A170" s="10"/>
      <c r="B170" s="10"/>
      <c r="C170" s="4"/>
      <c r="D170" s="10"/>
      <c r="E170" s="10"/>
      <c r="F170" s="4"/>
      <c r="G170" s="4"/>
      <c r="H170" s="4"/>
      <c r="I170" s="4"/>
      <c r="J170" s="4"/>
      <c r="K170" s="4"/>
      <c r="L170" s="4"/>
      <c r="M170" s="4"/>
      <c r="N170" s="4"/>
      <c r="O170" s="4"/>
      <c r="P170" s="4"/>
      <c r="Q170" s="4"/>
      <c r="R170" s="4"/>
      <c r="S170" s="4"/>
      <c r="T170" s="4"/>
      <c r="U170" s="4"/>
      <c r="V170" s="4"/>
      <c r="W170" s="4"/>
      <c r="X170" s="4"/>
      <c r="Y170" s="4"/>
      <c r="Z170" s="4"/>
    </row>
    <row r="171" spans="1:26">
      <c r="A171" s="10"/>
      <c r="B171" s="10"/>
      <c r="C171" s="4"/>
      <c r="D171" s="10"/>
      <c r="E171" s="10"/>
      <c r="F171" s="4"/>
      <c r="G171" s="4"/>
      <c r="H171" s="4"/>
      <c r="I171" s="4"/>
      <c r="J171" s="4"/>
      <c r="K171" s="4"/>
      <c r="L171" s="4"/>
      <c r="M171" s="4"/>
      <c r="N171" s="4"/>
      <c r="O171" s="4"/>
      <c r="P171" s="4"/>
      <c r="Q171" s="4"/>
      <c r="R171" s="4"/>
      <c r="S171" s="4"/>
      <c r="T171" s="4"/>
      <c r="U171" s="4"/>
      <c r="V171" s="4"/>
      <c r="W171" s="4"/>
      <c r="X171" s="4"/>
      <c r="Y171" s="4"/>
      <c r="Z171" s="4"/>
    </row>
    <row r="172" spans="1:26">
      <c r="A172" s="10"/>
      <c r="B172" s="10"/>
      <c r="C172" s="4"/>
      <c r="D172" s="10"/>
      <c r="E172" s="10"/>
      <c r="F172" s="4"/>
      <c r="G172" s="4"/>
      <c r="H172" s="4"/>
      <c r="I172" s="4"/>
      <c r="J172" s="4"/>
      <c r="K172" s="4"/>
      <c r="L172" s="4"/>
      <c r="M172" s="4"/>
      <c r="N172" s="4"/>
      <c r="O172" s="4"/>
      <c r="P172" s="4"/>
      <c r="Q172" s="4"/>
      <c r="R172" s="4"/>
      <c r="S172" s="4"/>
      <c r="T172" s="4"/>
      <c r="U172" s="4"/>
      <c r="V172" s="4"/>
      <c r="W172" s="4"/>
      <c r="X172" s="4"/>
      <c r="Y172" s="4"/>
      <c r="Z172" s="4"/>
    </row>
    <row r="173" spans="1:26">
      <c r="A173" s="10"/>
      <c r="B173" s="10"/>
      <c r="C173" s="4"/>
      <c r="D173" s="10"/>
      <c r="E173" s="10"/>
      <c r="F173" s="4"/>
      <c r="G173" s="4"/>
      <c r="H173" s="4"/>
      <c r="I173" s="4"/>
      <c r="J173" s="4"/>
      <c r="K173" s="4"/>
      <c r="L173" s="4"/>
      <c r="M173" s="4"/>
      <c r="N173" s="4"/>
      <c r="O173" s="4"/>
      <c r="P173" s="4"/>
      <c r="Q173" s="4"/>
      <c r="R173" s="4"/>
      <c r="S173" s="4"/>
      <c r="T173" s="4"/>
      <c r="U173" s="4"/>
      <c r="V173" s="4"/>
      <c r="W173" s="4"/>
      <c r="X173" s="4"/>
      <c r="Y173" s="4"/>
      <c r="Z173" s="4"/>
    </row>
    <row r="174" spans="1:26">
      <c r="A174" s="10"/>
      <c r="B174" s="10"/>
      <c r="C174" s="4"/>
      <c r="D174" s="10"/>
      <c r="E174" s="10"/>
      <c r="F174" s="4"/>
      <c r="G174" s="4"/>
      <c r="H174" s="4"/>
      <c r="I174" s="4"/>
      <c r="J174" s="4"/>
      <c r="K174" s="4"/>
      <c r="L174" s="4"/>
      <c r="M174" s="4"/>
      <c r="N174" s="4"/>
      <c r="O174" s="4"/>
      <c r="P174" s="4"/>
      <c r="Q174" s="4"/>
      <c r="R174" s="4"/>
      <c r="S174" s="4"/>
      <c r="T174" s="4"/>
      <c r="U174" s="4"/>
      <c r="V174" s="4"/>
      <c r="W174" s="4"/>
      <c r="X174" s="4"/>
      <c r="Y174" s="4"/>
      <c r="Z174" s="4"/>
    </row>
    <row r="175" spans="1:26">
      <c r="A175" s="10"/>
      <c r="B175" s="10"/>
      <c r="C175" s="4"/>
      <c r="D175" s="10"/>
      <c r="E175" s="10"/>
      <c r="F175" s="4"/>
      <c r="G175" s="4"/>
      <c r="H175" s="4"/>
      <c r="I175" s="4"/>
      <c r="J175" s="4"/>
      <c r="K175" s="4"/>
      <c r="L175" s="4"/>
      <c r="M175" s="4"/>
      <c r="N175" s="4"/>
      <c r="O175" s="4"/>
      <c r="P175" s="4"/>
      <c r="Q175" s="4"/>
      <c r="R175" s="4"/>
      <c r="S175" s="4"/>
      <c r="T175" s="4"/>
      <c r="U175" s="4"/>
      <c r="V175" s="4"/>
      <c r="W175" s="4"/>
      <c r="X175" s="4"/>
      <c r="Y175" s="4"/>
      <c r="Z175" s="4"/>
    </row>
    <row r="176" spans="1:26">
      <c r="A176" s="10"/>
      <c r="B176" s="10"/>
      <c r="C176" s="4"/>
      <c r="D176" s="10"/>
      <c r="E176" s="10"/>
      <c r="F176" s="4"/>
      <c r="G176" s="4"/>
      <c r="H176" s="4"/>
      <c r="I176" s="4"/>
      <c r="J176" s="4"/>
      <c r="K176" s="4"/>
      <c r="L176" s="4"/>
      <c r="M176" s="4"/>
      <c r="N176" s="4"/>
      <c r="O176" s="4"/>
      <c r="P176" s="4"/>
      <c r="Q176" s="4"/>
      <c r="R176" s="4"/>
      <c r="S176" s="4"/>
      <c r="T176" s="4"/>
      <c r="U176" s="4"/>
      <c r="V176" s="4"/>
      <c r="W176" s="4"/>
      <c r="X176" s="4"/>
      <c r="Y176" s="4"/>
      <c r="Z176" s="4"/>
    </row>
    <row r="177" spans="1:26">
      <c r="A177" s="10"/>
      <c r="B177" s="10"/>
      <c r="C177" s="4"/>
      <c r="D177" s="10"/>
      <c r="E177" s="10"/>
      <c r="F177" s="4"/>
      <c r="G177" s="4"/>
      <c r="H177" s="4"/>
      <c r="I177" s="4"/>
      <c r="J177" s="4"/>
      <c r="K177" s="4"/>
      <c r="L177" s="4"/>
      <c r="M177" s="4"/>
      <c r="N177" s="4"/>
      <c r="O177" s="4"/>
      <c r="P177" s="4"/>
      <c r="Q177" s="4"/>
      <c r="R177" s="4"/>
      <c r="S177" s="4"/>
      <c r="T177" s="4"/>
      <c r="U177" s="4"/>
      <c r="V177" s="4"/>
      <c r="W177" s="4"/>
      <c r="X177" s="4"/>
      <c r="Y177" s="4"/>
      <c r="Z177" s="4"/>
    </row>
    <row r="178" spans="1:26">
      <c r="A178" s="10"/>
      <c r="B178" s="10"/>
      <c r="C178" s="4"/>
      <c r="D178" s="10"/>
      <c r="E178" s="10"/>
      <c r="F178" s="4"/>
      <c r="G178" s="4"/>
      <c r="H178" s="4"/>
      <c r="I178" s="4"/>
      <c r="J178" s="4"/>
      <c r="K178" s="4"/>
      <c r="L178" s="4"/>
      <c r="M178" s="4"/>
      <c r="N178" s="4"/>
      <c r="O178" s="4"/>
      <c r="P178" s="4"/>
      <c r="Q178" s="4"/>
      <c r="R178" s="4"/>
      <c r="S178" s="4"/>
      <c r="T178" s="4"/>
      <c r="U178" s="4"/>
      <c r="V178" s="4"/>
      <c r="W178" s="4"/>
      <c r="X178" s="4"/>
      <c r="Y178" s="4"/>
      <c r="Z178" s="4"/>
    </row>
    <row r="179" spans="1:26">
      <c r="A179" s="10"/>
      <c r="B179" s="10"/>
      <c r="C179" s="4"/>
      <c r="D179" s="10"/>
      <c r="E179" s="10"/>
      <c r="F179" s="4"/>
      <c r="G179" s="4"/>
      <c r="H179" s="4"/>
      <c r="I179" s="4"/>
      <c r="J179" s="4"/>
      <c r="K179" s="4"/>
      <c r="L179" s="4"/>
      <c r="M179" s="4"/>
      <c r="N179" s="4"/>
      <c r="O179" s="4"/>
      <c r="P179" s="4"/>
      <c r="Q179" s="4"/>
      <c r="R179" s="4"/>
      <c r="S179" s="4"/>
      <c r="T179" s="4"/>
      <c r="U179" s="4"/>
      <c r="V179" s="4"/>
      <c r="W179" s="4"/>
      <c r="X179" s="4"/>
      <c r="Y179" s="4"/>
      <c r="Z179" s="4"/>
    </row>
    <row r="180" spans="1:26">
      <c r="A180" s="10"/>
      <c r="B180" s="10"/>
      <c r="C180" s="4"/>
      <c r="D180" s="10"/>
      <c r="E180" s="10"/>
      <c r="F180" s="4"/>
      <c r="G180" s="4"/>
      <c r="H180" s="4"/>
      <c r="I180" s="4"/>
      <c r="J180" s="4"/>
      <c r="K180" s="4"/>
      <c r="L180" s="4"/>
      <c r="M180" s="4"/>
      <c r="N180" s="4"/>
      <c r="O180" s="4"/>
      <c r="P180" s="4"/>
      <c r="Q180" s="4"/>
      <c r="R180" s="4"/>
      <c r="S180" s="4"/>
      <c r="T180" s="4"/>
      <c r="U180" s="4"/>
      <c r="V180" s="4"/>
      <c r="W180" s="4"/>
      <c r="X180" s="4"/>
      <c r="Y180" s="4"/>
      <c r="Z180" s="4"/>
    </row>
    <row r="181" spans="1:26">
      <c r="A181" s="10"/>
      <c r="B181" s="10"/>
      <c r="C181" s="4"/>
      <c r="D181" s="10"/>
      <c r="E181" s="10"/>
      <c r="F181" s="4"/>
      <c r="G181" s="4"/>
      <c r="H181" s="4"/>
      <c r="I181" s="4"/>
      <c r="J181" s="4"/>
      <c r="K181" s="4"/>
      <c r="L181" s="4"/>
      <c r="M181" s="4"/>
      <c r="N181" s="4"/>
      <c r="O181" s="4"/>
      <c r="P181" s="4"/>
      <c r="Q181" s="4"/>
      <c r="R181" s="4"/>
      <c r="S181" s="4"/>
      <c r="T181" s="4"/>
      <c r="U181" s="4"/>
      <c r="V181" s="4"/>
      <c r="W181" s="4"/>
      <c r="X181" s="4"/>
      <c r="Y181" s="4"/>
      <c r="Z181" s="4"/>
    </row>
    <row r="182" spans="1:26">
      <c r="A182" s="10"/>
      <c r="B182" s="10"/>
      <c r="C182" s="4"/>
      <c r="D182" s="10"/>
      <c r="E182" s="10"/>
      <c r="F182" s="4"/>
      <c r="G182" s="4"/>
      <c r="H182" s="4"/>
      <c r="I182" s="4"/>
      <c r="J182" s="4"/>
      <c r="K182" s="4"/>
      <c r="L182" s="4"/>
      <c r="M182" s="4"/>
      <c r="N182" s="4"/>
      <c r="O182" s="4"/>
      <c r="P182" s="4"/>
      <c r="Q182" s="4"/>
      <c r="R182" s="4"/>
      <c r="S182" s="4"/>
      <c r="T182" s="4"/>
      <c r="U182" s="4"/>
      <c r="V182" s="4"/>
      <c r="W182" s="4"/>
      <c r="X182" s="4"/>
      <c r="Y182" s="4"/>
      <c r="Z182" s="4"/>
    </row>
    <row r="183" spans="1:26">
      <c r="A183" s="10"/>
      <c r="B183" s="10"/>
      <c r="C183" s="4"/>
      <c r="D183" s="10"/>
      <c r="E183" s="10"/>
      <c r="F183" s="4"/>
      <c r="G183" s="4"/>
      <c r="H183" s="4"/>
      <c r="I183" s="4"/>
      <c r="J183" s="4"/>
      <c r="K183" s="4"/>
      <c r="L183" s="4"/>
      <c r="M183" s="4"/>
      <c r="N183" s="4"/>
      <c r="O183" s="4"/>
      <c r="P183" s="4"/>
      <c r="Q183" s="4"/>
      <c r="R183" s="4"/>
      <c r="S183" s="4"/>
      <c r="T183" s="4"/>
      <c r="U183" s="4"/>
      <c r="V183" s="4"/>
      <c r="W183" s="4"/>
      <c r="X183" s="4"/>
      <c r="Y183" s="4"/>
      <c r="Z183" s="4"/>
    </row>
    <row r="184" spans="1:26">
      <c r="A184" s="10"/>
      <c r="B184" s="10"/>
      <c r="C184" s="4"/>
      <c r="D184" s="10"/>
      <c r="E184" s="10"/>
      <c r="F184" s="4"/>
      <c r="G184" s="4"/>
      <c r="H184" s="4"/>
      <c r="I184" s="4"/>
      <c r="J184" s="4"/>
      <c r="K184" s="4"/>
      <c r="L184" s="4"/>
      <c r="M184" s="4"/>
      <c r="N184" s="4"/>
      <c r="O184" s="4"/>
      <c r="P184" s="4"/>
      <c r="Q184" s="4"/>
      <c r="R184" s="4"/>
      <c r="S184" s="4"/>
      <c r="T184" s="4"/>
      <c r="U184" s="4"/>
      <c r="V184" s="4"/>
      <c r="W184" s="4"/>
      <c r="X184" s="4"/>
      <c r="Y184" s="4"/>
      <c r="Z184" s="4"/>
    </row>
    <row r="185" spans="1:26">
      <c r="A185" s="10"/>
      <c r="B185" s="10"/>
      <c r="C185" s="4"/>
      <c r="D185" s="10"/>
      <c r="E185" s="10"/>
      <c r="F185" s="4"/>
      <c r="G185" s="4"/>
      <c r="H185" s="4"/>
      <c r="I185" s="4"/>
      <c r="J185" s="4"/>
      <c r="K185" s="4"/>
      <c r="L185" s="4"/>
      <c r="M185" s="4"/>
      <c r="N185" s="4"/>
      <c r="O185" s="4"/>
      <c r="P185" s="4"/>
      <c r="Q185" s="4"/>
      <c r="R185" s="4"/>
      <c r="S185" s="4"/>
      <c r="T185" s="4"/>
      <c r="U185" s="4"/>
      <c r="V185" s="4"/>
      <c r="W185" s="4"/>
      <c r="X185" s="4"/>
      <c r="Y185" s="4"/>
      <c r="Z185" s="4"/>
    </row>
    <row r="186" spans="1:26">
      <c r="A186" s="10"/>
      <c r="B186" s="10"/>
      <c r="C186" s="4"/>
      <c r="D186" s="10"/>
      <c r="E186" s="10"/>
      <c r="F186" s="4"/>
      <c r="G186" s="4"/>
      <c r="H186" s="4"/>
      <c r="I186" s="4"/>
      <c r="J186" s="4"/>
      <c r="K186" s="4"/>
      <c r="L186" s="4"/>
      <c r="M186" s="4"/>
      <c r="N186" s="4"/>
      <c r="O186" s="4"/>
      <c r="P186" s="4"/>
      <c r="Q186" s="4"/>
      <c r="R186" s="4"/>
      <c r="S186" s="4"/>
      <c r="T186" s="4"/>
      <c r="U186" s="4"/>
      <c r="V186" s="4"/>
      <c r="W186" s="4"/>
      <c r="X186" s="4"/>
      <c r="Y186" s="4"/>
      <c r="Z186" s="4"/>
    </row>
    <row r="187" spans="1:26">
      <c r="A187" s="10"/>
      <c r="B187" s="10"/>
      <c r="C187" s="4"/>
      <c r="D187" s="10"/>
      <c r="E187" s="10"/>
      <c r="F187" s="4"/>
      <c r="G187" s="4"/>
      <c r="H187" s="4"/>
      <c r="I187" s="4"/>
      <c r="J187" s="4"/>
      <c r="K187" s="4"/>
      <c r="L187" s="4"/>
      <c r="M187" s="4"/>
      <c r="N187" s="4"/>
      <c r="O187" s="4"/>
      <c r="P187" s="4"/>
      <c r="Q187" s="4"/>
      <c r="R187" s="4"/>
      <c r="S187" s="4"/>
      <c r="T187" s="4"/>
      <c r="U187" s="4"/>
      <c r="V187" s="4"/>
      <c r="W187" s="4"/>
      <c r="X187" s="4"/>
      <c r="Y187" s="4"/>
      <c r="Z187" s="4"/>
    </row>
    <row r="188" spans="1:26">
      <c r="A188" s="10"/>
      <c r="B188" s="10"/>
      <c r="C188" s="4"/>
      <c r="D188" s="10"/>
      <c r="E188" s="10"/>
      <c r="F188" s="4"/>
      <c r="G188" s="4"/>
      <c r="H188" s="4"/>
      <c r="I188" s="4"/>
      <c r="J188" s="4"/>
      <c r="K188" s="4"/>
      <c r="L188" s="4"/>
      <c r="M188" s="4"/>
      <c r="N188" s="4"/>
      <c r="O188" s="4"/>
      <c r="P188" s="4"/>
      <c r="Q188" s="4"/>
      <c r="R188" s="4"/>
      <c r="S188" s="4"/>
      <c r="T188" s="4"/>
      <c r="U188" s="4"/>
      <c r="V188" s="4"/>
      <c r="W188" s="4"/>
      <c r="X188" s="4"/>
      <c r="Y188" s="4"/>
      <c r="Z188" s="4"/>
    </row>
    <row r="189" spans="1:26">
      <c r="A189" s="10"/>
      <c r="B189" s="10"/>
      <c r="C189" s="4"/>
      <c r="D189" s="10"/>
      <c r="E189" s="10"/>
      <c r="F189" s="4"/>
      <c r="G189" s="4"/>
      <c r="H189" s="4"/>
      <c r="I189" s="4"/>
      <c r="J189" s="4"/>
      <c r="K189" s="4"/>
      <c r="L189" s="4"/>
      <c r="M189" s="4"/>
      <c r="N189" s="4"/>
      <c r="O189" s="4"/>
      <c r="P189" s="4"/>
      <c r="Q189" s="4"/>
      <c r="R189" s="4"/>
      <c r="S189" s="4"/>
      <c r="T189" s="4"/>
      <c r="U189" s="4"/>
      <c r="V189" s="4"/>
      <c r="W189" s="4"/>
      <c r="X189" s="4"/>
      <c r="Y189" s="4"/>
      <c r="Z189" s="4"/>
    </row>
    <row r="190" spans="1:26">
      <c r="A190" s="10"/>
      <c r="B190" s="10"/>
      <c r="C190" s="4"/>
      <c r="D190" s="10"/>
      <c r="E190" s="10"/>
      <c r="F190" s="4"/>
      <c r="G190" s="4"/>
      <c r="H190" s="4"/>
      <c r="I190" s="4"/>
      <c r="J190" s="4"/>
      <c r="K190" s="4"/>
      <c r="L190" s="4"/>
      <c r="M190" s="4"/>
      <c r="N190" s="4"/>
      <c r="O190" s="4"/>
      <c r="P190" s="4"/>
      <c r="Q190" s="4"/>
      <c r="R190" s="4"/>
      <c r="S190" s="4"/>
      <c r="T190" s="4"/>
      <c r="U190" s="4"/>
      <c r="V190" s="4"/>
      <c r="W190" s="4"/>
      <c r="X190" s="4"/>
      <c r="Y190" s="4"/>
      <c r="Z190" s="4"/>
    </row>
    <row r="191" spans="1:26">
      <c r="A191" s="10"/>
      <c r="B191" s="10"/>
      <c r="C191" s="4"/>
      <c r="D191" s="10"/>
      <c r="E191" s="10"/>
      <c r="F191" s="4"/>
      <c r="G191" s="4"/>
      <c r="H191" s="4"/>
      <c r="I191" s="4"/>
      <c r="J191" s="4"/>
      <c r="K191" s="4"/>
      <c r="L191" s="4"/>
      <c r="M191" s="4"/>
      <c r="N191" s="4"/>
      <c r="O191" s="4"/>
      <c r="P191" s="4"/>
      <c r="Q191" s="4"/>
      <c r="R191" s="4"/>
      <c r="S191" s="4"/>
      <c r="T191" s="4"/>
      <c r="U191" s="4"/>
      <c r="V191" s="4"/>
      <c r="W191" s="4"/>
      <c r="X191" s="4"/>
      <c r="Y191" s="4"/>
      <c r="Z191" s="4"/>
    </row>
    <row r="192" spans="1:26">
      <c r="A192" s="10"/>
      <c r="B192" s="10"/>
      <c r="C192" s="4"/>
      <c r="D192" s="10"/>
      <c r="E192" s="10"/>
      <c r="F192" s="4"/>
      <c r="G192" s="4"/>
      <c r="H192" s="4"/>
      <c r="I192" s="4"/>
      <c r="J192" s="4"/>
      <c r="K192" s="4"/>
      <c r="L192" s="4"/>
      <c r="M192" s="4"/>
      <c r="N192" s="4"/>
      <c r="O192" s="4"/>
      <c r="P192" s="4"/>
      <c r="Q192" s="4"/>
      <c r="R192" s="4"/>
      <c r="S192" s="4"/>
      <c r="T192" s="4"/>
      <c r="U192" s="4"/>
      <c r="V192" s="4"/>
      <c r="W192" s="4"/>
      <c r="X192" s="4"/>
      <c r="Y192" s="4"/>
      <c r="Z192" s="4"/>
    </row>
    <row r="193" spans="1:26">
      <c r="A193" s="10"/>
      <c r="B193" s="10"/>
      <c r="C193" s="4"/>
      <c r="D193" s="10"/>
      <c r="E193" s="10"/>
      <c r="F193" s="4"/>
      <c r="G193" s="4"/>
      <c r="H193" s="4"/>
      <c r="I193" s="4"/>
      <c r="J193" s="4"/>
      <c r="K193" s="4"/>
      <c r="L193" s="4"/>
      <c r="M193" s="4"/>
      <c r="N193" s="4"/>
      <c r="O193" s="4"/>
      <c r="P193" s="4"/>
      <c r="Q193" s="4"/>
      <c r="R193" s="4"/>
      <c r="S193" s="4"/>
      <c r="T193" s="4"/>
      <c r="U193" s="4"/>
      <c r="V193" s="4"/>
      <c r="W193" s="4"/>
      <c r="X193" s="4"/>
      <c r="Y193" s="4"/>
      <c r="Z193" s="4"/>
    </row>
    <row r="194" spans="1:26">
      <c r="A194" s="10"/>
      <c r="B194" s="10"/>
      <c r="C194" s="4"/>
      <c r="D194" s="10"/>
      <c r="E194" s="10"/>
      <c r="F194" s="4"/>
      <c r="G194" s="4"/>
      <c r="H194" s="4"/>
      <c r="I194" s="4"/>
      <c r="J194" s="4"/>
      <c r="K194" s="4"/>
      <c r="L194" s="4"/>
      <c r="M194" s="4"/>
      <c r="N194" s="4"/>
      <c r="O194" s="4"/>
      <c r="P194" s="4"/>
      <c r="Q194" s="4"/>
      <c r="R194" s="4"/>
      <c r="S194" s="4"/>
      <c r="T194" s="4"/>
      <c r="U194" s="4"/>
      <c r="V194" s="4"/>
      <c r="W194" s="4"/>
      <c r="X194" s="4"/>
      <c r="Y194" s="4"/>
      <c r="Z194" s="4"/>
    </row>
    <row r="195" spans="1:26">
      <c r="A195" s="10"/>
      <c r="B195" s="10"/>
      <c r="C195" s="4"/>
      <c r="D195" s="10"/>
      <c r="E195" s="10"/>
      <c r="F195" s="4"/>
      <c r="G195" s="4"/>
      <c r="H195" s="4"/>
      <c r="I195" s="4"/>
      <c r="J195" s="4"/>
      <c r="K195" s="4"/>
      <c r="L195" s="4"/>
      <c r="M195" s="4"/>
      <c r="N195" s="4"/>
      <c r="O195" s="4"/>
      <c r="P195" s="4"/>
      <c r="Q195" s="4"/>
      <c r="R195" s="4"/>
      <c r="S195" s="4"/>
      <c r="T195" s="4"/>
      <c r="U195" s="4"/>
      <c r="V195" s="4"/>
      <c r="W195" s="4"/>
      <c r="X195" s="4"/>
      <c r="Y195" s="4"/>
      <c r="Z195" s="4"/>
    </row>
    <row r="196" spans="1:26">
      <c r="A196" s="10"/>
      <c r="B196" s="10"/>
      <c r="C196" s="4"/>
      <c r="D196" s="10"/>
      <c r="E196" s="10"/>
      <c r="F196" s="4"/>
      <c r="G196" s="4"/>
      <c r="H196" s="4"/>
      <c r="I196" s="4"/>
      <c r="J196" s="4"/>
      <c r="K196" s="4"/>
      <c r="L196" s="4"/>
      <c r="M196" s="4"/>
      <c r="N196" s="4"/>
      <c r="O196" s="4"/>
      <c r="P196" s="4"/>
      <c r="Q196" s="4"/>
      <c r="R196" s="4"/>
      <c r="S196" s="4"/>
      <c r="T196" s="4"/>
      <c r="U196" s="4"/>
      <c r="V196" s="4"/>
      <c r="W196" s="4"/>
      <c r="X196" s="4"/>
      <c r="Y196" s="4"/>
      <c r="Z196" s="4"/>
    </row>
    <row r="197" spans="1:26">
      <c r="A197" s="10"/>
      <c r="B197" s="10"/>
      <c r="C197" s="4"/>
      <c r="D197" s="10"/>
      <c r="E197" s="10"/>
      <c r="F197" s="4"/>
      <c r="G197" s="4"/>
      <c r="H197" s="4"/>
      <c r="I197" s="4"/>
      <c r="J197" s="4"/>
      <c r="K197" s="4"/>
      <c r="L197" s="4"/>
      <c r="M197" s="4"/>
      <c r="N197" s="4"/>
      <c r="O197" s="4"/>
      <c r="P197" s="4"/>
      <c r="Q197" s="4"/>
      <c r="R197" s="4"/>
      <c r="S197" s="4"/>
      <c r="T197" s="4"/>
      <c r="U197" s="4"/>
      <c r="V197" s="4"/>
      <c r="W197" s="4"/>
      <c r="X197" s="4"/>
      <c r="Y197" s="4"/>
      <c r="Z197" s="4"/>
    </row>
    <row r="198" spans="1:26">
      <c r="A198" s="10"/>
      <c r="B198" s="10"/>
      <c r="C198" s="4"/>
      <c r="D198" s="10"/>
      <c r="E198" s="10"/>
      <c r="F198" s="4"/>
      <c r="G198" s="4"/>
      <c r="H198" s="4"/>
      <c r="I198" s="4"/>
      <c r="J198" s="4"/>
      <c r="K198" s="4"/>
      <c r="L198" s="4"/>
      <c r="M198" s="4"/>
      <c r="N198" s="4"/>
      <c r="O198" s="4"/>
      <c r="P198" s="4"/>
      <c r="Q198" s="4"/>
      <c r="R198" s="4"/>
      <c r="S198" s="4"/>
      <c r="T198" s="4"/>
      <c r="U198" s="4"/>
      <c r="V198" s="4"/>
      <c r="W198" s="4"/>
      <c r="X198" s="4"/>
      <c r="Y198" s="4"/>
      <c r="Z198" s="4"/>
    </row>
    <row r="199" spans="1:26">
      <c r="A199" s="10"/>
      <c r="B199" s="10"/>
      <c r="C199" s="4"/>
      <c r="D199" s="10"/>
      <c r="E199" s="10"/>
      <c r="F199" s="4"/>
      <c r="G199" s="4"/>
      <c r="H199" s="4"/>
      <c r="I199" s="4"/>
      <c r="J199" s="4"/>
      <c r="K199" s="4"/>
      <c r="L199" s="4"/>
      <c r="M199" s="4"/>
      <c r="N199" s="4"/>
      <c r="O199" s="4"/>
      <c r="P199" s="4"/>
      <c r="Q199" s="4"/>
      <c r="R199" s="4"/>
      <c r="S199" s="4"/>
      <c r="T199" s="4"/>
      <c r="U199" s="4"/>
      <c r="V199" s="4"/>
      <c r="W199" s="4"/>
      <c r="X199" s="4"/>
      <c r="Y199" s="4"/>
      <c r="Z199" s="4"/>
    </row>
    <row r="200" spans="1:26">
      <c r="A200" s="10"/>
      <c r="B200" s="10"/>
      <c r="C200" s="4"/>
      <c r="D200" s="10"/>
      <c r="E200" s="10"/>
      <c r="F200" s="4"/>
      <c r="G200" s="4"/>
      <c r="H200" s="4"/>
      <c r="I200" s="4"/>
      <c r="J200" s="4"/>
      <c r="K200" s="4"/>
      <c r="L200" s="4"/>
      <c r="M200" s="4"/>
      <c r="N200" s="4"/>
      <c r="O200" s="4"/>
      <c r="P200" s="4"/>
      <c r="Q200" s="4"/>
      <c r="R200" s="4"/>
      <c r="S200" s="4"/>
      <c r="T200" s="4"/>
      <c r="U200" s="4"/>
      <c r="V200" s="4"/>
      <c r="W200" s="4"/>
      <c r="X200" s="4"/>
      <c r="Y200" s="4"/>
      <c r="Z200" s="4"/>
    </row>
    <row r="201" spans="1:26">
      <c r="A201" s="10"/>
      <c r="B201" s="10"/>
      <c r="C201" s="4"/>
      <c r="D201" s="10"/>
      <c r="E201" s="10"/>
      <c r="F201" s="4"/>
      <c r="G201" s="4"/>
      <c r="H201" s="4"/>
      <c r="I201" s="4"/>
      <c r="J201" s="4"/>
      <c r="K201" s="4"/>
      <c r="L201" s="4"/>
      <c r="M201" s="4"/>
      <c r="N201" s="4"/>
      <c r="O201" s="4"/>
      <c r="P201" s="4"/>
      <c r="Q201" s="4"/>
      <c r="R201" s="4"/>
      <c r="S201" s="4"/>
      <c r="T201" s="4"/>
      <c r="U201" s="4"/>
      <c r="V201" s="4"/>
      <c r="W201" s="4"/>
      <c r="X201" s="4"/>
      <c r="Y201" s="4"/>
      <c r="Z201" s="4"/>
    </row>
    <row r="202" spans="1:26">
      <c r="A202" s="10"/>
      <c r="B202" s="10"/>
      <c r="C202" s="4"/>
      <c r="D202" s="10"/>
      <c r="E202" s="10"/>
      <c r="F202" s="4"/>
      <c r="G202" s="4"/>
      <c r="H202" s="4"/>
      <c r="I202" s="4"/>
      <c r="J202" s="4"/>
      <c r="K202" s="4"/>
      <c r="L202" s="4"/>
      <c r="M202" s="4"/>
      <c r="N202" s="4"/>
      <c r="O202" s="4"/>
      <c r="P202" s="4"/>
      <c r="Q202" s="4"/>
      <c r="R202" s="4"/>
      <c r="S202" s="4"/>
      <c r="T202" s="4"/>
      <c r="U202" s="4"/>
      <c r="V202" s="4"/>
      <c r="W202" s="4"/>
      <c r="X202" s="4"/>
      <c r="Y202" s="4"/>
      <c r="Z202" s="4"/>
    </row>
    <row r="203" spans="1:26">
      <c r="A203" s="10"/>
      <c r="B203" s="10"/>
      <c r="C203" s="4"/>
      <c r="D203" s="10"/>
      <c r="E203" s="10"/>
      <c r="F203" s="4"/>
      <c r="G203" s="4"/>
      <c r="H203" s="4"/>
      <c r="I203" s="4"/>
      <c r="J203" s="4"/>
      <c r="K203" s="4"/>
      <c r="L203" s="4"/>
      <c r="M203" s="4"/>
      <c r="N203" s="4"/>
      <c r="O203" s="4"/>
      <c r="P203" s="4"/>
      <c r="Q203" s="4"/>
      <c r="R203" s="4"/>
      <c r="S203" s="4"/>
      <c r="T203" s="4"/>
      <c r="U203" s="4"/>
      <c r="V203" s="4"/>
      <c r="W203" s="4"/>
      <c r="X203" s="4"/>
      <c r="Y203" s="4"/>
      <c r="Z203" s="4"/>
    </row>
    <row r="204" spans="1:26">
      <c r="A204" s="10"/>
      <c r="B204" s="10"/>
      <c r="C204" s="4"/>
      <c r="D204" s="10"/>
      <c r="E204" s="10"/>
      <c r="F204" s="4"/>
      <c r="G204" s="4"/>
      <c r="H204" s="4"/>
      <c r="I204" s="4"/>
      <c r="J204" s="4"/>
      <c r="K204" s="4"/>
      <c r="L204" s="4"/>
      <c r="M204" s="4"/>
      <c r="N204" s="4"/>
      <c r="O204" s="4"/>
      <c r="P204" s="4"/>
      <c r="Q204" s="4"/>
      <c r="R204" s="4"/>
      <c r="S204" s="4"/>
      <c r="T204" s="4"/>
      <c r="U204" s="4"/>
      <c r="V204" s="4"/>
      <c r="W204" s="4"/>
      <c r="X204" s="4"/>
      <c r="Y204" s="4"/>
      <c r="Z204" s="4"/>
    </row>
    <row r="205" spans="1:26">
      <c r="A205" s="10"/>
      <c r="B205" s="10"/>
      <c r="C205" s="4"/>
      <c r="D205" s="10"/>
      <c r="E205" s="10"/>
      <c r="F205" s="4"/>
      <c r="G205" s="4"/>
      <c r="H205" s="4"/>
      <c r="I205" s="4"/>
      <c r="J205" s="4"/>
      <c r="K205" s="4"/>
      <c r="L205" s="4"/>
      <c r="M205" s="4"/>
      <c r="N205" s="4"/>
      <c r="O205" s="4"/>
      <c r="P205" s="4"/>
      <c r="Q205" s="4"/>
      <c r="R205" s="4"/>
      <c r="S205" s="4"/>
      <c r="T205" s="4"/>
      <c r="U205" s="4"/>
      <c r="V205" s="4"/>
      <c r="W205" s="4"/>
      <c r="X205" s="4"/>
      <c r="Y205" s="4"/>
      <c r="Z205" s="4"/>
    </row>
    <row r="206" spans="1:26">
      <c r="A206" s="10"/>
      <c r="B206" s="10"/>
      <c r="C206" s="4"/>
      <c r="D206" s="10"/>
      <c r="E206" s="10"/>
      <c r="F206" s="4"/>
      <c r="G206" s="4"/>
      <c r="H206" s="4"/>
      <c r="I206" s="4"/>
      <c r="J206" s="4"/>
      <c r="K206" s="4"/>
      <c r="L206" s="4"/>
      <c r="M206" s="4"/>
      <c r="N206" s="4"/>
      <c r="O206" s="4"/>
      <c r="P206" s="4"/>
      <c r="Q206" s="4"/>
      <c r="R206" s="4"/>
      <c r="S206" s="4"/>
      <c r="T206" s="4"/>
      <c r="U206" s="4"/>
      <c r="V206" s="4"/>
      <c r="W206" s="4"/>
      <c r="X206" s="4"/>
      <c r="Y206" s="4"/>
      <c r="Z206" s="4"/>
    </row>
    <row r="207" spans="1:26">
      <c r="A207" s="10"/>
      <c r="B207" s="10"/>
      <c r="C207" s="4"/>
      <c r="D207" s="10"/>
      <c r="E207" s="10"/>
      <c r="F207" s="4"/>
      <c r="G207" s="4"/>
      <c r="H207" s="4"/>
      <c r="I207" s="4"/>
      <c r="J207" s="4"/>
      <c r="K207" s="4"/>
      <c r="L207" s="4"/>
      <c r="M207" s="4"/>
      <c r="N207" s="4"/>
      <c r="O207" s="4"/>
      <c r="P207" s="4"/>
      <c r="Q207" s="4"/>
      <c r="R207" s="4"/>
      <c r="S207" s="4"/>
      <c r="T207" s="4"/>
      <c r="U207" s="4"/>
      <c r="V207" s="4"/>
      <c r="W207" s="4"/>
      <c r="X207" s="4"/>
      <c r="Y207" s="4"/>
      <c r="Z207" s="4"/>
    </row>
    <row r="208" spans="1:26">
      <c r="A208" s="10"/>
      <c r="B208" s="10"/>
      <c r="C208" s="4"/>
      <c r="D208" s="10"/>
      <c r="E208" s="10"/>
      <c r="F208" s="4"/>
      <c r="G208" s="4"/>
      <c r="H208" s="4"/>
      <c r="I208" s="4"/>
      <c r="J208" s="4"/>
      <c r="K208" s="4"/>
      <c r="L208" s="4"/>
      <c r="M208" s="4"/>
      <c r="N208" s="4"/>
      <c r="O208" s="4"/>
      <c r="P208" s="4"/>
      <c r="Q208" s="4"/>
      <c r="R208" s="4"/>
      <c r="S208" s="4"/>
      <c r="T208" s="4"/>
      <c r="U208" s="4"/>
      <c r="V208" s="4"/>
      <c r="W208" s="4"/>
      <c r="X208" s="4"/>
      <c r="Y208" s="4"/>
      <c r="Z208" s="4"/>
    </row>
    <row r="209" spans="1:26">
      <c r="A209" s="10"/>
      <c r="B209" s="10"/>
      <c r="C209" s="4"/>
      <c r="D209" s="10"/>
      <c r="E209" s="10"/>
      <c r="F209" s="4"/>
      <c r="G209" s="4"/>
      <c r="H209" s="4"/>
      <c r="I209" s="4"/>
      <c r="J209" s="4"/>
      <c r="K209" s="4"/>
      <c r="L209" s="4"/>
      <c r="M209" s="4"/>
      <c r="N209" s="4"/>
      <c r="O209" s="4"/>
      <c r="P209" s="4"/>
      <c r="Q209" s="4"/>
      <c r="R209" s="4"/>
      <c r="S209" s="4"/>
      <c r="T209" s="4"/>
      <c r="U209" s="4"/>
      <c r="V209" s="4"/>
      <c r="W209" s="4"/>
      <c r="X209" s="4"/>
      <c r="Y209" s="4"/>
      <c r="Z209" s="4"/>
    </row>
    <row r="210" spans="1:26">
      <c r="A210" s="10"/>
      <c r="B210" s="10"/>
      <c r="C210" s="4"/>
      <c r="D210" s="10"/>
      <c r="E210" s="10"/>
      <c r="F210" s="4"/>
      <c r="G210" s="4"/>
      <c r="H210" s="4"/>
      <c r="I210" s="4"/>
      <c r="J210" s="4"/>
      <c r="K210" s="4"/>
      <c r="L210" s="4"/>
      <c r="M210" s="4"/>
      <c r="N210" s="4"/>
      <c r="O210" s="4"/>
      <c r="P210" s="4"/>
      <c r="Q210" s="4"/>
      <c r="R210" s="4"/>
      <c r="S210" s="4"/>
      <c r="T210" s="4"/>
      <c r="U210" s="4"/>
      <c r="V210" s="4"/>
      <c r="W210" s="4"/>
      <c r="X210" s="4"/>
      <c r="Y210" s="4"/>
      <c r="Z210" s="4"/>
    </row>
    <row r="211" spans="1:26">
      <c r="A211" s="10"/>
      <c r="B211" s="10"/>
      <c r="C211" s="4"/>
      <c r="D211" s="10"/>
      <c r="E211" s="10"/>
      <c r="F211" s="4"/>
      <c r="G211" s="4"/>
      <c r="H211" s="4"/>
      <c r="I211" s="4"/>
      <c r="J211" s="4"/>
      <c r="K211" s="4"/>
      <c r="L211" s="4"/>
      <c r="M211" s="4"/>
      <c r="N211" s="4"/>
      <c r="O211" s="4"/>
      <c r="P211" s="4"/>
      <c r="Q211" s="4"/>
      <c r="R211" s="4"/>
      <c r="S211" s="4"/>
      <c r="T211" s="4"/>
      <c r="U211" s="4"/>
      <c r="V211" s="4"/>
      <c r="W211" s="4"/>
      <c r="X211" s="4"/>
      <c r="Y211" s="4"/>
      <c r="Z211" s="4"/>
    </row>
    <row r="212" spans="1:26">
      <c r="A212" s="10"/>
      <c r="B212" s="10"/>
      <c r="C212" s="4"/>
      <c r="D212" s="10"/>
      <c r="E212" s="10"/>
      <c r="F212" s="4"/>
      <c r="G212" s="4"/>
      <c r="H212" s="4"/>
      <c r="I212" s="4"/>
      <c r="J212" s="4"/>
      <c r="K212" s="4"/>
      <c r="L212" s="4"/>
      <c r="M212" s="4"/>
      <c r="N212" s="4"/>
      <c r="O212" s="4"/>
      <c r="P212" s="4"/>
      <c r="Q212" s="4"/>
      <c r="R212" s="4"/>
      <c r="S212" s="4"/>
      <c r="T212" s="4"/>
      <c r="U212" s="4"/>
      <c r="V212" s="4"/>
      <c r="W212" s="4"/>
      <c r="X212" s="4"/>
      <c r="Y212" s="4"/>
      <c r="Z212" s="4"/>
    </row>
    <row r="213" spans="1:26">
      <c r="A213" s="10"/>
      <c r="B213" s="10"/>
      <c r="C213" s="4"/>
      <c r="D213" s="10"/>
      <c r="E213" s="10"/>
      <c r="F213" s="4"/>
      <c r="G213" s="4"/>
      <c r="H213" s="4"/>
      <c r="I213" s="4"/>
      <c r="J213" s="4"/>
      <c r="K213" s="4"/>
      <c r="L213" s="4"/>
      <c r="M213" s="4"/>
      <c r="N213" s="4"/>
      <c r="O213" s="4"/>
      <c r="P213" s="4"/>
      <c r="Q213" s="4"/>
      <c r="R213" s="4"/>
      <c r="S213" s="4"/>
      <c r="T213" s="4"/>
      <c r="U213" s="4"/>
      <c r="V213" s="4"/>
      <c r="W213" s="4"/>
      <c r="X213" s="4"/>
      <c r="Y213" s="4"/>
      <c r="Z213" s="4"/>
    </row>
    <row r="214" spans="1:26">
      <c r="A214" s="10"/>
      <c r="B214" s="10"/>
      <c r="C214" s="4"/>
      <c r="D214" s="10"/>
      <c r="E214" s="10"/>
      <c r="F214" s="4"/>
      <c r="G214" s="4"/>
      <c r="H214" s="4"/>
      <c r="I214" s="4"/>
      <c r="J214" s="4"/>
      <c r="K214" s="4"/>
      <c r="L214" s="4"/>
      <c r="M214" s="4"/>
      <c r="N214" s="4"/>
      <c r="O214" s="4"/>
      <c r="P214" s="4"/>
      <c r="Q214" s="4"/>
      <c r="R214" s="4"/>
      <c r="S214" s="4"/>
      <c r="T214" s="4"/>
      <c r="U214" s="4"/>
      <c r="V214" s="4"/>
      <c r="W214" s="4"/>
      <c r="X214" s="4"/>
      <c r="Y214" s="4"/>
      <c r="Z214" s="4"/>
    </row>
    <row r="215" spans="1:26">
      <c r="A215" s="10"/>
      <c r="B215" s="10"/>
      <c r="C215" s="4"/>
      <c r="D215" s="10"/>
      <c r="E215" s="10"/>
      <c r="F215" s="4"/>
      <c r="G215" s="4"/>
      <c r="H215" s="4"/>
      <c r="I215" s="4"/>
      <c r="J215" s="4"/>
      <c r="K215" s="4"/>
      <c r="L215" s="4"/>
      <c r="M215" s="4"/>
      <c r="N215" s="4"/>
      <c r="O215" s="4"/>
      <c r="P215" s="4"/>
      <c r="Q215" s="4"/>
      <c r="R215" s="4"/>
      <c r="S215" s="4"/>
      <c r="T215" s="4"/>
      <c r="U215" s="4"/>
      <c r="V215" s="4"/>
      <c r="W215" s="4"/>
      <c r="X215" s="4"/>
      <c r="Y215" s="4"/>
      <c r="Z215" s="4"/>
    </row>
    <row r="216" spans="1:26">
      <c r="A216" s="10"/>
      <c r="B216" s="10"/>
      <c r="C216" s="4"/>
      <c r="D216" s="10"/>
      <c r="E216" s="10"/>
      <c r="F216" s="4"/>
      <c r="G216" s="4"/>
      <c r="H216" s="4"/>
      <c r="I216" s="4"/>
      <c r="J216" s="4"/>
      <c r="K216" s="4"/>
      <c r="L216" s="4"/>
      <c r="M216" s="4"/>
      <c r="N216" s="4"/>
      <c r="O216" s="4"/>
      <c r="P216" s="4"/>
      <c r="Q216" s="4"/>
      <c r="R216" s="4"/>
      <c r="S216" s="4"/>
      <c r="T216" s="4"/>
      <c r="U216" s="4"/>
      <c r="V216" s="4"/>
      <c r="W216" s="4"/>
      <c r="X216" s="4"/>
      <c r="Y216" s="4"/>
      <c r="Z216" s="4"/>
    </row>
    <row r="217" spans="1:26">
      <c r="A217" s="10"/>
      <c r="B217" s="10"/>
      <c r="C217" s="4"/>
      <c r="D217" s="10"/>
      <c r="E217" s="10"/>
      <c r="F217" s="4"/>
      <c r="G217" s="4"/>
      <c r="H217" s="4"/>
      <c r="I217" s="4"/>
      <c r="J217" s="4"/>
      <c r="K217" s="4"/>
      <c r="L217" s="4"/>
      <c r="M217" s="4"/>
      <c r="N217" s="4"/>
      <c r="O217" s="4"/>
      <c r="P217" s="4"/>
      <c r="Q217" s="4"/>
      <c r="R217" s="4"/>
      <c r="S217" s="4"/>
      <c r="T217" s="4"/>
      <c r="U217" s="4"/>
      <c r="V217" s="4"/>
      <c r="W217" s="4"/>
      <c r="X217" s="4"/>
      <c r="Y217" s="4"/>
      <c r="Z217" s="4"/>
    </row>
    <row r="218" spans="1:26">
      <c r="A218" s="10"/>
      <c r="B218" s="10"/>
      <c r="C218" s="4"/>
      <c r="D218" s="10"/>
      <c r="E218" s="10"/>
      <c r="F218" s="4"/>
      <c r="G218" s="4"/>
      <c r="H218" s="4"/>
      <c r="I218" s="4"/>
      <c r="J218" s="4"/>
      <c r="K218" s="4"/>
      <c r="L218" s="4"/>
      <c r="M218" s="4"/>
      <c r="N218" s="4"/>
      <c r="O218" s="4"/>
      <c r="P218" s="4"/>
      <c r="Q218" s="4"/>
      <c r="R218" s="4"/>
      <c r="S218" s="4"/>
      <c r="T218" s="4"/>
      <c r="U218" s="4"/>
      <c r="V218" s="4"/>
      <c r="W218" s="4"/>
      <c r="X218" s="4"/>
      <c r="Y218" s="4"/>
      <c r="Z218" s="4"/>
    </row>
    <row r="219" spans="1:26">
      <c r="A219" s="10"/>
      <c r="B219" s="10"/>
      <c r="C219" s="4"/>
      <c r="D219" s="10"/>
      <c r="E219" s="10"/>
      <c r="F219" s="4"/>
      <c r="G219" s="4"/>
      <c r="H219" s="4"/>
      <c r="I219" s="4"/>
      <c r="J219" s="4"/>
      <c r="K219" s="4"/>
      <c r="L219" s="4"/>
      <c r="M219" s="4"/>
      <c r="N219" s="4"/>
      <c r="O219" s="4"/>
      <c r="P219" s="4"/>
      <c r="Q219" s="4"/>
      <c r="R219" s="4"/>
      <c r="S219" s="4"/>
      <c r="T219" s="4"/>
      <c r="U219" s="4"/>
      <c r="V219" s="4"/>
      <c r="W219" s="4"/>
      <c r="X219" s="4"/>
      <c r="Y219" s="4"/>
      <c r="Z219" s="4"/>
    </row>
    <row r="220" spans="1:26">
      <c r="A220" s="10"/>
      <c r="B220" s="10"/>
      <c r="C220" s="4"/>
      <c r="D220" s="10"/>
      <c r="E220" s="10"/>
      <c r="F220" s="4"/>
      <c r="G220" s="4"/>
      <c r="H220" s="4"/>
      <c r="I220" s="4"/>
      <c r="J220" s="4"/>
      <c r="K220" s="4"/>
      <c r="L220" s="4"/>
      <c r="M220" s="4"/>
      <c r="N220" s="4"/>
      <c r="O220" s="4"/>
      <c r="P220" s="4"/>
      <c r="Q220" s="4"/>
      <c r="R220" s="4"/>
      <c r="S220" s="4"/>
      <c r="T220" s="4"/>
      <c r="U220" s="4"/>
      <c r="V220" s="4"/>
      <c r="W220" s="4"/>
      <c r="X220" s="4"/>
      <c r="Y220" s="4"/>
      <c r="Z220" s="4"/>
    </row>
    <row r="221" spans="1:26">
      <c r="A221" s="10"/>
      <c r="B221" s="10"/>
      <c r="C221" s="4"/>
      <c r="D221" s="10"/>
      <c r="E221" s="10"/>
      <c r="F221" s="4"/>
      <c r="G221" s="4"/>
      <c r="H221" s="4"/>
      <c r="I221" s="4"/>
      <c r="J221" s="4"/>
      <c r="K221" s="4"/>
      <c r="L221" s="4"/>
      <c r="M221" s="4"/>
      <c r="N221" s="4"/>
      <c r="O221" s="4"/>
      <c r="P221" s="4"/>
      <c r="Q221" s="4"/>
      <c r="R221" s="4"/>
      <c r="S221" s="4"/>
      <c r="T221" s="4"/>
      <c r="U221" s="4"/>
      <c r="V221" s="4"/>
      <c r="W221" s="4"/>
      <c r="X221" s="4"/>
      <c r="Y221" s="4"/>
      <c r="Z221" s="4"/>
    </row>
    <row r="222" spans="1:26">
      <c r="A222" s="10"/>
      <c r="B222" s="10"/>
      <c r="C222" s="4"/>
      <c r="D222" s="10"/>
      <c r="E222" s="10"/>
      <c r="F222" s="4"/>
      <c r="G222" s="4"/>
      <c r="H222" s="4"/>
      <c r="I222" s="4"/>
      <c r="J222" s="4"/>
      <c r="K222" s="4"/>
      <c r="L222" s="4"/>
      <c r="M222" s="4"/>
      <c r="N222" s="4"/>
      <c r="O222" s="4"/>
      <c r="P222" s="4"/>
      <c r="Q222" s="4"/>
      <c r="R222" s="4"/>
      <c r="S222" s="4"/>
      <c r="T222" s="4"/>
      <c r="U222" s="4"/>
      <c r="V222" s="4"/>
      <c r="W222" s="4"/>
      <c r="X222" s="4"/>
      <c r="Y222" s="4"/>
      <c r="Z222" s="4"/>
    </row>
    <row r="223" spans="1:26">
      <c r="A223" s="10"/>
      <c r="B223" s="10"/>
      <c r="C223" s="4"/>
      <c r="D223" s="10"/>
      <c r="E223" s="10"/>
      <c r="F223" s="4"/>
      <c r="G223" s="4"/>
      <c r="H223" s="4"/>
      <c r="I223" s="4"/>
      <c r="J223" s="4"/>
      <c r="K223" s="4"/>
      <c r="L223" s="4"/>
      <c r="M223" s="4"/>
      <c r="N223" s="4"/>
      <c r="O223" s="4"/>
      <c r="P223" s="4"/>
      <c r="Q223" s="4"/>
      <c r="R223" s="4"/>
      <c r="S223" s="4"/>
      <c r="T223" s="4"/>
      <c r="U223" s="4"/>
      <c r="V223" s="4"/>
      <c r="W223" s="4"/>
      <c r="X223" s="4"/>
      <c r="Y223" s="4"/>
      <c r="Z223" s="4"/>
    </row>
    <row r="224" spans="1:26">
      <c r="A224" s="10"/>
      <c r="B224" s="10"/>
      <c r="C224" s="4"/>
      <c r="D224" s="10"/>
      <c r="E224" s="10"/>
      <c r="F224" s="4"/>
      <c r="G224" s="4"/>
      <c r="H224" s="4"/>
      <c r="I224" s="4"/>
      <c r="J224" s="4"/>
      <c r="K224" s="4"/>
      <c r="L224" s="4"/>
      <c r="M224" s="4"/>
      <c r="N224" s="4"/>
      <c r="O224" s="4"/>
      <c r="P224" s="4"/>
      <c r="Q224" s="4"/>
      <c r="R224" s="4"/>
      <c r="S224" s="4"/>
      <c r="T224" s="4"/>
      <c r="U224" s="4"/>
      <c r="V224" s="4"/>
      <c r="W224" s="4"/>
      <c r="X224" s="4"/>
      <c r="Y224" s="4"/>
      <c r="Z224" s="4"/>
    </row>
    <row r="225" spans="1:26">
      <c r="A225" s="10"/>
      <c r="B225" s="10"/>
      <c r="C225" s="4"/>
      <c r="D225" s="10"/>
      <c r="E225" s="10"/>
      <c r="F225" s="4"/>
      <c r="G225" s="4"/>
      <c r="H225" s="4"/>
      <c r="I225" s="4"/>
      <c r="J225" s="4"/>
      <c r="K225" s="4"/>
      <c r="L225" s="4"/>
      <c r="M225" s="4"/>
      <c r="N225" s="4"/>
      <c r="O225" s="4"/>
      <c r="P225" s="4"/>
      <c r="Q225" s="4"/>
      <c r="R225" s="4"/>
      <c r="S225" s="4"/>
      <c r="T225" s="4"/>
      <c r="U225" s="4"/>
      <c r="V225" s="4"/>
      <c r="W225" s="4"/>
      <c r="X225" s="4"/>
      <c r="Y225" s="4"/>
      <c r="Z225" s="4"/>
    </row>
    <row r="226" spans="1:26">
      <c r="A226" s="10"/>
      <c r="B226" s="10"/>
      <c r="C226" s="4"/>
      <c r="D226" s="10"/>
      <c r="E226" s="10"/>
      <c r="F226" s="4"/>
      <c r="G226" s="4"/>
      <c r="H226" s="4"/>
      <c r="I226" s="4"/>
      <c r="J226" s="4"/>
      <c r="K226" s="4"/>
      <c r="L226" s="4"/>
      <c r="M226" s="4"/>
      <c r="N226" s="4"/>
      <c r="O226" s="4"/>
      <c r="P226" s="4"/>
      <c r="Q226" s="4"/>
      <c r="R226" s="4"/>
      <c r="S226" s="4"/>
      <c r="T226" s="4"/>
      <c r="U226" s="4"/>
      <c r="V226" s="4"/>
      <c r="W226" s="4"/>
      <c r="X226" s="4"/>
      <c r="Y226" s="4"/>
      <c r="Z226" s="4"/>
    </row>
    <row r="227" spans="1:26">
      <c r="A227" s="10"/>
      <c r="B227" s="10"/>
      <c r="C227" s="4"/>
      <c r="D227" s="10"/>
      <c r="E227" s="10"/>
      <c r="F227" s="4"/>
      <c r="G227" s="4"/>
      <c r="H227" s="4"/>
      <c r="I227" s="4"/>
      <c r="J227" s="4"/>
      <c r="K227" s="4"/>
      <c r="L227" s="4"/>
      <c r="M227" s="4"/>
      <c r="N227" s="4"/>
      <c r="O227" s="4"/>
      <c r="P227" s="4"/>
      <c r="Q227" s="4"/>
      <c r="R227" s="4"/>
      <c r="S227" s="4"/>
      <c r="T227" s="4"/>
      <c r="U227" s="4"/>
      <c r="V227" s="4"/>
      <c r="W227" s="4"/>
      <c r="X227" s="4"/>
      <c r="Y227" s="4"/>
      <c r="Z227" s="4"/>
    </row>
    <row r="228" spans="1:26">
      <c r="A228" s="10"/>
      <c r="B228" s="10"/>
      <c r="C228" s="4"/>
      <c r="D228" s="10"/>
      <c r="E228" s="10"/>
      <c r="F228" s="4"/>
      <c r="G228" s="4"/>
      <c r="H228" s="4"/>
      <c r="I228" s="4"/>
      <c r="J228" s="4"/>
      <c r="K228" s="4"/>
      <c r="L228" s="4"/>
      <c r="M228" s="4"/>
      <c r="N228" s="4"/>
      <c r="O228" s="4"/>
      <c r="P228" s="4"/>
      <c r="Q228" s="4"/>
      <c r="R228" s="4"/>
      <c r="S228" s="4"/>
      <c r="T228" s="4"/>
      <c r="U228" s="4"/>
      <c r="V228" s="4"/>
      <c r="W228" s="4"/>
      <c r="X228" s="4"/>
      <c r="Y228" s="4"/>
      <c r="Z228" s="4"/>
    </row>
    <row r="229" spans="1:26">
      <c r="A229" s="10"/>
      <c r="B229" s="10"/>
      <c r="C229" s="4"/>
      <c r="D229" s="10"/>
      <c r="E229" s="10"/>
      <c r="F229" s="4"/>
      <c r="G229" s="4"/>
      <c r="H229" s="4"/>
      <c r="I229" s="4"/>
      <c r="J229" s="4"/>
      <c r="K229" s="4"/>
      <c r="L229" s="4"/>
      <c r="M229" s="4"/>
      <c r="N229" s="4"/>
      <c r="O229" s="4"/>
      <c r="P229" s="4"/>
      <c r="Q229" s="4"/>
      <c r="R229" s="4"/>
      <c r="S229" s="4"/>
      <c r="T229" s="4"/>
      <c r="U229" s="4"/>
      <c r="V229" s="4"/>
      <c r="W229" s="4"/>
      <c r="X229" s="4"/>
      <c r="Y229" s="4"/>
      <c r="Z229" s="4"/>
    </row>
    <row r="230" spans="1:26">
      <c r="A230" s="10"/>
      <c r="B230" s="10"/>
      <c r="C230" s="4"/>
      <c r="D230" s="10"/>
      <c r="E230" s="10"/>
      <c r="F230" s="4"/>
      <c r="G230" s="4"/>
      <c r="H230" s="4"/>
      <c r="I230" s="4"/>
      <c r="J230" s="4"/>
      <c r="K230" s="4"/>
      <c r="L230" s="4"/>
      <c r="M230" s="4"/>
      <c r="N230" s="4"/>
      <c r="O230" s="4"/>
      <c r="P230" s="4"/>
      <c r="Q230" s="4"/>
      <c r="R230" s="4"/>
      <c r="S230" s="4"/>
      <c r="T230" s="4"/>
      <c r="U230" s="4"/>
      <c r="V230" s="4"/>
      <c r="W230" s="4"/>
      <c r="X230" s="4"/>
      <c r="Y230" s="4"/>
      <c r="Z230" s="4"/>
    </row>
    <row r="231" spans="1:26">
      <c r="A231" s="10"/>
      <c r="B231" s="10"/>
      <c r="C231" s="4"/>
      <c r="D231" s="10"/>
      <c r="E231" s="10"/>
      <c r="F231" s="4"/>
      <c r="G231" s="4"/>
      <c r="H231" s="4"/>
      <c r="I231" s="4"/>
      <c r="J231" s="4"/>
      <c r="K231" s="4"/>
      <c r="L231" s="4"/>
      <c r="M231" s="4"/>
      <c r="N231" s="4"/>
      <c r="O231" s="4"/>
      <c r="P231" s="4"/>
      <c r="Q231" s="4"/>
      <c r="R231" s="4"/>
      <c r="S231" s="4"/>
      <c r="T231" s="4"/>
      <c r="U231" s="4"/>
      <c r="V231" s="4"/>
      <c r="W231" s="4"/>
      <c r="X231" s="4"/>
      <c r="Y231" s="4"/>
      <c r="Z231" s="4"/>
    </row>
    <row r="232" spans="1:26">
      <c r="A232" s="10"/>
      <c r="B232" s="10"/>
      <c r="C232" s="4"/>
      <c r="D232" s="10"/>
      <c r="E232" s="10"/>
      <c r="F232" s="4"/>
      <c r="G232" s="4"/>
      <c r="H232" s="4"/>
      <c r="I232" s="4"/>
      <c r="J232" s="4"/>
      <c r="K232" s="4"/>
      <c r="L232" s="4"/>
      <c r="M232" s="4"/>
      <c r="N232" s="4"/>
      <c r="O232" s="4"/>
      <c r="P232" s="4"/>
      <c r="Q232" s="4"/>
      <c r="R232" s="4"/>
      <c r="S232" s="4"/>
      <c r="T232" s="4"/>
      <c r="U232" s="4"/>
      <c r="V232" s="4"/>
      <c r="W232" s="4"/>
      <c r="X232" s="4"/>
      <c r="Y232" s="4"/>
      <c r="Z232" s="4"/>
    </row>
    <row r="233" spans="1:26">
      <c r="A233" s="10"/>
      <c r="B233" s="10"/>
      <c r="C233" s="4"/>
      <c r="D233" s="10"/>
      <c r="E233" s="10"/>
      <c r="F233" s="4"/>
      <c r="G233" s="4"/>
      <c r="H233" s="4"/>
      <c r="I233" s="4"/>
      <c r="J233" s="4"/>
      <c r="K233" s="4"/>
      <c r="L233" s="4"/>
      <c r="M233" s="4"/>
      <c r="N233" s="4"/>
      <c r="O233" s="4"/>
      <c r="P233" s="4"/>
      <c r="Q233" s="4"/>
      <c r="R233" s="4"/>
      <c r="S233" s="4"/>
      <c r="T233" s="4"/>
      <c r="U233" s="4"/>
      <c r="V233" s="4"/>
      <c r="W233" s="4"/>
      <c r="X233" s="4"/>
      <c r="Y233" s="4"/>
      <c r="Z233" s="4"/>
    </row>
    <row r="234" spans="1:26">
      <c r="A234" s="10"/>
      <c r="B234" s="10"/>
      <c r="C234" s="4"/>
      <c r="D234" s="10"/>
      <c r="E234" s="10"/>
      <c r="F234" s="4"/>
      <c r="G234" s="4"/>
      <c r="H234" s="4"/>
      <c r="I234" s="4"/>
      <c r="J234" s="4"/>
      <c r="K234" s="4"/>
      <c r="L234" s="4"/>
      <c r="M234" s="4"/>
      <c r="N234" s="4"/>
      <c r="O234" s="4"/>
      <c r="P234" s="4"/>
      <c r="Q234" s="4"/>
      <c r="R234" s="4"/>
      <c r="S234" s="4"/>
      <c r="T234" s="4"/>
      <c r="U234" s="4"/>
      <c r="V234" s="4"/>
      <c r="W234" s="4"/>
      <c r="X234" s="4"/>
      <c r="Y234" s="4"/>
      <c r="Z234" s="4"/>
    </row>
    <row r="235" spans="1:26">
      <c r="A235" s="10"/>
      <c r="B235" s="10"/>
      <c r="C235" s="4"/>
      <c r="D235" s="10"/>
      <c r="E235" s="10"/>
      <c r="F235" s="4"/>
      <c r="G235" s="4"/>
      <c r="H235" s="4"/>
      <c r="I235" s="4"/>
      <c r="J235" s="4"/>
      <c r="K235" s="4"/>
      <c r="L235" s="4"/>
      <c r="M235" s="4"/>
      <c r="N235" s="4"/>
      <c r="O235" s="4"/>
      <c r="P235" s="4"/>
      <c r="Q235" s="4"/>
      <c r="R235" s="4"/>
      <c r="S235" s="4"/>
      <c r="T235" s="4"/>
      <c r="U235" s="4"/>
      <c r="V235" s="4"/>
      <c r="W235" s="4"/>
      <c r="X235" s="4"/>
      <c r="Y235" s="4"/>
      <c r="Z235" s="4"/>
    </row>
    <row r="236" spans="1:26">
      <c r="A236" s="10"/>
      <c r="B236" s="10"/>
      <c r="C236" s="4"/>
      <c r="D236" s="10"/>
      <c r="E236" s="10"/>
      <c r="F236" s="4"/>
      <c r="G236" s="4"/>
      <c r="H236" s="4"/>
      <c r="I236" s="4"/>
      <c r="J236" s="4"/>
      <c r="K236" s="4"/>
      <c r="L236" s="4"/>
      <c r="M236" s="4"/>
      <c r="N236" s="4"/>
      <c r="O236" s="4"/>
      <c r="P236" s="4"/>
      <c r="Q236" s="4"/>
      <c r="R236" s="4"/>
      <c r="S236" s="4"/>
      <c r="T236" s="4"/>
      <c r="U236" s="4"/>
      <c r="V236" s="4"/>
      <c r="W236" s="4"/>
      <c r="X236" s="4"/>
      <c r="Y236" s="4"/>
      <c r="Z236" s="4"/>
    </row>
    <row r="237" spans="1:26">
      <c r="A237" s="10"/>
      <c r="B237" s="10"/>
      <c r="C237" s="4"/>
      <c r="D237" s="10"/>
      <c r="E237" s="10"/>
      <c r="F237" s="4"/>
      <c r="G237" s="4"/>
      <c r="H237" s="4"/>
      <c r="I237" s="4"/>
      <c r="J237" s="4"/>
      <c r="K237" s="4"/>
      <c r="L237" s="4"/>
      <c r="M237" s="4"/>
      <c r="N237" s="4"/>
      <c r="O237" s="4"/>
      <c r="P237" s="4"/>
      <c r="Q237" s="4"/>
      <c r="R237" s="4"/>
      <c r="S237" s="4"/>
      <c r="T237" s="4"/>
      <c r="U237" s="4"/>
      <c r="V237" s="4"/>
      <c r="W237" s="4"/>
      <c r="X237" s="4"/>
      <c r="Y237" s="4"/>
      <c r="Z237" s="4"/>
    </row>
    <row r="238" spans="1:26">
      <c r="A238" s="10"/>
      <c r="B238" s="10"/>
      <c r="C238" s="4"/>
      <c r="D238" s="10"/>
      <c r="E238" s="10"/>
      <c r="F238" s="4"/>
      <c r="G238" s="4"/>
      <c r="H238" s="4"/>
      <c r="I238" s="4"/>
      <c r="J238" s="4"/>
      <c r="K238" s="4"/>
      <c r="L238" s="4"/>
      <c r="M238" s="4"/>
      <c r="N238" s="4"/>
      <c r="O238" s="4"/>
      <c r="P238" s="4"/>
      <c r="Q238" s="4"/>
      <c r="R238" s="4"/>
      <c r="S238" s="4"/>
      <c r="T238" s="4"/>
      <c r="U238" s="4"/>
      <c r="V238" s="4"/>
      <c r="W238" s="4"/>
      <c r="X238" s="4"/>
      <c r="Y238" s="4"/>
      <c r="Z238" s="4"/>
    </row>
    <row r="239" spans="1:26">
      <c r="A239" s="10"/>
      <c r="B239" s="10"/>
      <c r="C239" s="4"/>
      <c r="D239" s="10"/>
      <c r="E239" s="10"/>
      <c r="F239" s="4"/>
      <c r="G239" s="4"/>
      <c r="H239" s="4"/>
      <c r="I239" s="4"/>
      <c r="J239" s="4"/>
      <c r="K239" s="4"/>
      <c r="L239" s="4"/>
      <c r="M239" s="4"/>
      <c r="N239" s="4"/>
      <c r="O239" s="4"/>
      <c r="P239" s="4"/>
      <c r="Q239" s="4"/>
      <c r="R239" s="4"/>
      <c r="S239" s="4"/>
      <c r="T239" s="4"/>
      <c r="U239" s="4"/>
      <c r="V239" s="4"/>
      <c r="W239" s="4"/>
      <c r="X239" s="4"/>
      <c r="Y239" s="4"/>
      <c r="Z239" s="4"/>
    </row>
    <row r="240" spans="1:26">
      <c r="A240" s="10"/>
      <c r="B240" s="10"/>
      <c r="C240" s="4"/>
      <c r="D240" s="10"/>
      <c r="E240" s="10"/>
      <c r="F240" s="4"/>
      <c r="G240" s="4"/>
      <c r="H240" s="4"/>
      <c r="I240" s="4"/>
      <c r="J240" s="4"/>
      <c r="K240" s="4"/>
      <c r="L240" s="4"/>
      <c r="M240" s="4"/>
      <c r="N240" s="4"/>
      <c r="O240" s="4"/>
      <c r="P240" s="4"/>
      <c r="Q240" s="4"/>
      <c r="R240" s="4"/>
      <c r="S240" s="4"/>
      <c r="T240" s="4"/>
      <c r="U240" s="4"/>
      <c r="V240" s="4"/>
      <c r="W240" s="4"/>
      <c r="X240" s="4"/>
      <c r="Y240" s="4"/>
      <c r="Z240" s="4"/>
    </row>
    <row r="241" spans="1:26">
      <c r="A241" s="10"/>
      <c r="B241" s="10"/>
      <c r="C241" s="4"/>
      <c r="D241" s="10"/>
      <c r="E241" s="10"/>
      <c r="F241" s="4"/>
      <c r="G241" s="4"/>
      <c r="H241" s="4"/>
      <c r="I241" s="4"/>
      <c r="J241" s="4"/>
      <c r="K241" s="4"/>
      <c r="L241" s="4"/>
      <c r="M241" s="4"/>
      <c r="N241" s="4"/>
      <c r="O241" s="4"/>
      <c r="P241" s="4"/>
      <c r="Q241" s="4"/>
      <c r="R241" s="4"/>
      <c r="S241" s="4"/>
      <c r="T241" s="4"/>
      <c r="U241" s="4"/>
      <c r="V241" s="4"/>
      <c r="W241" s="4"/>
      <c r="X241" s="4"/>
      <c r="Y241" s="4"/>
      <c r="Z241" s="4"/>
    </row>
    <row r="242" spans="1:26">
      <c r="A242" s="10"/>
      <c r="B242" s="10"/>
      <c r="C242" s="4"/>
      <c r="D242" s="10"/>
      <c r="E242" s="10"/>
      <c r="F242" s="4"/>
      <c r="G242" s="4"/>
      <c r="H242" s="4"/>
      <c r="I242" s="4"/>
      <c r="J242" s="4"/>
      <c r="K242" s="4"/>
      <c r="L242" s="4"/>
      <c r="M242" s="4"/>
      <c r="N242" s="4"/>
      <c r="O242" s="4"/>
      <c r="P242" s="4"/>
      <c r="Q242" s="4"/>
      <c r="R242" s="4"/>
      <c r="S242" s="4"/>
      <c r="T242" s="4"/>
      <c r="U242" s="4"/>
      <c r="V242" s="4"/>
      <c r="W242" s="4"/>
      <c r="X242" s="4"/>
      <c r="Y242" s="4"/>
      <c r="Z242" s="4"/>
    </row>
    <row r="243" spans="1:26">
      <c r="A243" s="10"/>
      <c r="B243" s="10"/>
      <c r="C243" s="4"/>
      <c r="D243" s="10"/>
      <c r="E243" s="10"/>
      <c r="F243" s="4"/>
      <c r="G243" s="4"/>
      <c r="H243" s="4"/>
      <c r="I243" s="4"/>
      <c r="J243" s="4"/>
      <c r="K243" s="4"/>
      <c r="L243" s="4"/>
      <c r="M243" s="4"/>
      <c r="N243" s="4"/>
      <c r="O243" s="4"/>
      <c r="P243" s="4"/>
      <c r="Q243" s="4"/>
      <c r="R243" s="4"/>
      <c r="S243" s="4"/>
      <c r="T243" s="4"/>
      <c r="U243" s="4"/>
      <c r="V243" s="4"/>
      <c r="W243" s="4"/>
      <c r="X243" s="4"/>
      <c r="Y243" s="4"/>
      <c r="Z243" s="4"/>
    </row>
    <row r="244" spans="1:26">
      <c r="A244" s="10"/>
      <c r="B244" s="10"/>
      <c r="C244" s="4"/>
      <c r="D244" s="10"/>
      <c r="E244" s="10"/>
      <c r="F244" s="4"/>
      <c r="G244" s="4"/>
      <c r="H244" s="4"/>
      <c r="I244" s="4"/>
      <c r="J244" s="4"/>
      <c r="K244" s="4"/>
      <c r="L244" s="4"/>
      <c r="M244" s="4"/>
      <c r="N244" s="4"/>
      <c r="O244" s="4"/>
      <c r="P244" s="4"/>
      <c r="Q244" s="4"/>
      <c r="R244" s="4"/>
      <c r="S244" s="4"/>
      <c r="T244" s="4"/>
      <c r="U244" s="4"/>
      <c r="V244" s="4"/>
      <c r="W244" s="4"/>
      <c r="X244" s="4"/>
      <c r="Y244" s="4"/>
      <c r="Z244" s="4"/>
    </row>
    <row r="245" spans="1:26">
      <c r="A245" s="10"/>
      <c r="B245" s="10"/>
      <c r="C245" s="4"/>
      <c r="D245" s="10"/>
      <c r="E245" s="10"/>
      <c r="F245" s="4"/>
      <c r="G245" s="4"/>
      <c r="H245" s="4"/>
      <c r="I245" s="4"/>
      <c r="J245" s="4"/>
      <c r="K245" s="4"/>
      <c r="L245" s="4"/>
      <c r="M245" s="4"/>
      <c r="N245" s="4"/>
      <c r="O245" s="4"/>
      <c r="P245" s="4"/>
      <c r="Q245" s="4"/>
      <c r="R245" s="4"/>
      <c r="S245" s="4"/>
      <c r="T245" s="4"/>
      <c r="U245" s="4"/>
      <c r="V245" s="4"/>
      <c r="W245" s="4"/>
      <c r="X245" s="4"/>
      <c r="Y245" s="4"/>
      <c r="Z245" s="4"/>
    </row>
    <row r="246" spans="1:26">
      <c r="A246" s="10"/>
      <c r="B246" s="10"/>
      <c r="C246" s="4"/>
      <c r="D246" s="10"/>
      <c r="E246" s="10"/>
      <c r="F246" s="4"/>
      <c r="G246" s="4"/>
      <c r="H246" s="4"/>
      <c r="I246" s="4"/>
      <c r="J246" s="4"/>
      <c r="K246" s="4"/>
      <c r="L246" s="4"/>
      <c r="M246" s="4"/>
      <c r="N246" s="4"/>
      <c r="O246" s="4"/>
      <c r="P246" s="4"/>
      <c r="Q246" s="4"/>
      <c r="R246" s="4"/>
      <c r="S246" s="4"/>
      <c r="T246" s="4"/>
      <c r="U246" s="4"/>
      <c r="V246" s="4"/>
      <c r="W246" s="4"/>
      <c r="X246" s="4"/>
      <c r="Y246" s="4"/>
      <c r="Z246" s="4"/>
    </row>
    <row r="247" spans="1:26">
      <c r="A247" s="10"/>
      <c r="B247" s="10"/>
      <c r="C247" s="4"/>
      <c r="D247" s="10"/>
      <c r="E247" s="10"/>
      <c r="F247" s="4"/>
      <c r="G247" s="4"/>
      <c r="H247" s="4"/>
      <c r="I247" s="4"/>
      <c r="J247" s="4"/>
      <c r="K247" s="4"/>
      <c r="L247" s="4"/>
      <c r="M247" s="4"/>
      <c r="N247" s="4"/>
      <c r="O247" s="4"/>
      <c r="P247" s="4"/>
      <c r="Q247" s="4"/>
      <c r="R247" s="4"/>
      <c r="S247" s="4"/>
      <c r="T247" s="4"/>
      <c r="U247" s="4"/>
      <c r="V247" s="4"/>
      <c r="W247" s="4"/>
      <c r="X247" s="4"/>
      <c r="Y247" s="4"/>
      <c r="Z247" s="4"/>
    </row>
    <row r="248" spans="1:26">
      <c r="A248" s="10"/>
      <c r="B248" s="10"/>
      <c r="C248" s="4"/>
      <c r="D248" s="10"/>
      <c r="E248" s="10"/>
      <c r="F248" s="4"/>
      <c r="G248" s="4"/>
      <c r="H248" s="4"/>
      <c r="I248" s="4"/>
      <c r="J248" s="4"/>
      <c r="K248" s="4"/>
      <c r="L248" s="4"/>
      <c r="M248" s="4"/>
      <c r="N248" s="4"/>
      <c r="O248" s="4"/>
      <c r="P248" s="4"/>
      <c r="Q248" s="4"/>
      <c r="R248" s="4"/>
      <c r="S248" s="4"/>
      <c r="T248" s="4"/>
      <c r="U248" s="4"/>
      <c r="V248" s="4"/>
      <c r="W248" s="4"/>
      <c r="X248" s="4"/>
      <c r="Y248" s="4"/>
      <c r="Z248" s="4"/>
    </row>
    <row r="249" spans="1:26">
      <c r="A249" s="10"/>
      <c r="B249" s="10"/>
      <c r="C249" s="4"/>
      <c r="D249" s="10"/>
      <c r="E249" s="10"/>
      <c r="F249" s="4"/>
      <c r="G249" s="4"/>
      <c r="H249" s="4"/>
      <c r="I249" s="4"/>
      <c r="J249" s="4"/>
      <c r="K249" s="4"/>
      <c r="L249" s="4"/>
      <c r="M249" s="4"/>
      <c r="N249" s="4"/>
      <c r="O249" s="4"/>
      <c r="P249" s="4"/>
      <c r="Q249" s="4"/>
      <c r="R249" s="4"/>
      <c r="S249" s="4"/>
      <c r="T249" s="4"/>
      <c r="U249" s="4"/>
      <c r="V249" s="4"/>
      <c r="W249" s="4"/>
      <c r="X249" s="4"/>
      <c r="Y249" s="4"/>
      <c r="Z249" s="4"/>
    </row>
    <row r="250" spans="1:26">
      <c r="A250" s="10"/>
      <c r="B250" s="10"/>
      <c r="C250" s="4"/>
      <c r="D250" s="10"/>
      <c r="E250" s="10"/>
      <c r="F250" s="4"/>
      <c r="G250" s="4"/>
      <c r="H250" s="4"/>
      <c r="I250" s="4"/>
      <c r="J250" s="4"/>
      <c r="K250" s="4"/>
      <c r="L250" s="4"/>
      <c r="M250" s="4"/>
      <c r="N250" s="4"/>
      <c r="O250" s="4"/>
      <c r="P250" s="4"/>
      <c r="Q250" s="4"/>
      <c r="R250" s="4"/>
      <c r="S250" s="4"/>
      <c r="T250" s="4"/>
      <c r="U250" s="4"/>
      <c r="V250" s="4"/>
      <c r="W250" s="4"/>
      <c r="X250" s="4"/>
      <c r="Y250" s="4"/>
      <c r="Z250" s="4"/>
    </row>
    <row r="251" spans="1:26">
      <c r="A251" s="10"/>
      <c r="B251" s="10"/>
      <c r="C251" s="4"/>
      <c r="D251" s="10"/>
      <c r="E251" s="10"/>
      <c r="F251" s="4"/>
      <c r="G251" s="4"/>
      <c r="H251" s="4"/>
      <c r="I251" s="4"/>
      <c r="J251" s="4"/>
      <c r="K251" s="4"/>
      <c r="L251" s="4"/>
      <c r="M251" s="4"/>
      <c r="N251" s="4"/>
      <c r="O251" s="4"/>
      <c r="P251" s="4"/>
      <c r="Q251" s="4"/>
      <c r="R251" s="4"/>
      <c r="S251" s="4"/>
      <c r="T251" s="4"/>
      <c r="U251" s="4"/>
      <c r="V251" s="4"/>
      <c r="W251" s="4"/>
      <c r="X251" s="4"/>
      <c r="Y251" s="4"/>
      <c r="Z251" s="4"/>
    </row>
    <row r="252" spans="1:26">
      <c r="A252" s="10"/>
      <c r="B252" s="10"/>
      <c r="C252" s="4"/>
      <c r="D252" s="10"/>
      <c r="E252" s="10"/>
      <c r="F252" s="4"/>
      <c r="G252" s="4"/>
      <c r="H252" s="4"/>
      <c r="I252" s="4"/>
      <c r="J252" s="4"/>
      <c r="K252" s="4"/>
      <c r="L252" s="4"/>
      <c r="M252" s="4"/>
      <c r="N252" s="4"/>
      <c r="O252" s="4"/>
      <c r="P252" s="4"/>
      <c r="Q252" s="4"/>
      <c r="R252" s="4"/>
      <c r="S252" s="4"/>
      <c r="T252" s="4"/>
      <c r="U252" s="4"/>
      <c r="V252" s="4"/>
      <c r="W252" s="4"/>
      <c r="X252" s="4"/>
      <c r="Y252" s="4"/>
      <c r="Z252" s="4"/>
    </row>
    <row r="253" spans="1:26">
      <c r="A253" s="10"/>
      <c r="B253" s="10"/>
      <c r="C253" s="4"/>
      <c r="D253" s="10"/>
      <c r="E253" s="10"/>
      <c r="F253" s="4"/>
      <c r="G253" s="4"/>
      <c r="H253" s="4"/>
      <c r="I253" s="4"/>
      <c r="J253" s="4"/>
      <c r="K253" s="4"/>
      <c r="L253" s="4"/>
      <c r="M253" s="4"/>
      <c r="N253" s="4"/>
      <c r="O253" s="4"/>
      <c r="P253" s="4"/>
      <c r="Q253" s="4"/>
      <c r="R253" s="4"/>
      <c r="S253" s="4"/>
      <c r="T253" s="4"/>
      <c r="U253" s="4"/>
      <c r="V253" s="4"/>
      <c r="W253" s="4"/>
      <c r="X253" s="4"/>
      <c r="Y253" s="4"/>
      <c r="Z253" s="4"/>
    </row>
    <row r="254" spans="1:26">
      <c r="A254" s="10"/>
      <c r="B254" s="10"/>
      <c r="C254" s="4"/>
      <c r="D254" s="10"/>
      <c r="E254" s="10"/>
      <c r="F254" s="4"/>
      <c r="G254" s="4"/>
      <c r="H254" s="4"/>
      <c r="I254" s="4"/>
      <c r="J254" s="4"/>
      <c r="K254" s="4"/>
      <c r="L254" s="4"/>
      <c r="M254" s="4"/>
      <c r="N254" s="4"/>
      <c r="O254" s="4"/>
      <c r="P254" s="4"/>
      <c r="Q254" s="4"/>
      <c r="R254" s="4"/>
      <c r="S254" s="4"/>
      <c r="T254" s="4"/>
      <c r="U254" s="4"/>
      <c r="V254" s="4"/>
      <c r="W254" s="4"/>
      <c r="X254" s="4"/>
      <c r="Y254" s="4"/>
      <c r="Z254" s="4"/>
    </row>
    <row r="255" spans="1:26">
      <c r="A255" s="10"/>
      <c r="B255" s="10"/>
      <c r="C255" s="4"/>
      <c r="D255" s="10"/>
      <c r="E255" s="10"/>
      <c r="F255" s="4"/>
      <c r="G255" s="4"/>
      <c r="H255" s="4"/>
      <c r="I255" s="4"/>
      <c r="J255" s="4"/>
      <c r="K255" s="4"/>
      <c r="L255" s="4"/>
      <c r="M255" s="4"/>
      <c r="N255" s="4"/>
      <c r="O255" s="4"/>
      <c r="P255" s="4"/>
      <c r="Q255" s="4"/>
      <c r="R255" s="4"/>
      <c r="S255" s="4"/>
      <c r="T255" s="4"/>
      <c r="U255" s="4"/>
      <c r="V255" s="4"/>
      <c r="W255" s="4"/>
      <c r="X255" s="4"/>
      <c r="Y255" s="4"/>
      <c r="Z255" s="4"/>
    </row>
    <row r="256" spans="1:26">
      <c r="A256" s="10"/>
      <c r="B256" s="10"/>
      <c r="C256" s="4"/>
      <c r="D256" s="10"/>
      <c r="E256" s="10"/>
      <c r="F256" s="4"/>
      <c r="G256" s="4"/>
      <c r="H256" s="4"/>
      <c r="I256" s="4"/>
      <c r="J256" s="4"/>
      <c r="K256" s="4"/>
      <c r="L256" s="4"/>
      <c r="M256" s="4"/>
      <c r="N256" s="4"/>
      <c r="O256" s="4"/>
      <c r="P256" s="4"/>
      <c r="Q256" s="4"/>
      <c r="R256" s="4"/>
      <c r="S256" s="4"/>
      <c r="T256" s="4"/>
      <c r="U256" s="4"/>
      <c r="V256" s="4"/>
      <c r="W256" s="4"/>
      <c r="X256" s="4"/>
      <c r="Y256" s="4"/>
      <c r="Z256" s="4"/>
    </row>
    <row r="257" spans="1:26">
      <c r="A257" s="10"/>
      <c r="B257" s="10"/>
      <c r="C257" s="4"/>
      <c r="D257" s="10"/>
      <c r="E257" s="10"/>
      <c r="F257" s="4"/>
      <c r="G257" s="4"/>
      <c r="H257" s="4"/>
      <c r="I257" s="4"/>
      <c r="J257" s="4"/>
      <c r="K257" s="4"/>
      <c r="L257" s="4"/>
      <c r="M257" s="4"/>
      <c r="N257" s="4"/>
      <c r="O257" s="4"/>
      <c r="P257" s="4"/>
      <c r="Q257" s="4"/>
      <c r="R257" s="4"/>
      <c r="S257" s="4"/>
      <c r="T257" s="4"/>
      <c r="U257" s="4"/>
      <c r="V257" s="4"/>
      <c r="W257" s="4"/>
      <c r="X257" s="4"/>
      <c r="Y257" s="4"/>
      <c r="Z257" s="4"/>
    </row>
    <row r="258" spans="1:26">
      <c r="A258" s="10"/>
      <c r="B258" s="10"/>
      <c r="C258" s="4"/>
      <c r="D258" s="10"/>
      <c r="E258" s="10"/>
      <c r="F258" s="4"/>
      <c r="G258" s="4"/>
      <c r="H258" s="4"/>
      <c r="I258" s="4"/>
      <c r="J258" s="4"/>
      <c r="K258" s="4"/>
      <c r="L258" s="4"/>
      <c r="M258" s="4"/>
      <c r="N258" s="4"/>
      <c r="O258" s="4"/>
      <c r="P258" s="4"/>
      <c r="Q258" s="4"/>
      <c r="R258" s="4"/>
      <c r="S258" s="4"/>
      <c r="T258" s="4"/>
      <c r="U258" s="4"/>
      <c r="V258" s="4"/>
      <c r="W258" s="4"/>
      <c r="X258" s="4"/>
      <c r="Y258" s="4"/>
      <c r="Z258" s="4"/>
    </row>
    <row r="259" spans="1:26">
      <c r="A259" s="10"/>
      <c r="B259" s="10"/>
      <c r="C259" s="4"/>
      <c r="D259" s="10"/>
      <c r="E259" s="10"/>
      <c r="F259" s="4"/>
      <c r="G259" s="4"/>
      <c r="H259" s="4"/>
      <c r="I259" s="4"/>
      <c r="J259" s="4"/>
      <c r="K259" s="4"/>
      <c r="L259" s="4"/>
      <c r="M259" s="4"/>
      <c r="N259" s="4"/>
      <c r="O259" s="4"/>
      <c r="P259" s="4"/>
      <c r="Q259" s="4"/>
      <c r="R259" s="4"/>
      <c r="S259" s="4"/>
      <c r="T259" s="4"/>
      <c r="U259" s="4"/>
      <c r="V259" s="4"/>
      <c r="W259" s="4"/>
      <c r="X259" s="4"/>
      <c r="Y259" s="4"/>
      <c r="Z259" s="4"/>
    </row>
    <row r="260" spans="1:26">
      <c r="A260" s="10"/>
      <c r="B260" s="10"/>
      <c r="C260" s="4"/>
      <c r="D260" s="10"/>
      <c r="E260" s="10"/>
      <c r="F260" s="4"/>
      <c r="G260" s="4"/>
      <c r="H260" s="4"/>
      <c r="I260" s="4"/>
      <c r="J260" s="4"/>
      <c r="K260" s="4"/>
      <c r="L260" s="4"/>
      <c r="M260" s="4"/>
      <c r="N260" s="4"/>
      <c r="O260" s="4"/>
      <c r="P260" s="4"/>
      <c r="Q260" s="4"/>
      <c r="R260" s="4"/>
      <c r="S260" s="4"/>
      <c r="T260" s="4"/>
      <c r="U260" s="4"/>
      <c r="V260" s="4"/>
      <c r="W260" s="4"/>
      <c r="X260" s="4"/>
      <c r="Y260" s="4"/>
      <c r="Z260" s="4"/>
    </row>
    <row r="261" spans="1:26">
      <c r="A261" s="10"/>
      <c r="B261" s="10"/>
      <c r="C261" s="4"/>
      <c r="D261" s="10"/>
      <c r="E261" s="10"/>
      <c r="F261" s="4"/>
      <c r="G261" s="4"/>
      <c r="H261" s="4"/>
      <c r="I261" s="4"/>
      <c r="J261" s="4"/>
      <c r="K261" s="4"/>
      <c r="L261" s="4"/>
      <c r="M261" s="4"/>
      <c r="N261" s="4"/>
      <c r="O261" s="4"/>
      <c r="P261" s="4"/>
      <c r="Q261" s="4"/>
      <c r="R261" s="4"/>
      <c r="S261" s="4"/>
      <c r="T261" s="4"/>
      <c r="U261" s="4"/>
      <c r="V261" s="4"/>
      <c r="W261" s="4"/>
      <c r="X261" s="4"/>
      <c r="Y261" s="4"/>
      <c r="Z261" s="4"/>
    </row>
    <row r="262" spans="1:26">
      <c r="A262" s="10"/>
      <c r="B262" s="10"/>
      <c r="C262" s="4"/>
      <c r="D262" s="10"/>
      <c r="E262" s="10"/>
      <c r="F262" s="4"/>
      <c r="G262" s="4"/>
      <c r="H262" s="4"/>
      <c r="I262" s="4"/>
      <c r="J262" s="4"/>
      <c r="K262" s="4"/>
      <c r="L262" s="4"/>
      <c r="M262" s="4"/>
      <c r="N262" s="4"/>
      <c r="O262" s="4"/>
      <c r="P262" s="4"/>
      <c r="Q262" s="4"/>
      <c r="R262" s="4"/>
      <c r="S262" s="4"/>
      <c r="T262" s="4"/>
      <c r="U262" s="4"/>
      <c r="V262" s="4"/>
      <c r="W262" s="4"/>
      <c r="X262" s="4"/>
      <c r="Y262" s="4"/>
      <c r="Z262" s="4"/>
    </row>
    <row r="263" spans="1:26">
      <c r="A263" s="10"/>
      <c r="B263" s="10"/>
      <c r="C263" s="4"/>
      <c r="D263" s="10"/>
      <c r="E263" s="10"/>
      <c r="F263" s="4"/>
      <c r="G263" s="4"/>
      <c r="H263" s="4"/>
      <c r="I263" s="4"/>
      <c r="J263" s="4"/>
      <c r="K263" s="4"/>
      <c r="L263" s="4"/>
      <c r="M263" s="4"/>
      <c r="N263" s="4"/>
      <c r="O263" s="4"/>
      <c r="P263" s="4"/>
      <c r="Q263" s="4"/>
      <c r="R263" s="4"/>
      <c r="S263" s="4"/>
      <c r="T263" s="4"/>
      <c r="U263" s="4"/>
      <c r="V263" s="4"/>
      <c r="W263" s="4"/>
      <c r="X263" s="4"/>
      <c r="Y263" s="4"/>
      <c r="Z263" s="4"/>
    </row>
    <row r="264" spans="1:26">
      <c r="A264" s="10"/>
      <c r="B264" s="10"/>
      <c r="C264" s="4"/>
      <c r="D264" s="10"/>
      <c r="E264" s="10"/>
      <c r="F264" s="4"/>
      <c r="G264" s="4"/>
      <c r="H264" s="4"/>
      <c r="I264" s="4"/>
      <c r="J264" s="4"/>
      <c r="K264" s="4"/>
      <c r="L264" s="4"/>
      <c r="M264" s="4"/>
      <c r="N264" s="4"/>
      <c r="O264" s="4"/>
      <c r="P264" s="4"/>
      <c r="Q264" s="4"/>
      <c r="R264" s="4"/>
      <c r="S264" s="4"/>
      <c r="T264" s="4"/>
      <c r="U264" s="4"/>
      <c r="V264" s="4"/>
      <c r="W264" s="4"/>
      <c r="X264" s="4"/>
      <c r="Y264" s="4"/>
      <c r="Z264" s="4"/>
    </row>
    <row r="265" spans="1:26">
      <c r="A265" s="10"/>
      <c r="B265" s="10"/>
      <c r="C265" s="4"/>
      <c r="D265" s="10"/>
      <c r="E265" s="10"/>
      <c r="F265" s="4"/>
      <c r="G265" s="4"/>
      <c r="H265" s="4"/>
      <c r="I265" s="4"/>
      <c r="J265" s="4"/>
      <c r="K265" s="4"/>
      <c r="L265" s="4"/>
      <c r="M265" s="4"/>
      <c r="N265" s="4"/>
      <c r="O265" s="4"/>
      <c r="P265" s="4"/>
      <c r="Q265" s="4"/>
      <c r="R265" s="4"/>
      <c r="S265" s="4"/>
      <c r="T265" s="4"/>
      <c r="U265" s="4"/>
      <c r="V265" s="4"/>
      <c r="W265" s="4"/>
      <c r="X265" s="4"/>
      <c r="Y265" s="4"/>
      <c r="Z265" s="4"/>
    </row>
    <row r="266" spans="1:26">
      <c r="A266" s="10"/>
      <c r="B266" s="10"/>
      <c r="C266" s="4"/>
      <c r="D266" s="10"/>
      <c r="E266" s="10"/>
      <c r="F266" s="4"/>
      <c r="G266" s="4"/>
      <c r="H266" s="4"/>
      <c r="I266" s="4"/>
      <c r="J266" s="4"/>
      <c r="K266" s="4"/>
      <c r="L266" s="4"/>
      <c r="M266" s="4"/>
      <c r="N266" s="4"/>
      <c r="O266" s="4"/>
      <c r="P266" s="4"/>
      <c r="Q266" s="4"/>
      <c r="R266" s="4"/>
      <c r="S266" s="4"/>
      <c r="T266" s="4"/>
      <c r="U266" s="4"/>
      <c r="V266" s="4"/>
      <c r="W266" s="4"/>
      <c r="X266" s="4"/>
      <c r="Y266" s="4"/>
      <c r="Z266" s="4"/>
    </row>
    <row r="267" spans="1:26">
      <c r="A267" s="10"/>
      <c r="B267" s="10"/>
      <c r="C267" s="4"/>
      <c r="D267" s="10"/>
      <c r="E267" s="10"/>
      <c r="F267" s="4"/>
      <c r="G267" s="4"/>
      <c r="H267" s="4"/>
      <c r="I267" s="4"/>
      <c r="J267" s="4"/>
      <c r="K267" s="4"/>
      <c r="L267" s="4"/>
      <c r="M267" s="4"/>
      <c r="N267" s="4"/>
      <c r="O267" s="4"/>
      <c r="P267" s="4"/>
      <c r="Q267" s="4"/>
      <c r="R267" s="4"/>
      <c r="S267" s="4"/>
      <c r="T267" s="4"/>
      <c r="U267" s="4"/>
      <c r="V267" s="4"/>
      <c r="W267" s="4"/>
      <c r="X267" s="4"/>
      <c r="Y267" s="4"/>
      <c r="Z267" s="4"/>
    </row>
    <row r="268" spans="1:26">
      <c r="A268" s="10"/>
      <c r="B268" s="10"/>
      <c r="C268" s="4"/>
      <c r="D268" s="10"/>
      <c r="E268" s="10"/>
      <c r="F268" s="4"/>
      <c r="G268" s="4"/>
      <c r="H268" s="4"/>
      <c r="I268" s="4"/>
      <c r="J268" s="4"/>
      <c r="K268" s="4"/>
      <c r="L268" s="4"/>
      <c r="M268" s="4"/>
      <c r="N268" s="4"/>
      <c r="O268" s="4"/>
      <c r="P268" s="4"/>
      <c r="Q268" s="4"/>
      <c r="R268" s="4"/>
      <c r="S268" s="4"/>
      <c r="T268" s="4"/>
      <c r="U268" s="4"/>
      <c r="V268" s="4"/>
      <c r="W268" s="4"/>
      <c r="X268" s="4"/>
      <c r="Y268" s="4"/>
      <c r="Z268" s="4"/>
    </row>
    <row r="269" spans="1:26">
      <c r="A269" s="10"/>
      <c r="B269" s="10"/>
      <c r="C269" s="4"/>
      <c r="D269" s="10"/>
      <c r="E269" s="10"/>
      <c r="F269" s="4"/>
      <c r="G269" s="4"/>
      <c r="H269" s="4"/>
      <c r="I269" s="4"/>
      <c r="J269" s="4"/>
      <c r="K269" s="4"/>
      <c r="L269" s="4"/>
      <c r="M269" s="4"/>
      <c r="N269" s="4"/>
      <c r="O269" s="4"/>
      <c r="P269" s="4"/>
      <c r="Q269" s="4"/>
      <c r="R269" s="4"/>
      <c r="S269" s="4"/>
      <c r="T269" s="4"/>
      <c r="U269" s="4"/>
      <c r="V269" s="4"/>
      <c r="W269" s="4"/>
      <c r="X269" s="4"/>
      <c r="Y269" s="4"/>
      <c r="Z269" s="4"/>
    </row>
    <row r="270" spans="1:26">
      <c r="A270" s="10"/>
      <c r="B270" s="10"/>
      <c r="C270" s="4"/>
      <c r="D270" s="10"/>
      <c r="E270" s="10"/>
      <c r="F270" s="4"/>
      <c r="G270" s="4"/>
      <c r="H270" s="4"/>
      <c r="I270" s="4"/>
      <c r="J270" s="4"/>
      <c r="K270" s="4"/>
      <c r="L270" s="4"/>
      <c r="M270" s="4"/>
      <c r="N270" s="4"/>
      <c r="O270" s="4"/>
      <c r="P270" s="4"/>
      <c r="Q270" s="4"/>
      <c r="R270" s="4"/>
      <c r="S270" s="4"/>
      <c r="T270" s="4"/>
      <c r="U270" s="4"/>
      <c r="V270" s="4"/>
      <c r="W270" s="4"/>
      <c r="X270" s="4"/>
      <c r="Y270" s="4"/>
      <c r="Z270" s="4"/>
    </row>
    <row r="271" spans="1:26">
      <c r="A271" s="10"/>
      <c r="B271" s="10"/>
      <c r="C271" s="4"/>
      <c r="D271" s="10"/>
      <c r="E271" s="10"/>
      <c r="F271" s="4"/>
      <c r="G271" s="4"/>
      <c r="H271" s="4"/>
      <c r="I271" s="4"/>
      <c r="J271" s="4"/>
      <c r="K271" s="4"/>
      <c r="L271" s="4"/>
      <c r="M271" s="4"/>
      <c r="N271" s="4"/>
      <c r="O271" s="4"/>
      <c r="P271" s="4"/>
      <c r="Q271" s="4"/>
      <c r="R271" s="4"/>
      <c r="S271" s="4"/>
      <c r="T271" s="4"/>
      <c r="U271" s="4"/>
      <c r="V271" s="4"/>
      <c r="W271" s="4"/>
      <c r="X271" s="4"/>
      <c r="Y271" s="4"/>
      <c r="Z271" s="4"/>
    </row>
    <row r="272" spans="1:26">
      <c r="A272" s="10"/>
      <c r="B272" s="10"/>
      <c r="C272" s="4"/>
      <c r="D272" s="10"/>
      <c r="E272" s="10"/>
      <c r="F272" s="4"/>
      <c r="G272" s="4"/>
      <c r="H272" s="4"/>
      <c r="I272" s="4"/>
      <c r="J272" s="4"/>
      <c r="K272" s="4"/>
      <c r="L272" s="4"/>
      <c r="M272" s="4"/>
      <c r="N272" s="4"/>
      <c r="O272" s="4"/>
      <c r="P272" s="4"/>
      <c r="Q272" s="4"/>
      <c r="R272" s="4"/>
      <c r="S272" s="4"/>
      <c r="T272" s="4"/>
      <c r="U272" s="4"/>
      <c r="V272" s="4"/>
      <c r="W272" s="4"/>
      <c r="X272" s="4"/>
      <c r="Y272" s="4"/>
      <c r="Z272" s="4"/>
    </row>
    <row r="273" spans="1:26">
      <c r="A273" s="10"/>
      <c r="B273" s="10"/>
      <c r="C273" s="4"/>
      <c r="D273" s="10"/>
      <c r="E273" s="10"/>
      <c r="F273" s="4"/>
      <c r="G273" s="4"/>
      <c r="H273" s="4"/>
      <c r="I273" s="4"/>
      <c r="J273" s="4"/>
      <c r="K273" s="4"/>
      <c r="L273" s="4"/>
      <c r="M273" s="4"/>
      <c r="N273" s="4"/>
      <c r="O273" s="4"/>
      <c r="P273" s="4"/>
      <c r="Q273" s="4"/>
      <c r="R273" s="4"/>
      <c r="S273" s="4"/>
      <c r="T273" s="4"/>
      <c r="U273" s="4"/>
      <c r="V273" s="4"/>
      <c r="W273" s="4"/>
      <c r="X273" s="4"/>
      <c r="Y273" s="4"/>
      <c r="Z273" s="4"/>
    </row>
    <row r="274" spans="1:26">
      <c r="A274" s="10"/>
      <c r="B274" s="10"/>
      <c r="C274" s="4"/>
      <c r="D274" s="10"/>
      <c r="E274" s="10"/>
      <c r="F274" s="4"/>
      <c r="G274" s="4"/>
      <c r="H274" s="4"/>
      <c r="I274" s="4"/>
      <c r="J274" s="4"/>
      <c r="K274" s="4"/>
      <c r="L274" s="4"/>
      <c r="M274" s="4"/>
      <c r="N274" s="4"/>
      <c r="O274" s="4"/>
      <c r="P274" s="4"/>
      <c r="Q274" s="4"/>
      <c r="R274" s="4"/>
      <c r="S274" s="4"/>
      <c r="T274" s="4"/>
      <c r="U274" s="4"/>
      <c r="V274" s="4"/>
      <c r="W274" s="4"/>
      <c r="X274" s="4"/>
      <c r="Y274" s="4"/>
      <c r="Z274" s="4"/>
    </row>
    <row r="275" spans="1:26">
      <c r="A275" s="10"/>
      <c r="B275" s="10"/>
      <c r="C275" s="4"/>
      <c r="D275" s="10"/>
      <c r="E275" s="10"/>
      <c r="F275" s="4"/>
      <c r="G275" s="4"/>
      <c r="H275" s="4"/>
      <c r="I275" s="4"/>
      <c r="J275" s="4"/>
      <c r="K275" s="4"/>
      <c r="L275" s="4"/>
      <c r="M275" s="4"/>
      <c r="N275" s="4"/>
      <c r="O275" s="4"/>
      <c r="P275" s="4"/>
      <c r="Q275" s="4"/>
      <c r="R275" s="4"/>
      <c r="S275" s="4"/>
      <c r="T275" s="4"/>
      <c r="U275" s="4"/>
      <c r="V275" s="4"/>
      <c r="W275" s="4"/>
      <c r="X275" s="4"/>
      <c r="Y275" s="4"/>
      <c r="Z275" s="4"/>
    </row>
    <row r="276" spans="1:26">
      <c r="A276" s="10"/>
      <c r="B276" s="10"/>
      <c r="C276" s="4"/>
      <c r="D276" s="10"/>
      <c r="E276" s="10"/>
      <c r="F276" s="4"/>
      <c r="G276" s="4"/>
      <c r="H276" s="4"/>
      <c r="I276" s="4"/>
      <c r="J276" s="4"/>
      <c r="K276" s="4"/>
      <c r="L276" s="4"/>
      <c r="M276" s="4"/>
      <c r="N276" s="4"/>
      <c r="O276" s="4"/>
      <c r="P276" s="4"/>
      <c r="Q276" s="4"/>
      <c r="R276" s="4"/>
      <c r="S276" s="4"/>
      <c r="T276" s="4"/>
      <c r="U276" s="4"/>
      <c r="V276" s="4"/>
      <c r="W276" s="4"/>
      <c r="X276" s="4"/>
      <c r="Y276" s="4"/>
      <c r="Z276" s="4"/>
    </row>
    <row r="277" spans="1:26">
      <c r="A277" s="10"/>
      <c r="B277" s="10"/>
      <c r="C277" s="4"/>
      <c r="D277" s="10"/>
      <c r="E277" s="10"/>
      <c r="F277" s="4"/>
      <c r="G277" s="4"/>
      <c r="H277" s="4"/>
      <c r="I277" s="4"/>
      <c r="J277" s="4"/>
      <c r="K277" s="4"/>
      <c r="L277" s="4"/>
      <c r="M277" s="4"/>
      <c r="N277" s="4"/>
      <c r="O277" s="4"/>
      <c r="P277" s="4"/>
      <c r="Q277" s="4"/>
      <c r="R277" s="4"/>
      <c r="S277" s="4"/>
      <c r="T277" s="4"/>
      <c r="U277" s="4"/>
      <c r="V277" s="4"/>
      <c r="W277" s="4"/>
      <c r="X277" s="4"/>
      <c r="Y277" s="4"/>
      <c r="Z277" s="4"/>
    </row>
    <row r="278" spans="1:26">
      <c r="A278" s="10"/>
      <c r="B278" s="10"/>
      <c r="C278" s="4"/>
      <c r="D278" s="10"/>
      <c r="E278" s="10"/>
      <c r="F278" s="4"/>
      <c r="G278" s="4"/>
      <c r="H278" s="4"/>
      <c r="I278" s="4"/>
      <c r="J278" s="4"/>
      <c r="K278" s="4"/>
      <c r="L278" s="4"/>
      <c r="M278" s="4"/>
      <c r="N278" s="4"/>
      <c r="O278" s="4"/>
      <c r="P278" s="4"/>
      <c r="Q278" s="4"/>
      <c r="R278" s="4"/>
      <c r="S278" s="4"/>
      <c r="T278" s="4"/>
      <c r="U278" s="4"/>
      <c r="V278" s="4"/>
      <c r="W278" s="4"/>
      <c r="X278" s="4"/>
      <c r="Y278" s="4"/>
      <c r="Z278" s="4"/>
    </row>
    <row r="279" spans="1:26">
      <c r="A279" s="10"/>
      <c r="B279" s="10"/>
      <c r="C279" s="4"/>
      <c r="D279" s="10"/>
      <c r="E279" s="10"/>
      <c r="F279" s="4"/>
      <c r="G279" s="4"/>
      <c r="H279" s="4"/>
      <c r="I279" s="4"/>
      <c r="J279" s="4"/>
      <c r="K279" s="4"/>
      <c r="L279" s="4"/>
      <c r="M279" s="4"/>
      <c r="N279" s="4"/>
      <c r="O279" s="4"/>
      <c r="P279" s="4"/>
      <c r="Q279" s="4"/>
      <c r="R279" s="4"/>
      <c r="S279" s="4"/>
      <c r="T279" s="4"/>
      <c r="U279" s="4"/>
      <c r="V279" s="4"/>
      <c r="W279" s="4"/>
      <c r="X279" s="4"/>
      <c r="Y279" s="4"/>
      <c r="Z279" s="4"/>
    </row>
    <row r="280" spans="1:26">
      <c r="A280" s="10"/>
      <c r="B280" s="10"/>
      <c r="C280" s="4"/>
      <c r="D280" s="10"/>
      <c r="E280" s="10"/>
      <c r="F280" s="4"/>
      <c r="G280" s="4"/>
      <c r="H280" s="4"/>
      <c r="I280" s="4"/>
      <c r="J280" s="4"/>
      <c r="K280" s="4"/>
      <c r="L280" s="4"/>
      <c r="M280" s="4"/>
      <c r="N280" s="4"/>
      <c r="O280" s="4"/>
      <c r="P280" s="4"/>
      <c r="Q280" s="4"/>
      <c r="R280" s="4"/>
      <c r="S280" s="4"/>
      <c r="T280" s="4"/>
      <c r="U280" s="4"/>
      <c r="V280" s="4"/>
      <c r="W280" s="4"/>
      <c r="X280" s="4"/>
      <c r="Y280" s="4"/>
      <c r="Z280" s="4"/>
    </row>
    <row r="281" spans="1:26">
      <c r="A281" s="10"/>
      <c r="B281" s="10"/>
      <c r="C281" s="4"/>
      <c r="D281" s="10"/>
      <c r="E281" s="10"/>
      <c r="F281" s="4"/>
      <c r="G281" s="4"/>
      <c r="H281" s="4"/>
      <c r="I281" s="4"/>
      <c r="J281" s="4"/>
      <c r="K281" s="4"/>
      <c r="L281" s="4"/>
      <c r="M281" s="4"/>
      <c r="N281" s="4"/>
      <c r="O281" s="4"/>
      <c r="P281" s="4"/>
      <c r="Q281" s="4"/>
      <c r="R281" s="4"/>
      <c r="S281" s="4"/>
      <c r="T281" s="4"/>
      <c r="U281" s="4"/>
      <c r="V281" s="4"/>
      <c r="W281" s="4"/>
      <c r="X281" s="4"/>
      <c r="Y281" s="4"/>
      <c r="Z281" s="4"/>
    </row>
    <row r="282" spans="1:26">
      <c r="A282" s="10"/>
      <c r="B282" s="10"/>
      <c r="C282" s="4"/>
      <c r="D282" s="10"/>
      <c r="E282" s="10"/>
      <c r="F282" s="4"/>
      <c r="G282" s="4"/>
      <c r="H282" s="4"/>
      <c r="I282" s="4"/>
      <c r="J282" s="4"/>
      <c r="K282" s="4"/>
      <c r="L282" s="4"/>
      <c r="M282" s="4"/>
      <c r="N282" s="4"/>
      <c r="O282" s="4"/>
      <c r="P282" s="4"/>
      <c r="Q282" s="4"/>
      <c r="R282" s="4"/>
      <c r="S282" s="4"/>
      <c r="T282" s="4"/>
      <c r="U282" s="4"/>
      <c r="V282" s="4"/>
      <c r="W282" s="4"/>
      <c r="X282" s="4"/>
      <c r="Y282" s="4"/>
      <c r="Z282" s="4"/>
    </row>
    <row r="283" spans="1:26">
      <c r="A283" s="10"/>
      <c r="B283" s="10"/>
      <c r="C283" s="4"/>
      <c r="D283" s="10"/>
      <c r="E283" s="10"/>
      <c r="F283" s="4"/>
      <c r="G283" s="4"/>
      <c r="H283" s="4"/>
      <c r="I283" s="4"/>
      <c r="J283" s="4"/>
      <c r="K283" s="4"/>
      <c r="L283" s="4"/>
      <c r="M283" s="4"/>
      <c r="N283" s="4"/>
      <c r="O283" s="4"/>
      <c r="P283" s="4"/>
      <c r="Q283" s="4"/>
      <c r="R283" s="4"/>
      <c r="S283" s="4"/>
      <c r="T283" s="4"/>
      <c r="U283" s="4"/>
      <c r="V283" s="4"/>
      <c r="W283" s="4"/>
      <c r="X283" s="4"/>
      <c r="Y283" s="4"/>
      <c r="Z283" s="4"/>
    </row>
    <row r="284" spans="1:26">
      <c r="A284" s="10"/>
      <c r="B284" s="10"/>
      <c r="C284" s="4"/>
      <c r="D284" s="10"/>
      <c r="E284" s="10"/>
      <c r="F284" s="4"/>
      <c r="G284" s="4"/>
      <c r="H284" s="4"/>
      <c r="I284" s="4"/>
      <c r="J284" s="4"/>
      <c r="K284" s="4"/>
      <c r="L284" s="4"/>
      <c r="M284" s="4"/>
      <c r="N284" s="4"/>
      <c r="O284" s="4"/>
      <c r="P284" s="4"/>
      <c r="Q284" s="4"/>
      <c r="R284" s="4"/>
      <c r="S284" s="4"/>
      <c r="T284" s="4"/>
      <c r="U284" s="4"/>
      <c r="V284" s="4"/>
      <c r="W284" s="4"/>
      <c r="X284" s="4"/>
      <c r="Y284" s="4"/>
      <c r="Z284" s="4"/>
    </row>
    <row r="285" spans="1:26">
      <c r="A285" s="10"/>
      <c r="B285" s="10"/>
      <c r="C285" s="4"/>
      <c r="D285" s="10"/>
      <c r="E285" s="10"/>
      <c r="F285" s="4"/>
      <c r="G285" s="4"/>
      <c r="H285" s="4"/>
      <c r="I285" s="4"/>
      <c r="J285" s="4"/>
      <c r="K285" s="4"/>
      <c r="L285" s="4"/>
      <c r="M285" s="4"/>
      <c r="N285" s="4"/>
      <c r="O285" s="4"/>
      <c r="P285" s="4"/>
      <c r="Q285" s="4"/>
      <c r="R285" s="4"/>
      <c r="S285" s="4"/>
      <c r="T285" s="4"/>
      <c r="U285" s="4"/>
      <c r="V285" s="4"/>
      <c r="W285" s="4"/>
      <c r="X285" s="4"/>
      <c r="Y285" s="4"/>
      <c r="Z285" s="4"/>
    </row>
    <row r="286" spans="1:26">
      <c r="A286" s="10"/>
      <c r="B286" s="10"/>
      <c r="C286" s="4"/>
      <c r="D286" s="10"/>
      <c r="E286" s="10"/>
      <c r="F286" s="4"/>
      <c r="G286" s="4"/>
      <c r="H286" s="4"/>
      <c r="I286" s="4"/>
      <c r="J286" s="4"/>
      <c r="K286" s="4"/>
      <c r="L286" s="4"/>
      <c r="M286" s="4"/>
      <c r="N286" s="4"/>
      <c r="O286" s="4"/>
      <c r="P286" s="4"/>
      <c r="Q286" s="4"/>
      <c r="R286" s="4"/>
      <c r="S286" s="4"/>
      <c r="T286" s="4"/>
      <c r="U286" s="4"/>
      <c r="V286" s="4"/>
      <c r="W286" s="4"/>
      <c r="X286" s="4"/>
      <c r="Y286" s="4"/>
      <c r="Z286" s="4"/>
    </row>
    <row r="287" spans="1:26">
      <c r="A287" s="10"/>
      <c r="B287" s="10"/>
      <c r="C287" s="4"/>
      <c r="D287" s="10"/>
      <c r="E287" s="10"/>
      <c r="F287" s="4"/>
      <c r="G287" s="4"/>
      <c r="H287" s="4"/>
      <c r="I287" s="4"/>
      <c r="J287" s="4"/>
      <c r="K287" s="4"/>
      <c r="L287" s="4"/>
      <c r="M287" s="4"/>
      <c r="N287" s="4"/>
      <c r="O287" s="4"/>
      <c r="P287" s="4"/>
      <c r="Q287" s="4"/>
      <c r="R287" s="4"/>
      <c r="S287" s="4"/>
      <c r="T287" s="4"/>
      <c r="U287" s="4"/>
      <c r="V287" s="4"/>
      <c r="W287" s="4"/>
      <c r="X287" s="4"/>
      <c r="Y287" s="4"/>
      <c r="Z287" s="4"/>
    </row>
    <row r="288" spans="1:26">
      <c r="A288" s="10"/>
      <c r="B288" s="10"/>
      <c r="C288" s="4"/>
      <c r="D288" s="10"/>
      <c r="E288" s="10"/>
      <c r="F288" s="4"/>
      <c r="G288" s="4"/>
      <c r="H288" s="4"/>
      <c r="I288" s="4"/>
      <c r="J288" s="4"/>
      <c r="K288" s="4"/>
      <c r="L288" s="4"/>
      <c r="M288" s="4"/>
      <c r="N288" s="4"/>
      <c r="O288" s="4"/>
      <c r="P288" s="4"/>
      <c r="Q288" s="4"/>
      <c r="R288" s="4"/>
      <c r="S288" s="4"/>
      <c r="T288" s="4"/>
      <c r="U288" s="4"/>
      <c r="V288" s="4"/>
      <c r="W288" s="4"/>
      <c r="X288" s="4"/>
      <c r="Y288" s="4"/>
      <c r="Z288" s="4"/>
    </row>
    <row r="289" spans="1:26">
      <c r="A289" s="10"/>
      <c r="B289" s="10"/>
      <c r="C289" s="4"/>
      <c r="D289" s="10"/>
      <c r="E289" s="10"/>
      <c r="F289" s="4"/>
      <c r="G289" s="4"/>
      <c r="H289" s="4"/>
      <c r="I289" s="4"/>
      <c r="J289" s="4"/>
      <c r="K289" s="4"/>
      <c r="L289" s="4"/>
      <c r="M289" s="4"/>
      <c r="N289" s="4"/>
      <c r="O289" s="4"/>
      <c r="P289" s="4"/>
      <c r="Q289" s="4"/>
      <c r="R289" s="4"/>
      <c r="S289" s="4"/>
      <c r="T289" s="4"/>
      <c r="U289" s="4"/>
      <c r="V289" s="4"/>
      <c r="W289" s="4"/>
      <c r="X289" s="4"/>
      <c r="Y289" s="4"/>
      <c r="Z289" s="4"/>
    </row>
    <row r="290" spans="1:26">
      <c r="A290" s="10"/>
      <c r="B290" s="10"/>
      <c r="C290" s="4"/>
      <c r="D290" s="10"/>
      <c r="E290" s="10"/>
      <c r="F290" s="4"/>
      <c r="G290" s="4"/>
      <c r="H290" s="4"/>
      <c r="I290" s="4"/>
      <c r="J290" s="4"/>
      <c r="K290" s="4"/>
      <c r="L290" s="4"/>
      <c r="M290" s="4"/>
      <c r="N290" s="4"/>
      <c r="O290" s="4"/>
      <c r="P290" s="4"/>
      <c r="Q290" s="4"/>
      <c r="R290" s="4"/>
      <c r="S290" s="4"/>
      <c r="T290" s="4"/>
      <c r="U290" s="4"/>
      <c r="V290" s="4"/>
      <c r="W290" s="4"/>
      <c r="X290" s="4"/>
      <c r="Y290" s="4"/>
      <c r="Z290" s="4"/>
    </row>
    <row r="291" spans="1:26">
      <c r="A291" s="10"/>
      <c r="B291" s="10"/>
      <c r="C291" s="4"/>
      <c r="D291" s="10"/>
      <c r="E291" s="10"/>
      <c r="F291" s="4"/>
      <c r="G291" s="4"/>
      <c r="H291" s="4"/>
      <c r="I291" s="4"/>
      <c r="J291" s="4"/>
      <c r="K291" s="4"/>
      <c r="L291" s="4"/>
      <c r="M291" s="4"/>
      <c r="N291" s="4"/>
      <c r="O291" s="4"/>
      <c r="P291" s="4"/>
      <c r="Q291" s="4"/>
      <c r="R291" s="4"/>
      <c r="S291" s="4"/>
      <c r="T291" s="4"/>
      <c r="U291" s="4"/>
      <c r="V291" s="4"/>
      <c r="W291" s="4"/>
      <c r="X291" s="4"/>
      <c r="Y291" s="4"/>
      <c r="Z291" s="4"/>
    </row>
    <row r="292" spans="1:26">
      <c r="A292" s="10"/>
      <c r="B292" s="10"/>
      <c r="C292" s="4"/>
      <c r="D292" s="10"/>
      <c r="E292" s="10"/>
      <c r="F292" s="4"/>
      <c r="G292" s="4"/>
      <c r="H292" s="4"/>
      <c r="I292" s="4"/>
      <c r="J292" s="4"/>
      <c r="K292" s="4"/>
      <c r="L292" s="4"/>
      <c r="M292" s="4"/>
      <c r="N292" s="4"/>
      <c r="O292" s="4"/>
      <c r="P292" s="4"/>
      <c r="Q292" s="4"/>
      <c r="R292" s="4"/>
      <c r="S292" s="4"/>
      <c r="T292" s="4"/>
      <c r="U292" s="4"/>
      <c r="V292" s="4"/>
      <c r="W292" s="4"/>
      <c r="X292" s="4"/>
      <c r="Y292" s="4"/>
      <c r="Z292" s="4"/>
    </row>
    <row r="293" spans="1:26">
      <c r="A293" s="10"/>
      <c r="B293" s="10"/>
      <c r="C293" s="4"/>
      <c r="D293" s="10"/>
      <c r="E293" s="10"/>
      <c r="F293" s="4"/>
      <c r="G293" s="4"/>
      <c r="H293" s="4"/>
      <c r="I293" s="4"/>
      <c r="J293" s="4"/>
      <c r="K293" s="4"/>
      <c r="L293" s="4"/>
      <c r="M293" s="4"/>
      <c r="N293" s="4"/>
      <c r="O293" s="4"/>
      <c r="P293" s="4"/>
      <c r="Q293" s="4"/>
      <c r="R293" s="4"/>
      <c r="S293" s="4"/>
      <c r="T293" s="4"/>
      <c r="U293" s="4"/>
      <c r="V293" s="4"/>
      <c r="W293" s="4"/>
      <c r="X293" s="4"/>
      <c r="Y293" s="4"/>
      <c r="Z293" s="4"/>
    </row>
    <row r="294" spans="1:26">
      <c r="A294" s="10"/>
      <c r="B294" s="10"/>
      <c r="C294" s="4"/>
      <c r="D294" s="10"/>
      <c r="E294" s="10"/>
      <c r="F294" s="4"/>
      <c r="G294" s="4"/>
      <c r="H294" s="4"/>
      <c r="I294" s="4"/>
      <c r="J294" s="4"/>
      <c r="K294" s="4"/>
      <c r="L294" s="4"/>
      <c r="M294" s="4"/>
      <c r="N294" s="4"/>
      <c r="O294" s="4"/>
      <c r="P294" s="4"/>
      <c r="Q294" s="4"/>
      <c r="R294" s="4"/>
      <c r="S294" s="4"/>
      <c r="T294" s="4"/>
      <c r="U294" s="4"/>
      <c r="V294" s="4"/>
      <c r="W294" s="4"/>
      <c r="X294" s="4"/>
      <c r="Y294" s="4"/>
      <c r="Z294" s="4"/>
    </row>
    <row r="295" spans="1:26">
      <c r="A295" s="10"/>
      <c r="B295" s="10"/>
      <c r="C295" s="4"/>
      <c r="D295" s="10"/>
      <c r="E295" s="10"/>
      <c r="F295" s="4"/>
      <c r="G295" s="4"/>
      <c r="H295" s="4"/>
      <c r="I295" s="4"/>
      <c r="J295" s="4"/>
      <c r="K295" s="4"/>
      <c r="L295" s="4"/>
      <c r="M295" s="4"/>
      <c r="N295" s="4"/>
      <c r="O295" s="4"/>
      <c r="P295" s="4"/>
      <c r="Q295" s="4"/>
      <c r="R295" s="4"/>
      <c r="S295" s="4"/>
      <c r="T295" s="4"/>
      <c r="U295" s="4"/>
      <c r="V295" s="4"/>
      <c r="W295" s="4"/>
      <c r="X295" s="4"/>
      <c r="Y295" s="4"/>
      <c r="Z295" s="4"/>
    </row>
    <row r="296" spans="1:26">
      <c r="A296" s="10"/>
      <c r="B296" s="10"/>
      <c r="C296" s="4"/>
      <c r="D296" s="10"/>
      <c r="E296" s="10"/>
      <c r="F296" s="4"/>
      <c r="G296" s="4"/>
      <c r="H296" s="4"/>
      <c r="I296" s="4"/>
      <c r="J296" s="4"/>
      <c r="K296" s="4"/>
      <c r="L296" s="4"/>
      <c r="M296" s="4"/>
      <c r="N296" s="4"/>
      <c r="O296" s="4"/>
      <c r="P296" s="4"/>
      <c r="Q296" s="4"/>
      <c r="R296" s="4"/>
      <c r="S296" s="4"/>
      <c r="T296" s="4"/>
      <c r="U296" s="4"/>
      <c r="V296" s="4"/>
      <c r="W296" s="4"/>
      <c r="X296" s="4"/>
      <c r="Y296" s="4"/>
      <c r="Z296" s="4"/>
    </row>
    <row r="297" spans="1:26">
      <c r="A297" s="10"/>
      <c r="B297" s="10"/>
      <c r="C297" s="4"/>
      <c r="D297" s="10"/>
      <c r="E297" s="10"/>
      <c r="F297" s="4"/>
      <c r="G297" s="4"/>
      <c r="H297" s="4"/>
      <c r="I297" s="4"/>
      <c r="J297" s="4"/>
      <c r="K297" s="4"/>
      <c r="L297" s="4"/>
      <c r="M297" s="4"/>
      <c r="N297" s="4"/>
      <c r="O297" s="4"/>
      <c r="P297" s="4"/>
      <c r="Q297" s="4"/>
      <c r="R297" s="4"/>
      <c r="S297" s="4"/>
      <c r="T297" s="4"/>
      <c r="U297" s="4"/>
      <c r="V297" s="4"/>
      <c r="W297" s="4"/>
      <c r="X297" s="4"/>
      <c r="Y297" s="4"/>
      <c r="Z297" s="4"/>
    </row>
    <row r="298" spans="1:26">
      <c r="A298" s="10"/>
      <c r="B298" s="10"/>
      <c r="C298" s="4"/>
      <c r="D298" s="10"/>
      <c r="E298" s="10"/>
      <c r="F298" s="4"/>
      <c r="G298" s="4"/>
      <c r="H298" s="4"/>
      <c r="I298" s="4"/>
      <c r="J298" s="4"/>
      <c r="K298" s="4"/>
      <c r="L298" s="4"/>
      <c r="M298" s="4"/>
      <c r="N298" s="4"/>
      <c r="O298" s="4"/>
      <c r="P298" s="4"/>
      <c r="Q298" s="4"/>
      <c r="R298" s="4"/>
      <c r="S298" s="4"/>
      <c r="T298" s="4"/>
      <c r="U298" s="4"/>
      <c r="V298" s="4"/>
      <c r="W298" s="4"/>
      <c r="X298" s="4"/>
      <c r="Y298" s="4"/>
      <c r="Z298" s="4"/>
    </row>
    <row r="299" spans="1:26">
      <c r="A299" s="10"/>
      <c r="B299" s="10"/>
      <c r="C299" s="4"/>
      <c r="D299" s="10"/>
      <c r="E299" s="10"/>
      <c r="F299" s="4"/>
      <c r="G299" s="4"/>
      <c r="H299" s="4"/>
      <c r="I299" s="4"/>
      <c r="J299" s="4"/>
      <c r="K299" s="4"/>
      <c r="L299" s="4"/>
      <c r="M299" s="4"/>
      <c r="N299" s="4"/>
      <c r="O299" s="4"/>
      <c r="P299" s="4"/>
      <c r="Q299" s="4"/>
      <c r="R299" s="4"/>
      <c r="S299" s="4"/>
      <c r="T299" s="4"/>
      <c r="U299" s="4"/>
      <c r="V299" s="4"/>
      <c r="W299" s="4"/>
      <c r="X299" s="4"/>
      <c r="Y299" s="4"/>
      <c r="Z299" s="4"/>
    </row>
    <row r="300" spans="1:26">
      <c r="A300" s="10"/>
      <c r="B300" s="10"/>
      <c r="C300" s="4"/>
      <c r="D300" s="10"/>
      <c r="E300" s="10"/>
      <c r="F300" s="4"/>
      <c r="G300" s="4"/>
      <c r="H300" s="4"/>
      <c r="I300" s="4"/>
      <c r="J300" s="4"/>
      <c r="K300" s="4"/>
      <c r="L300" s="4"/>
      <c r="M300" s="4"/>
      <c r="N300" s="4"/>
      <c r="O300" s="4"/>
      <c r="P300" s="4"/>
      <c r="Q300" s="4"/>
      <c r="R300" s="4"/>
      <c r="S300" s="4"/>
      <c r="T300" s="4"/>
      <c r="U300" s="4"/>
      <c r="V300" s="4"/>
      <c r="W300" s="4"/>
      <c r="X300" s="4"/>
      <c r="Y300" s="4"/>
      <c r="Z300" s="4"/>
    </row>
    <row r="301" spans="1:26">
      <c r="A301" s="10"/>
      <c r="B301" s="10"/>
      <c r="C301" s="4"/>
      <c r="D301" s="10"/>
      <c r="E301" s="10"/>
      <c r="F301" s="4"/>
      <c r="G301" s="4"/>
      <c r="H301" s="4"/>
      <c r="I301" s="4"/>
      <c r="J301" s="4"/>
      <c r="K301" s="4"/>
      <c r="L301" s="4"/>
      <c r="M301" s="4"/>
      <c r="N301" s="4"/>
      <c r="O301" s="4"/>
      <c r="P301" s="4"/>
      <c r="Q301" s="4"/>
      <c r="R301" s="4"/>
      <c r="S301" s="4"/>
      <c r="T301" s="4"/>
      <c r="U301" s="4"/>
      <c r="V301" s="4"/>
      <c r="W301" s="4"/>
      <c r="X301" s="4"/>
      <c r="Y301" s="4"/>
      <c r="Z301" s="4"/>
    </row>
    <row r="302" spans="1:26">
      <c r="A302" s="10"/>
      <c r="B302" s="10"/>
      <c r="C302" s="4"/>
      <c r="D302" s="10"/>
      <c r="E302" s="10"/>
      <c r="F302" s="4"/>
      <c r="G302" s="4"/>
      <c r="H302" s="4"/>
      <c r="I302" s="4"/>
      <c r="J302" s="4"/>
      <c r="K302" s="4"/>
      <c r="L302" s="4"/>
      <c r="M302" s="4"/>
      <c r="N302" s="4"/>
      <c r="O302" s="4"/>
      <c r="P302" s="4"/>
      <c r="Q302" s="4"/>
      <c r="R302" s="4"/>
      <c r="S302" s="4"/>
      <c r="T302" s="4"/>
      <c r="U302" s="4"/>
      <c r="V302" s="4"/>
      <c r="W302" s="4"/>
      <c r="X302" s="4"/>
      <c r="Y302" s="4"/>
      <c r="Z302" s="4"/>
    </row>
    <row r="303" spans="1:26">
      <c r="A303" s="10"/>
      <c r="B303" s="10"/>
      <c r="C303" s="4"/>
      <c r="D303" s="10"/>
      <c r="E303" s="10"/>
      <c r="F303" s="4"/>
      <c r="G303" s="4"/>
      <c r="H303" s="4"/>
      <c r="I303" s="4"/>
      <c r="J303" s="4"/>
      <c r="K303" s="4"/>
      <c r="L303" s="4"/>
      <c r="M303" s="4"/>
      <c r="N303" s="4"/>
      <c r="O303" s="4"/>
      <c r="P303" s="4"/>
      <c r="Q303" s="4"/>
      <c r="R303" s="4"/>
      <c r="S303" s="4"/>
      <c r="T303" s="4"/>
      <c r="U303" s="4"/>
      <c r="V303" s="4"/>
      <c r="W303" s="4"/>
      <c r="X303" s="4"/>
      <c r="Y303" s="4"/>
      <c r="Z303" s="4"/>
    </row>
    <row r="304" spans="1:26">
      <c r="A304" s="10"/>
      <c r="B304" s="10"/>
      <c r="C304" s="4"/>
      <c r="D304" s="10"/>
      <c r="E304" s="10"/>
      <c r="F304" s="4"/>
      <c r="G304" s="4"/>
      <c r="H304" s="4"/>
      <c r="I304" s="4"/>
      <c r="J304" s="4"/>
      <c r="K304" s="4"/>
      <c r="L304" s="4"/>
      <c r="M304" s="4"/>
      <c r="N304" s="4"/>
      <c r="O304" s="4"/>
      <c r="P304" s="4"/>
      <c r="Q304" s="4"/>
      <c r="R304" s="4"/>
      <c r="S304" s="4"/>
      <c r="T304" s="4"/>
      <c r="U304" s="4"/>
      <c r="V304" s="4"/>
      <c r="W304" s="4"/>
      <c r="X304" s="4"/>
      <c r="Y304" s="4"/>
      <c r="Z304" s="4"/>
    </row>
    <row r="305" spans="1:26">
      <c r="A305" s="10"/>
      <c r="B305" s="10"/>
      <c r="C305" s="4"/>
      <c r="D305" s="10"/>
      <c r="E305" s="10"/>
      <c r="F305" s="4"/>
      <c r="G305" s="4"/>
      <c r="H305" s="4"/>
      <c r="I305" s="4"/>
      <c r="J305" s="4"/>
      <c r="K305" s="4"/>
      <c r="L305" s="4"/>
      <c r="M305" s="4"/>
      <c r="N305" s="4"/>
      <c r="O305" s="4"/>
      <c r="P305" s="4"/>
      <c r="Q305" s="4"/>
      <c r="R305" s="4"/>
      <c r="S305" s="4"/>
      <c r="T305" s="4"/>
      <c r="U305" s="4"/>
      <c r="V305" s="4"/>
      <c r="W305" s="4"/>
      <c r="X305" s="4"/>
      <c r="Y305" s="4"/>
      <c r="Z305" s="4"/>
    </row>
    <row r="306" spans="1:26">
      <c r="A306" s="10"/>
      <c r="B306" s="10"/>
      <c r="C306" s="4"/>
      <c r="D306" s="10"/>
      <c r="E306" s="10"/>
      <c r="F306" s="4"/>
      <c r="G306" s="4"/>
      <c r="H306" s="4"/>
      <c r="I306" s="4"/>
      <c r="J306" s="4"/>
      <c r="K306" s="4"/>
      <c r="L306" s="4"/>
      <c r="M306" s="4"/>
      <c r="N306" s="4"/>
      <c r="O306" s="4"/>
      <c r="P306" s="4"/>
      <c r="Q306" s="4"/>
      <c r="R306" s="4"/>
      <c r="S306" s="4"/>
      <c r="T306" s="4"/>
      <c r="U306" s="4"/>
      <c r="V306" s="4"/>
      <c r="W306" s="4"/>
      <c r="X306" s="4"/>
      <c r="Y306" s="4"/>
      <c r="Z306" s="4"/>
    </row>
    <row r="307" spans="1:26">
      <c r="A307" s="10"/>
      <c r="B307" s="10"/>
      <c r="C307" s="4"/>
      <c r="D307" s="10"/>
      <c r="E307" s="10"/>
      <c r="F307" s="4"/>
      <c r="G307" s="4"/>
      <c r="H307" s="4"/>
      <c r="I307" s="4"/>
      <c r="J307" s="4"/>
      <c r="K307" s="4"/>
      <c r="L307" s="4"/>
      <c r="M307" s="4"/>
      <c r="N307" s="4"/>
      <c r="O307" s="4"/>
      <c r="P307" s="4"/>
      <c r="Q307" s="4"/>
      <c r="R307" s="4"/>
      <c r="S307" s="4"/>
      <c r="T307" s="4"/>
      <c r="U307" s="4"/>
      <c r="V307" s="4"/>
      <c r="W307" s="4"/>
      <c r="X307" s="4"/>
      <c r="Y307" s="4"/>
      <c r="Z307" s="4"/>
    </row>
    <row r="308" spans="1:26">
      <c r="A308" s="10"/>
      <c r="B308" s="10"/>
      <c r="C308" s="4"/>
      <c r="D308" s="10"/>
      <c r="E308" s="10"/>
      <c r="F308" s="4"/>
      <c r="G308" s="4"/>
      <c r="H308" s="4"/>
      <c r="I308" s="4"/>
      <c r="J308" s="4"/>
      <c r="K308" s="4"/>
      <c r="L308" s="4"/>
      <c r="M308" s="4"/>
      <c r="N308" s="4"/>
      <c r="O308" s="4"/>
      <c r="P308" s="4"/>
      <c r="Q308" s="4"/>
      <c r="R308" s="4"/>
      <c r="S308" s="4"/>
      <c r="T308" s="4"/>
      <c r="U308" s="4"/>
      <c r="V308" s="4"/>
      <c r="W308" s="4"/>
      <c r="X308" s="4"/>
      <c r="Y308" s="4"/>
      <c r="Z308" s="4"/>
    </row>
    <row r="309" spans="1:26">
      <c r="A309" s="10"/>
      <c r="B309" s="10"/>
      <c r="C309" s="4"/>
      <c r="D309" s="10"/>
      <c r="E309" s="10"/>
      <c r="F309" s="4"/>
      <c r="G309" s="4"/>
      <c r="H309" s="4"/>
      <c r="I309" s="4"/>
      <c r="J309" s="4"/>
      <c r="K309" s="4"/>
      <c r="L309" s="4"/>
      <c r="M309" s="4"/>
      <c r="N309" s="4"/>
      <c r="O309" s="4"/>
      <c r="P309" s="4"/>
      <c r="Q309" s="4"/>
      <c r="R309" s="4"/>
      <c r="S309" s="4"/>
      <c r="T309" s="4"/>
      <c r="U309" s="4"/>
      <c r="V309" s="4"/>
      <c r="W309" s="4"/>
      <c r="X309" s="4"/>
      <c r="Y309" s="4"/>
      <c r="Z309" s="4"/>
    </row>
    <row r="310" spans="1:26">
      <c r="A310" s="10"/>
      <c r="B310" s="10"/>
      <c r="C310" s="4"/>
      <c r="D310" s="10"/>
      <c r="E310" s="10"/>
      <c r="F310" s="4"/>
      <c r="G310" s="4"/>
      <c r="H310" s="4"/>
      <c r="I310" s="4"/>
      <c r="J310" s="4"/>
      <c r="K310" s="4"/>
      <c r="L310" s="4"/>
      <c r="M310" s="4"/>
      <c r="N310" s="4"/>
      <c r="O310" s="4"/>
      <c r="P310" s="4"/>
      <c r="Q310" s="4"/>
      <c r="R310" s="4"/>
      <c r="S310" s="4"/>
      <c r="T310" s="4"/>
      <c r="U310" s="4"/>
      <c r="V310" s="4"/>
      <c r="W310" s="4"/>
      <c r="X310" s="4"/>
      <c r="Y310" s="4"/>
      <c r="Z310" s="4"/>
    </row>
    <row r="311" spans="1:26">
      <c r="A311" s="10"/>
      <c r="B311" s="10"/>
      <c r="C311" s="4"/>
      <c r="D311" s="10"/>
      <c r="E311" s="10"/>
      <c r="F311" s="4"/>
      <c r="G311" s="4"/>
      <c r="H311" s="4"/>
      <c r="I311" s="4"/>
      <c r="J311" s="4"/>
      <c r="K311" s="4"/>
      <c r="L311" s="4"/>
      <c r="M311" s="4"/>
      <c r="N311" s="4"/>
      <c r="O311" s="4"/>
      <c r="P311" s="4"/>
      <c r="Q311" s="4"/>
      <c r="R311" s="4"/>
      <c r="S311" s="4"/>
      <c r="T311" s="4"/>
      <c r="U311" s="4"/>
      <c r="V311" s="4"/>
      <c r="W311" s="4"/>
      <c r="X311" s="4"/>
      <c r="Y311" s="4"/>
      <c r="Z311" s="4"/>
    </row>
    <row r="312" spans="1:26">
      <c r="A312" s="10"/>
      <c r="B312" s="10"/>
      <c r="C312" s="4"/>
      <c r="D312" s="10"/>
      <c r="E312" s="10"/>
      <c r="F312" s="4"/>
      <c r="G312" s="4"/>
      <c r="H312" s="4"/>
      <c r="I312" s="4"/>
      <c r="J312" s="4"/>
      <c r="K312" s="4"/>
      <c r="L312" s="4"/>
      <c r="M312" s="4"/>
      <c r="N312" s="4"/>
      <c r="O312" s="4"/>
      <c r="P312" s="4"/>
      <c r="Q312" s="4"/>
      <c r="R312" s="4"/>
      <c r="S312" s="4"/>
      <c r="T312" s="4"/>
      <c r="U312" s="4"/>
      <c r="V312" s="4"/>
      <c r="W312" s="4"/>
      <c r="X312" s="4"/>
      <c r="Y312" s="4"/>
      <c r="Z312" s="4"/>
    </row>
    <row r="313" spans="1:26">
      <c r="A313" s="10"/>
      <c r="B313" s="10"/>
      <c r="C313" s="4"/>
      <c r="D313" s="10"/>
      <c r="E313" s="10"/>
      <c r="F313" s="4"/>
      <c r="G313" s="4"/>
      <c r="H313" s="4"/>
      <c r="I313" s="4"/>
      <c r="J313" s="4"/>
      <c r="K313" s="4"/>
      <c r="L313" s="4"/>
      <c r="M313" s="4"/>
      <c r="N313" s="4"/>
      <c r="O313" s="4"/>
      <c r="P313" s="4"/>
      <c r="Q313" s="4"/>
      <c r="R313" s="4"/>
      <c r="S313" s="4"/>
      <c r="T313" s="4"/>
      <c r="U313" s="4"/>
      <c r="V313" s="4"/>
      <c r="W313" s="4"/>
      <c r="X313" s="4"/>
      <c r="Y313" s="4"/>
      <c r="Z313" s="4"/>
    </row>
    <row r="314" spans="1:26">
      <c r="A314" s="10"/>
      <c r="B314" s="10"/>
      <c r="C314" s="4"/>
      <c r="D314" s="10"/>
      <c r="E314" s="10"/>
      <c r="F314" s="4"/>
      <c r="G314" s="4"/>
      <c r="H314" s="4"/>
      <c r="I314" s="4"/>
      <c r="J314" s="4"/>
      <c r="K314" s="4"/>
      <c r="L314" s="4"/>
      <c r="M314" s="4"/>
      <c r="N314" s="4"/>
      <c r="O314" s="4"/>
      <c r="P314" s="4"/>
      <c r="Q314" s="4"/>
      <c r="R314" s="4"/>
      <c r="S314" s="4"/>
      <c r="T314" s="4"/>
      <c r="U314" s="4"/>
      <c r="V314" s="4"/>
      <c r="W314" s="4"/>
      <c r="X314" s="4"/>
      <c r="Y314" s="4"/>
      <c r="Z314" s="4"/>
    </row>
    <row r="315" spans="1:26">
      <c r="A315" s="10"/>
      <c r="B315" s="10"/>
      <c r="C315" s="4"/>
      <c r="D315" s="10"/>
      <c r="E315" s="10"/>
      <c r="F315" s="4"/>
      <c r="G315" s="4"/>
      <c r="H315" s="4"/>
      <c r="I315" s="4"/>
      <c r="J315" s="4"/>
      <c r="K315" s="4"/>
      <c r="L315" s="4"/>
      <c r="M315" s="4"/>
      <c r="N315" s="4"/>
      <c r="O315" s="4"/>
      <c r="P315" s="4"/>
      <c r="Q315" s="4"/>
      <c r="R315" s="4"/>
      <c r="S315" s="4"/>
      <c r="T315" s="4"/>
      <c r="U315" s="4"/>
      <c r="V315" s="4"/>
      <c r="W315" s="4"/>
      <c r="X315" s="4"/>
      <c r="Y315" s="4"/>
      <c r="Z315" s="4"/>
    </row>
    <row r="316" spans="1:26">
      <c r="A316" s="10"/>
      <c r="B316" s="10"/>
      <c r="C316" s="4"/>
      <c r="D316" s="10"/>
      <c r="E316" s="10"/>
      <c r="F316" s="4"/>
      <c r="G316" s="4"/>
      <c r="H316" s="4"/>
      <c r="I316" s="4"/>
      <c r="J316" s="4"/>
      <c r="K316" s="4"/>
      <c r="L316" s="4"/>
      <c r="M316" s="4"/>
      <c r="N316" s="4"/>
      <c r="O316" s="4"/>
      <c r="P316" s="4"/>
      <c r="Q316" s="4"/>
      <c r="R316" s="4"/>
      <c r="S316" s="4"/>
      <c r="T316" s="4"/>
      <c r="U316" s="4"/>
      <c r="V316" s="4"/>
      <c r="W316" s="4"/>
      <c r="X316" s="4"/>
      <c r="Y316" s="4"/>
      <c r="Z316" s="4"/>
    </row>
    <row r="317" spans="1:26">
      <c r="A317" s="10"/>
      <c r="B317" s="10"/>
      <c r="C317" s="4"/>
      <c r="D317" s="10"/>
      <c r="E317" s="10"/>
      <c r="F317" s="4"/>
      <c r="G317" s="4"/>
      <c r="H317" s="4"/>
      <c r="I317" s="4"/>
      <c r="J317" s="4"/>
      <c r="K317" s="4"/>
      <c r="L317" s="4"/>
      <c r="M317" s="4"/>
      <c r="N317" s="4"/>
      <c r="O317" s="4"/>
      <c r="P317" s="4"/>
      <c r="Q317" s="4"/>
      <c r="R317" s="4"/>
      <c r="S317" s="4"/>
      <c r="T317" s="4"/>
      <c r="U317" s="4"/>
      <c r="V317" s="4"/>
      <c r="W317" s="4"/>
      <c r="X317" s="4"/>
      <c r="Y317" s="4"/>
      <c r="Z317" s="4"/>
    </row>
    <row r="318" spans="1:26">
      <c r="A318" s="10"/>
      <c r="B318" s="10"/>
      <c r="C318" s="4"/>
      <c r="D318" s="10"/>
      <c r="E318" s="10"/>
      <c r="F318" s="4"/>
      <c r="G318" s="4"/>
      <c r="H318" s="4"/>
      <c r="I318" s="4"/>
      <c r="J318" s="4"/>
      <c r="K318" s="4"/>
      <c r="L318" s="4"/>
      <c r="M318" s="4"/>
      <c r="N318" s="4"/>
      <c r="O318" s="4"/>
      <c r="P318" s="4"/>
      <c r="Q318" s="4"/>
      <c r="R318" s="4"/>
      <c r="S318" s="4"/>
      <c r="T318" s="4"/>
      <c r="U318" s="4"/>
      <c r="V318" s="4"/>
      <c r="W318" s="4"/>
      <c r="X318" s="4"/>
      <c r="Y318" s="4"/>
      <c r="Z318" s="4"/>
    </row>
    <row r="319" spans="1:26">
      <c r="A319" s="10"/>
      <c r="B319" s="10"/>
      <c r="C319" s="4"/>
      <c r="D319" s="10"/>
      <c r="E319" s="10"/>
      <c r="F319" s="4"/>
      <c r="G319" s="4"/>
      <c r="H319" s="4"/>
      <c r="I319" s="4"/>
      <c r="J319" s="4"/>
      <c r="K319" s="4"/>
      <c r="L319" s="4"/>
      <c r="M319" s="4"/>
      <c r="N319" s="4"/>
      <c r="O319" s="4"/>
      <c r="P319" s="4"/>
      <c r="Q319" s="4"/>
      <c r="R319" s="4"/>
      <c r="S319" s="4"/>
      <c r="T319" s="4"/>
      <c r="U319" s="4"/>
      <c r="V319" s="4"/>
      <c r="W319" s="4"/>
      <c r="X319" s="4"/>
      <c r="Y319" s="4"/>
      <c r="Z319" s="4"/>
    </row>
    <row r="320" spans="1:26">
      <c r="A320" s="10"/>
      <c r="B320" s="10"/>
      <c r="C320" s="4"/>
      <c r="D320" s="10"/>
      <c r="E320" s="10"/>
      <c r="F320" s="4"/>
      <c r="G320" s="4"/>
      <c r="H320" s="4"/>
      <c r="I320" s="4"/>
      <c r="J320" s="4"/>
      <c r="K320" s="4"/>
      <c r="L320" s="4"/>
      <c r="M320" s="4"/>
      <c r="N320" s="4"/>
      <c r="O320" s="4"/>
      <c r="P320" s="4"/>
      <c r="Q320" s="4"/>
      <c r="R320" s="4"/>
      <c r="S320" s="4"/>
      <c r="T320" s="4"/>
      <c r="U320" s="4"/>
      <c r="V320" s="4"/>
      <c r="W320" s="4"/>
      <c r="X320" s="4"/>
      <c r="Y320" s="4"/>
      <c r="Z320" s="4"/>
    </row>
    <row r="321" spans="1:26">
      <c r="A321" s="10"/>
      <c r="B321" s="10"/>
      <c r="C321" s="4"/>
      <c r="D321" s="10"/>
      <c r="E321" s="10"/>
      <c r="F321" s="4"/>
      <c r="G321" s="4"/>
      <c r="H321" s="4"/>
      <c r="I321" s="4"/>
      <c r="J321" s="4"/>
      <c r="K321" s="4"/>
      <c r="L321" s="4"/>
      <c r="M321" s="4"/>
      <c r="N321" s="4"/>
      <c r="O321" s="4"/>
      <c r="P321" s="4"/>
      <c r="Q321" s="4"/>
      <c r="R321" s="4"/>
      <c r="S321" s="4"/>
      <c r="T321" s="4"/>
      <c r="U321" s="4"/>
      <c r="V321" s="4"/>
      <c r="W321" s="4"/>
      <c r="X321" s="4"/>
      <c r="Y321" s="4"/>
      <c r="Z321" s="4"/>
    </row>
    <row r="322" spans="1:26">
      <c r="A322" s="10"/>
      <c r="B322" s="10"/>
      <c r="C322" s="4"/>
      <c r="D322" s="10"/>
      <c r="E322" s="10"/>
      <c r="F322" s="4"/>
      <c r="G322" s="4"/>
      <c r="H322" s="4"/>
      <c r="I322" s="4"/>
      <c r="J322" s="4"/>
      <c r="K322" s="4"/>
      <c r="L322" s="4"/>
      <c r="M322" s="4"/>
      <c r="N322" s="4"/>
      <c r="O322" s="4"/>
      <c r="P322" s="4"/>
      <c r="Q322" s="4"/>
      <c r="R322" s="4"/>
      <c r="S322" s="4"/>
      <c r="T322" s="4"/>
      <c r="U322" s="4"/>
      <c r="V322" s="4"/>
      <c r="W322" s="4"/>
      <c r="X322" s="4"/>
      <c r="Y322" s="4"/>
      <c r="Z322" s="4"/>
    </row>
    <row r="323" spans="1:26">
      <c r="A323" s="10"/>
      <c r="B323" s="10"/>
      <c r="C323" s="4"/>
      <c r="D323" s="10"/>
      <c r="E323" s="10"/>
      <c r="F323" s="4"/>
      <c r="G323" s="4"/>
      <c r="H323" s="4"/>
      <c r="I323" s="4"/>
      <c r="J323" s="4"/>
      <c r="K323" s="4"/>
      <c r="L323" s="4"/>
      <c r="M323" s="4"/>
      <c r="N323" s="4"/>
      <c r="O323" s="4"/>
      <c r="P323" s="4"/>
      <c r="Q323" s="4"/>
      <c r="R323" s="4"/>
      <c r="S323" s="4"/>
      <c r="T323" s="4"/>
      <c r="U323" s="4"/>
      <c r="V323" s="4"/>
      <c r="W323" s="4"/>
      <c r="X323" s="4"/>
      <c r="Y323" s="4"/>
      <c r="Z323" s="4"/>
    </row>
    <row r="324" spans="1:26">
      <c r="A324" s="10"/>
      <c r="B324" s="10"/>
      <c r="C324" s="4"/>
      <c r="D324" s="10"/>
      <c r="E324" s="10"/>
      <c r="F324" s="4"/>
      <c r="G324" s="4"/>
      <c r="H324" s="4"/>
      <c r="I324" s="4"/>
      <c r="J324" s="4"/>
      <c r="K324" s="4"/>
      <c r="L324" s="4"/>
      <c r="M324" s="4"/>
      <c r="N324" s="4"/>
      <c r="O324" s="4"/>
      <c r="P324" s="4"/>
      <c r="Q324" s="4"/>
      <c r="R324" s="4"/>
      <c r="S324" s="4"/>
      <c r="T324" s="4"/>
      <c r="U324" s="4"/>
      <c r="V324" s="4"/>
      <c r="W324" s="4"/>
      <c r="X324" s="4"/>
      <c r="Y324" s="4"/>
      <c r="Z324" s="4"/>
    </row>
    <row r="325" spans="1:26">
      <c r="A325" s="10"/>
      <c r="B325" s="10"/>
      <c r="C325" s="4"/>
      <c r="D325" s="10"/>
      <c r="E325" s="10"/>
      <c r="F325" s="4"/>
      <c r="G325" s="4"/>
      <c r="H325" s="4"/>
      <c r="I325" s="4"/>
      <c r="J325" s="4"/>
      <c r="K325" s="4"/>
      <c r="L325" s="4"/>
      <c r="M325" s="4"/>
      <c r="N325" s="4"/>
      <c r="O325" s="4"/>
      <c r="P325" s="4"/>
      <c r="Q325" s="4"/>
      <c r="R325" s="4"/>
      <c r="S325" s="4"/>
      <c r="T325" s="4"/>
      <c r="U325" s="4"/>
      <c r="V325" s="4"/>
      <c r="W325" s="4"/>
      <c r="X325" s="4"/>
      <c r="Y325" s="4"/>
      <c r="Z325" s="4"/>
    </row>
    <row r="326" spans="1:26">
      <c r="A326" s="10"/>
      <c r="B326" s="10"/>
      <c r="C326" s="4"/>
      <c r="D326" s="10"/>
      <c r="E326" s="10"/>
      <c r="F326" s="4"/>
      <c r="G326" s="4"/>
      <c r="H326" s="4"/>
      <c r="I326" s="4"/>
      <c r="J326" s="4"/>
      <c r="K326" s="4"/>
      <c r="L326" s="4"/>
      <c r="M326" s="4"/>
      <c r="N326" s="4"/>
      <c r="O326" s="4"/>
      <c r="P326" s="4"/>
      <c r="Q326" s="4"/>
      <c r="R326" s="4"/>
      <c r="S326" s="4"/>
      <c r="T326" s="4"/>
      <c r="U326" s="4"/>
      <c r="V326" s="4"/>
      <c r="W326" s="4"/>
      <c r="X326" s="4"/>
      <c r="Y326" s="4"/>
      <c r="Z326" s="4"/>
    </row>
    <row r="327" spans="1:26">
      <c r="A327" s="10"/>
      <c r="B327" s="10"/>
      <c r="C327" s="4"/>
      <c r="D327" s="10"/>
      <c r="E327" s="10"/>
      <c r="F327" s="4"/>
      <c r="G327" s="4"/>
      <c r="H327" s="4"/>
      <c r="I327" s="4"/>
      <c r="J327" s="4"/>
      <c r="K327" s="4"/>
      <c r="L327" s="4"/>
      <c r="M327" s="4"/>
      <c r="N327" s="4"/>
      <c r="O327" s="4"/>
      <c r="P327" s="4"/>
      <c r="Q327" s="4"/>
      <c r="R327" s="4"/>
      <c r="S327" s="4"/>
      <c r="T327" s="4"/>
      <c r="U327" s="4"/>
      <c r="V327" s="4"/>
      <c r="W327" s="4"/>
      <c r="X327" s="4"/>
      <c r="Y327" s="4"/>
      <c r="Z327" s="4"/>
    </row>
    <row r="328" spans="1:26">
      <c r="A328" s="10"/>
      <c r="B328" s="10"/>
      <c r="C328" s="4"/>
      <c r="D328" s="10"/>
      <c r="E328" s="10"/>
      <c r="F328" s="4"/>
      <c r="G328" s="4"/>
      <c r="H328" s="4"/>
      <c r="I328" s="4"/>
      <c r="J328" s="4"/>
      <c r="K328" s="4"/>
      <c r="L328" s="4"/>
      <c r="M328" s="4"/>
      <c r="N328" s="4"/>
      <c r="O328" s="4"/>
      <c r="P328" s="4"/>
      <c r="Q328" s="4"/>
      <c r="R328" s="4"/>
      <c r="S328" s="4"/>
      <c r="T328" s="4"/>
      <c r="U328" s="4"/>
      <c r="V328" s="4"/>
      <c r="W328" s="4"/>
      <c r="X328" s="4"/>
      <c r="Y328" s="4"/>
      <c r="Z328" s="4"/>
    </row>
    <row r="329" spans="1:26">
      <c r="A329" s="10"/>
      <c r="B329" s="10"/>
      <c r="C329" s="4"/>
      <c r="D329" s="10"/>
      <c r="E329" s="10"/>
      <c r="F329" s="4"/>
      <c r="G329" s="4"/>
      <c r="H329" s="4"/>
      <c r="I329" s="4"/>
      <c r="J329" s="4"/>
      <c r="K329" s="4"/>
      <c r="L329" s="4"/>
      <c r="M329" s="4"/>
      <c r="N329" s="4"/>
      <c r="O329" s="4"/>
      <c r="P329" s="4"/>
      <c r="Q329" s="4"/>
      <c r="R329" s="4"/>
      <c r="S329" s="4"/>
      <c r="T329" s="4"/>
      <c r="U329" s="4"/>
      <c r="V329" s="4"/>
      <c r="W329" s="4"/>
      <c r="X329" s="4"/>
      <c r="Y329" s="4"/>
      <c r="Z329" s="4"/>
    </row>
    <row r="330" spans="1:26">
      <c r="A330" s="10"/>
      <c r="B330" s="10"/>
      <c r="C330" s="4"/>
      <c r="D330" s="10"/>
      <c r="E330" s="10"/>
      <c r="F330" s="4"/>
      <c r="G330" s="4"/>
      <c r="H330" s="4"/>
      <c r="I330" s="4"/>
      <c r="J330" s="4"/>
      <c r="K330" s="4"/>
      <c r="L330" s="4"/>
      <c r="M330" s="4"/>
      <c r="N330" s="4"/>
      <c r="O330" s="4"/>
      <c r="P330" s="4"/>
      <c r="Q330" s="4"/>
      <c r="R330" s="4"/>
      <c r="S330" s="4"/>
      <c r="T330" s="4"/>
      <c r="U330" s="4"/>
      <c r="V330" s="4"/>
      <c r="W330" s="4"/>
      <c r="X330" s="4"/>
      <c r="Y330" s="4"/>
      <c r="Z330" s="4"/>
    </row>
    <row r="331" spans="1:26">
      <c r="A331" s="10"/>
      <c r="B331" s="10"/>
      <c r="C331" s="4"/>
      <c r="D331" s="10"/>
      <c r="E331" s="10"/>
      <c r="F331" s="4"/>
      <c r="G331" s="4"/>
      <c r="H331" s="4"/>
      <c r="I331" s="4"/>
      <c r="J331" s="4"/>
      <c r="K331" s="4"/>
      <c r="L331" s="4"/>
      <c r="M331" s="4"/>
      <c r="N331" s="4"/>
      <c r="O331" s="4"/>
      <c r="P331" s="4"/>
      <c r="Q331" s="4"/>
      <c r="R331" s="4"/>
      <c r="S331" s="4"/>
      <c r="T331" s="4"/>
      <c r="U331" s="4"/>
      <c r="V331" s="4"/>
      <c r="W331" s="4"/>
      <c r="X331" s="4"/>
      <c r="Y331" s="4"/>
      <c r="Z331" s="4"/>
    </row>
    <row r="332" spans="1:26">
      <c r="A332" s="10"/>
      <c r="B332" s="10"/>
      <c r="C332" s="4"/>
      <c r="D332" s="10"/>
      <c r="E332" s="10"/>
      <c r="F332" s="4"/>
      <c r="G332" s="4"/>
      <c r="H332" s="4"/>
      <c r="I332" s="4"/>
      <c r="J332" s="4"/>
      <c r="K332" s="4"/>
      <c r="L332" s="4"/>
      <c r="M332" s="4"/>
      <c r="N332" s="4"/>
      <c r="O332" s="4"/>
      <c r="P332" s="4"/>
      <c r="Q332" s="4"/>
      <c r="R332" s="4"/>
      <c r="S332" s="4"/>
      <c r="T332" s="4"/>
      <c r="U332" s="4"/>
      <c r="V332" s="4"/>
      <c r="W332" s="4"/>
      <c r="X332" s="4"/>
      <c r="Y332" s="4"/>
      <c r="Z332" s="4"/>
    </row>
    <row r="333" spans="1:26">
      <c r="A333" s="10"/>
      <c r="B333" s="10"/>
      <c r="C333" s="4"/>
      <c r="D333" s="10"/>
      <c r="E333" s="10"/>
      <c r="F333" s="4"/>
      <c r="G333" s="4"/>
      <c r="H333" s="4"/>
      <c r="I333" s="4"/>
      <c r="J333" s="4"/>
      <c r="K333" s="4"/>
      <c r="L333" s="4"/>
      <c r="M333" s="4"/>
      <c r="N333" s="4"/>
      <c r="O333" s="4"/>
      <c r="P333" s="4"/>
      <c r="Q333" s="4"/>
      <c r="R333" s="4"/>
      <c r="S333" s="4"/>
      <c r="T333" s="4"/>
      <c r="U333" s="4"/>
      <c r="V333" s="4"/>
      <c r="W333" s="4"/>
      <c r="X333" s="4"/>
      <c r="Y333" s="4"/>
      <c r="Z333" s="4"/>
    </row>
    <row r="334" spans="1:26">
      <c r="A334" s="10"/>
      <c r="B334" s="10"/>
      <c r="C334" s="4"/>
      <c r="D334" s="10"/>
      <c r="E334" s="10"/>
      <c r="F334" s="4"/>
      <c r="G334" s="4"/>
      <c r="H334" s="4"/>
      <c r="I334" s="4"/>
      <c r="J334" s="4"/>
      <c r="K334" s="4"/>
      <c r="L334" s="4"/>
      <c r="M334" s="4"/>
      <c r="N334" s="4"/>
      <c r="O334" s="4"/>
      <c r="P334" s="4"/>
      <c r="Q334" s="4"/>
      <c r="R334" s="4"/>
      <c r="S334" s="4"/>
      <c r="T334" s="4"/>
      <c r="U334" s="4"/>
      <c r="V334" s="4"/>
      <c r="W334" s="4"/>
      <c r="X334" s="4"/>
      <c r="Y334" s="4"/>
      <c r="Z334" s="4"/>
    </row>
    <row r="335" spans="1:26">
      <c r="A335" s="10"/>
      <c r="B335" s="10"/>
      <c r="C335" s="4"/>
      <c r="D335" s="10"/>
      <c r="E335" s="10"/>
      <c r="F335" s="4"/>
      <c r="G335" s="4"/>
      <c r="H335" s="4"/>
      <c r="I335" s="4"/>
      <c r="J335" s="4"/>
      <c r="K335" s="4"/>
      <c r="L335" s="4"/>
      <c r="M335" s="4"/>
      <c r="N335" s="4"/>
      <c r="O335" s="4"/>
      <c r="P335" s="4"/>
      <c r="Q335" s="4"/>
      <c r="R335" s="4"/>
      <c r="S335" s="4"/>
      <c r="T335" s="4"/>
      <c r="U335" s="4"/>
      <c r="V335" s="4"/>
      <c r="W335" s="4"/>
      <c r="X335" s="4"/>
      <c r="Y335" s="4"/>
      <c r="Z335" s="4"/>
    </row>
    <row r="336" spans="1:26">
      <c r="A336" s="10"/>
      <c r="B336" s="10"/>
      <c r="C336" s="4"/>
      <c r="D336" s="10"/>
      <c r="E336" s="10"/>
      <c r="F336" s="4"/>
      <c r="G336" s="4"/>
      <c r="H336" s="4"/>
      <c r="I336" s="4"/>
      <c r="J336" s="4"/>
      <c r="K336" s="4"/>
      <c r="L336" s="4"/>
      <c r="M336" s="4"/>
      <c r="N336" s="4"/>
      <c r="O336" s="4"/>
      <c r="P336" s="4"/>
      <c r="Q336" s="4"/>
      <c r="R336" s="4"/>
      <c r="S336" s="4"/>
      <c r="T336" s="4"/>
      <c r="U336" s="4"/>
      <c r="V336" s="4"/>
      <c r="W336" s="4"/>
      <c r="X336" s="4"/>
      <c r="Y336" s="4"/>
      <c r="Z336" s="4"/>
    </row>
    <row r="337" spans="1:26">
      <c r="A337" s="10"/>
      <c r="B337" s="10"/>
      <c r="C337" s="4"/>
      <c r="D337" s="10"/>
      <c r="E337" s="10"/>
      <c r="F337" s="4"/>
      <c r="G337" s="4"/>
      <c r="H337" s="4"/>
      <c r="I337" s="4"/>
      <c r="J337" s="4"/>
      <c r="K337" s="4"/>
      <c r="L337" s="4"/>
      <c r="M337" s="4"/>
      <c r="N337" s="4"/>
      <c r="O337" s="4"/>
      <c r="P337" s="4"/>
      <c r="Q337" s="4"/>
      <c r="R337" s="4"/>
      <c r="S337" s="4"/>
      <c r="T337" s="4"/>
      <c r="U337" s="4"/>
      <c r="V337" s="4"/>
      <c r="W337" s="4"/>
      <c r="X337" s="4"/>
      <c r="Y337" s="4"/>
      <c r="Z337" s="4"/>
    </row>
    <row r="338" spans="1:26">
      <c r="A338" s="10"/>
      <c r="B338" s="10"/>
      <c r="C338" s="4"/>
      <c r="D338" s="10"/>
      <c r="E338" s="10"/>
      <c r="F338" s="4"/>
      <c r="G338" s="4"/>
      <c r="H338" s="4"/>
      <c r="I338" s="4"/>
      <c r="J338" s="4"/>
      <c r="K338" s="4"/>
      <c r="L338" s="4"/>
      <c r="M338" s="4"/>
      <c r="N338" s="4"/>
      <c r="O338" s="4"/>
      <c r="P338" s="4"/>
      <c r="Q338" s="4"/>
      <c r="R338" s="4"/>
      <c r="S338" s="4"/>
      <c r="T338" s="4"/>
      <c r="U338" s="4"/>
      <c r="V338" s="4"/>
      <c r="W338" s="4"/>
      <c r="X338" s="4"/>
      <c r="Y338" s="4"/>
      <c r="Z338" s="4"/>
    </row>
    <row r="339" spans="1:26">
      <c r="A339" s="10"/>
      <c r="B339" s="10"/>
      <c r="C339" s="4"/>
      <c r="D339" s="10"/>
      <c r="E339" s="10"/>
      <c r="F339" s="4"/>
      <c r="G339" s="4"/>
      <c r="H339" s="4"/>
      <c r="I339" s="4"/>
      <c r="J339" s="4"/>
      <c r="K339" s="4"/>
      <c r="L339" s="4"/>
      <c r="M339" s="4"/>
      <c r="N339" s="4"/>
      <c r="O339" s="4"/>
      <c r="P339" s="4"/>
      <c r="Q339" s="4"/>
      <c r="R339" s="4"/>
      <c r="S339" s="4"/>
      <c r="T339" s="4"/>
      <c r="U339" s="4"/>
      <c r="V339" s="4"/>
      <c r="W339" s="4"/>
      <c r="X339" s="4"/>
      <c r="Y339" s="4"/>
      <c r="Z339" s="4"/>
    </row>
    <row r="340" spans="1:26">
      <c r="A340" s="10"/>
      <c r="B340" s="10"/>
      <c r="C340" s="4"/>
      <c r="D340" s="10"/>
      <c r="E340" s="10"/>
      <c r="F340" s="4"/>
      <c r="G340" s="4"/>
      <c r="H340" s="4"/>
      <c r="I340" s="4"/>
      <c r="J340" s="4"/>
      <c r="K340" s="4"/>
      <c r="L340" s="4"/>
      <c r="M340" s="4"/>
      <c r="N340" s="4"/>
      <c r="O340" s="4"/>
      <c r="P340" s="4"/>
      <c r="Q340" s="4"/>
      <c r="R340" s="4"/>
      <c r="S340" s="4"/>
      <c r="T340" s="4"/>
      <c r="U340" s="4"/>
      <c r="V340" s="4"/>
      <c r="W340" s="4"/>
      <c r="X340" s="4"/>
      <c r="Y340" s="4"/>
      <c r="Z340" s="4"/>
    </row>
    <row r="341" spans="1:26">
      <c r="A341" s="10"/>
      <c r="B341" s="10"/>
      <c r="C341" s="4"/>
      <c r="D341" s="10"/>
      <c r="E341" s="10"/>
      <c r="F341" s="4"/>
      <c r="G341" s="4"/>
      <c r="H341" s="4"/>
      <c r="I341" s="4"/>
      <c r="J341" s="4"/>
      <c r="K341" s="4"/>
      <c r="L341" s="4"/>
      <c r="M341" s="4"/>
      <c r="N341" s="4"/>
      <c r="O341" s="4"/>
      <c r="P341" s="4"/>
      <c r="Q341" s="4"/>
      <c r="R341" s="4"/>
      <c r="S341" s="4"/>
      <c r="T341" s="4"/>
      <c r="U341" s="4"/>
      <c r="V341" s="4"/>
      <c r="W341" s="4"/>
      <c r="X341" s="4"/>
      <c r="Y341" s="4"/>
      <c r="Z341" s="4"/>
    </row>
    <row r="342" spans="1:26">
      <c r="A342" s="10"/>
      <c r="B342" s="10"/>
      <c r="C342" s="4"/>
      <c r="D342" s="10"/>
      <c r="E342" s="10"/>
      <c r="F342" s="4"/>
      <c r="G342" s="4"/>
      <c r="H342" s="4"/>
      <c r="I342" s="4"/>
      <c r="J342" s="4"/>
      <c r="K342" s="4"/>
      <c r="L342" s="4"/>
      <c r="M342" s="4"/>
      <c r="N342" s="4"/>
      <c r="O342" s="4"/>
      <c r="P342" s="4"/>
      <c r="Q342" s="4"/>
      <c r="R342" s="4"/>
      <c r="S342" s="4"/>
      <c r="T342" s="4"/>
      <c r="U342" s="4"/>
      <c r="V342" s="4"/>
      <c r="W342" s="4"/>
      <c r="X342" s="4"/>
      <c r="Y342" s="4"/>
      <c r="Z342" s="4"/>
    </row>
    <row r="343" spans="1:26">
      <c r="A343" s="10"/>
      <c r="B343" s="10"/>
      <c r="C343" s="4"/>
      <c r="D343" s="10"/>
      <c r="E343" s="10"/>
      <c r="F343" s="4"/>
      <c r="G343" s="4"/>
      <c r="H343" s="4"/>
      <c r="I343" s="4"/>
      <c r="J343" s="4"/>
      <c r="K343" s="4"/>
      <c r="L343" s="4"/>
      <c r="M343" s="4"/>
      <c r="N343" s="4"/>
      <c r="O343" s="4"/>
      <c r="P343" s="4"/>
      <c r="Q343" s="4"/>
      <c r="R343" s="4"/>
      <c r="S343" s="4"/>
      <c r="T343" s="4"/>
      <c r="U343" s="4"/>
      <c r="V343" s="4"/>
      <c r="W343" s="4"/>
      <c r="X343" s="4"/>
      <c r="Y343" s="4"/>
      <c r="Z343" s="4"/>
    </row>
    <row r="344" spans="1:26">
      <c r="A344" s="10"/>
      <c r="B344" s="10"/>
      <c r="C344" s="4"/>
      <c r="D344" s="10"/>
      <c r="E344" s="10"/>
      <c r="F344" s="4"/>
      <c r="G344" s="4"/>
      <c r="H344" s="4"/>
      <c r="I344" s="4"/>
      <c r="J344" s="4"/>
      <c r="K344" s="4"/>
      <c r="L344" s="4"/>
      <c r="M344" s="4"/>
      <c r="N344" s="4"/>
      <c r="O344" s="4"/>
      <c r="P344" s="4"/>
      <c r="Q344" s="4"/>
      <c r="R344" s="4"/>
      <c r="S344" s="4"/>
      <c r="T344" s="4"/>
      <c r="U344" s="4"/>
      <c r="V344" s="4"/>
      <c r="W344" s="4"/>
      <c r="X344" s="4"/>
      <c r="Y344" s="4"/>
      <c r="Z344" s="4"/>
    </row>
    <row r="345" spans="1:26">
      <c r="A345" s="10"/>
      <c r="B345" s="10"/>
      <c r="C345" s="4"/>
      <c r="D345" s="10"/>
      <c r="E345" s="10"/>
      <c r="F345" s="4"/>
      <c r="G345" s="4"/>
      <c r="H345" s="4"/>
      <c r="I345" s="4"/>
      <c r="J345" s="4"/>
      <c r="K345" s="4"/>
      <c r="L345" s="4"/>
      <c r="M345" s="4"/>
      <c r="N345" s="4"/>
      <c r="O345" s="4"/>
      <c r="P345" s="4"/>
      <c r="Q345" s="4"/>
      <c r="R345" s="4"/>
      <c r="S345" s="4"/>
      <c r="T345" s="4"/>
      <c r="U345" s="4"/>
      <c r="V345" s="4"/>
      <c r="W345" s="4"/>
      <c r="X345" s="4"/>
      <c r="Y345" s="4"/>
      <c r="Z345" s="4"/>
    </row>
    <row r="346" spans="1:26">
      <c r="A346" s="10"/>
      <c r="B346" s="10"/>
      <c r="C346" s="4"/>
      <c r="D346" s="10"/>
      <c r="E346" s="10"/>
      <c r="F346" s="4"/>
      <c r="G346" s="4"/>
      <c r="H346" s="4"/>
      <c r="I346" s="4"/>
      <c r="J346" s="4"/>
      <c r="K346" s="4"/>
      <c r="L346" s="4"/>
      <c r="M346" s="4"/>
      <c r="N346" s="4"/>
      <c r="O346" s="4"/>
      <c r="P346" s="4"/>
      <c r="Q346" s="4"/>
      <c r="R346" s="4"/>
      <c r="S346" s="4"/>
      <c r="T346" s="4"/>
      <c r="U346" s="4"/>
      <c r="V346" s="4"/>
      <c r="W346" s="4"/>
      <c r="X346" s="4"/>
      <c r="Y346" s="4"/>
      <c r="Z346" s="4"/>
    </row>
    <row r="347" spans="1:26">
      <c r="A347" s="10"/>
      <c r="B347" s="10"/>
      <c r="C347" s="4"/>
      <c r="D347" s="10"/>
      <c r="E347" s="10"/>
      <c r="F347" s="4"/>
      <c r="G347" s="4"/>
      <c r="H347" s="4"/>
      <c r="I347" s="4"/>
      <c r="J347" s="4"/>
      <c r="K347" s="4"/>
      <c r="L347" s="4"/>
      <c r="M347" s="4"/>
      <c r="N347" s="4"/>
      <c r="O347" s="4"/>
      <c r="P347" s="4"/>
      <c r="Q347" s="4"/>
      <c r="R347" s="4"/>
      <c r="S347" s="4"/>
      <c r="T347" s="4"/>
      <c r="U347" s="4"/>
      <c r="V347" s="4"/>
      <c r="W347" s="4"/>
      <c r="X347" s="4"/>
      <c r="Y347" s="4"/>
      <c r="Z347" s="4"/>
    </row>
    <row r="348" spans="1:26">
      <c r="A348" s="10"/>
      <c r="B348" s="10"/>
      <c r="C348" s="4"/>
      <c r="D348" s="10"/>
      <c r="E348" s="10"/>
      <c r="F348" s="4"/>
      <c r="G348" s="4"/>
      <c r="H348" s="4"/>
      <c r="I348" s="4"/>
      <c r="J348" s="4"/>
      <c r="K348" s="4"/>
      <c r="L348" s="4"/>
      <c r="M348" s="4"/>
      <c r="N348" s="4"/>
      <c r="O348" s="4"/>
      <c r="P348" s="4"/>
      <c r="Q348" s="4"/>
      <c r="R348" s="4"/>
      <c r="S348" s="4"/>
      <c r="T348" s="4"/>
      <c r="U348" s="4"/>
      <c r="V348" s="4"/>
      <c r="W348" s="4"/>
      <c r="X348" s="4"/>
      <c r="Y348" s="4"/>
      <c r="Z348" s="4"/>
    </row>
    <row r="349" spans="1:26">
      <c r="A349" s="10"/>
      <c r="B349" s="10"/>
      <c r="C349" s="4"/>
      <c r="D349" s="10"/>
      <c r="E349" s="10"/>
      <c r="F349" s="4"/>
      <c r="G349" s="4"/>
      <c r="H349" s="4"/>
      <c r="I349" s="4"/>
      <c r="J349" s="4"/>
      <c r="K349" s="4"/>
      <c r="L349" s="4"/>
      <c r="M349" s="4"/>
      <c r="N349" s="4"/>
      <c r="O349" s="4"/>
      <c r="P349" s="4"/>
      <c r="Q349" s="4"/>
      <c r="R349" s="4"/>
      <c r="S349" s="4"/>
      <c r="T349" s="4"/>
      <c r="U349" s="4"/>
      <c r="V349" s="4"/>
      <c r="W349" s="4"/>
      <c r="X349" s="4"/>
      <c r="Y349" s="4"/>
      <c r="Z349" s="4"/>
    </row>
    <row r="350" spans="1:26">
      <c r="A350" s="10"/>
      <c r="B350" s="10"/>
      <c r="C350" s="4"/>
      <c r="D350" s="10"/>
      <c r="E350" s="10"/>
      <c r="F350" s="4"/>
      <c r="G350" s="4"/>
      <c r="H350" s="4"/>
      <c r="I350" s="4"/>
      <c r="J350" s="4"/>
      <c r="K350" s="4"/>
      <c r="L350" s="4"/>
      <c r="M350" s="4"/>
      <c r="N350" s="4"/>
      <c r="O350" s="4"/>
      <c r="P350" s="4"/>
      <c r="Q350" s="4"/>
      <c r="R350" s="4"/>
      <c r="S350" s="4"/>
      <c r="T350" s="4"/>
      <c r="U350" s="4"/>
      <c r="V350" s="4"/>
      <c r="W350" s="4"/>
      <c r="X350" s="4"/>
      <c r="Y350" s="4"/>
      <c r="Z350" s="4"/>
    </row>
    <row r="351" spans="1:26">
      <c r="A351" s="10"/>
      <c r="B351" s="10"/>
      <c r="C351" s="4"/>
      <c r="D351" s="10"/>
      <c r="E351" s="10"/>
      <c r="F351" s="4"/>
      <c r="G351" s="4"/>
      <c r="H351" s="4"/>
      <c r="I351" s="4"/>
      <c r="J351" s="4"/>
      <c r="K351" s="4"/>
      <c r="L351" s="4"/>
      <c r="M351" s="4"/>
      <c r="N351" s="4"/>
      <c r="O351" s="4"/>
      <c r="P351" s="4"/>
      <c r="Q351" s="4"/>
      <c r="R351" s="4"/>
      <c r="S351" s="4"/>
      <c r="T351" s="4"/>
      <c r="U351" s="4"/>
      <c r="V351" s="4"/>
      <c r="W351" s="4"/>
      <c r="X351" s="4"/>
      <c r="Y351" s="4"/>
      <c r="Z351" s="4"/>
    </row>
    <row r="352" spans="1:26">
      <c r="A352" s="10"/>
      <c r="B352" s="10"/>
      <c r="C352" s="4"/>
      <c r="D352" s="10"/>
      <c r="E352" s="10"/>
      <c r="F352" s="4"/>
      <c r="G352" s="4"/>
      <c r="H352" s="4"/>
      <c r="I352" s="4"/>
      <c r="J352" s="4"/>
      <c r="K352" s="4"/>
      <c r="L352" s="4"/>
      <c r="M352" s="4"/>
      <c r="N352" s="4"/>
      <c r="O352" s="4"/>
      <c r="P352" s="4"/>
      <c r="Q352" s="4"/>
      <c r="R352" s="4"/>
      <c r="S352" s="4"/>
      <c r="T352" s="4"/>
      <c r="U352" s="4"/>
      <c r="V352" s="4"/>
      <c r="W352" s="4"/>
      <c r="X352" s="4"/>
      <c r="Y352" s="4"/>
      <c r="Z352" s="4"/>
    </row>
    <row r="353" spans="1:26">
      <c r="A353" s="10"/>
      <c r="B353" s="10"/>
      <c r="C353" s="4"/>
      <c r="D353" s="10"/>
      <c r="E353" s="10"/>
      <c r="F353" s="4"/>
      <c r="G353" s="4"/>
      <c r="H353" s="4"/>
      <c r="I353" s="4"/>
      <c r="J353" s="4"/>
      <c r="K353" s="4"/>
      <c r="L353" s="4"/>
      <c r="M353" s="4"/>
      <c r="N353" s="4"/>
      <c r="O353" s="4"/>
      <c r="P353" s="4"/>
      <c r="Q353" s="4"/>
      <c r="R353" s="4"/>
      <c r="S353" s="4"/>
      <c r="T353" s="4"/>
      <c r="U353" s="4"/>
      <c r="V353" s="4"/>
      <c r="W353" s="4"/>
      <c r="X353" s="4"/>
      <c r="Y353" s="4"/>
      <c r="Z353" s="4"/>
    </row>
    <row r="354" spans="1:26">
      <c r="A354" s="10"/>
      <c r="B354" s="10"/>
      <c r="C354" s="4"/>
      <c r="D354" s="10"/>
      <c r="E354" s="10"/>
      <c r="F354" s="4"/>
      <c r="G354" s="4"/>
      <c r="H354" s="4"/>
      <c r="I354" s="4"/>
      <c r="J354" s="4"/>
      <c r="K354" s="4"/>
      <c r="L354" s="4"/>
      <c r="M354" s="4"/>
      <c r="N354" s="4"/>
      <c r="O354" s="4"/>
      <c r="P354" s="4"/>
      <c r="Q354" s="4"/>
      <c r="R354" s="4"/>
      <c r="S354" s="4"/>
      <c r="T354" s="4"/>
      <c r="U354" s="4"/>
      <c r="V354" s="4"/>
      <c r="W354" s="4"/>
      <c r="X354" s="4"/>
      <c r="Y354" s="4"/>
      <c r="Z354" s="4"/>
    </row>
    <row r="355" spans="1:26">
      <c r="A355" s="10"/>
      <c r="B355" s="10"/>
      <c r="C355" s="4"/>
      <c r="D355" s="10"/>
      <c r="E355" s="10"/>
      <c r="F355" s="4"/>
      <c r="G355" s="4"/>
      <c r="H355" s="4"/>
      <c r="I355" s="4"/>
      <c r="J355" s="4"/>
      <c r="K355" s="4"/>
      <c r="L355" s="4"/>
      <c r="M355" s="4"/>
      <c r="N355" s="4"/>
      <c r="O355" s="4"/>
      <c r="P355" s="4"/>
      <c r="Q355" s="4"/>
      <c r="R355" s="4"/>
      <c r="S355" s="4"/>
      <c r="T355" s="4"/>
      <c r="U355" s="4"/>
      <c r="V355" s="4"/>
      <c r="W355" s="4"/>
      <c r="X355" s="4"/>
      <c r="Y355" s="4"/>
      <c r="Z355" s="4"/>
    </row>
    <row r="356" spans="1:26">
      <c r="A356" s="10"/>
      <c r="B356" s="10"/>
      <c r="C356" s="4"/>
      <c r="D356" s="10"/>
      <c r="E356" s="10"/>
      <c r="F356" s="4"/>
      <c r="G356" s="4"/>
      <c r="H356" s="4"/>
      <c r="I356" s="4"/>
      <c r="J356" s="4"/>
      <c r="K356" s="4"/>
      <c r="L356" s="4"/>
      <c r="M356" s="4"/>
      <c r="N356" s="4"/>
      <c r="O356" s="4"/>
      <c r="P356" s="4"/>
      <c r="Q356" s="4"/>
      <c r="R356" s="4"/>
      <c r="S356" s="4"/>
      <c r="T356" s="4"/>
      <c r="U356" s="4"/>
      <c r="V356" s="4"/>
      <c r="W356" s="4"/>
      <c r="X356" s="4"/>
      <c r="Y356" s="4"/>
      <c r="Z356" s="4"/>
    </row>
    <row r="357" spans="1:26">
      <c r="A357" s="10"/>
      <c r="B357" s="10"/>
      <c r="C357" s="4"/>
      <c r="D357" s="10"/>
      <c r="E357" s="10"/>
      <c r="F357" s="4"/>
      <c r="G357" s="4"/>
      <c r="H357" s="4"/>
      <c r="I357" s="4"/>
      <c r="J357" s="4"/>
      <c r="K357" s="4"/>
      <c r="L357" s="4"/>
      <c r="M357" s="4"/>
      <c r="N357" s="4"/>
      <c r="O357" s="4"/>
      <c r="P357" s="4"/>
      <c r="Q357" s="4"/>
      <c r="R357" s="4"/>
      <c r="S357" s="4"/>
      <c r="T357" s="4"/>
      <c r="U357" s="4"/>
      <c r="V357" s="4"/>
      <c r="W357" s="4"/>
      <c r="X357" s="4"/>
      <c r="Y357" s="4"/>
      <c r="Z357" s="4"/>
    </row>
    <row r="358" spans="1:26">
      <c r="A358" s="10"/>
      <c r="B358" s="10"/>
      <c r="C358" s="4"/>
      <c r="D358" s="10"/>
      <c r="E358" s="10"/>
      <c r="F358" s="4"/>
      <c r="G358" s="4"/>
      <c r="H358" s="4"/>
      <c r="I358" s="4"/>
      <c r="J358" s="4"/>
      <c r="K358" s="4"/>
      <c r="L358" s="4"/>
      <c r="M358" s="4"/>
      <c r="N358" s="4"/>
      <c r="O358" s="4"/>
      <c r="P358" s="4"/>
      <c r="Q358" s="4"/>
      <c r="R358" s="4"/>
      <c r="S358" s="4"/>
      <c r="T358" s="4"/>
      <c r="U358" s="4"/>
      <c r="V358" s="4"/>
      <c r="W358" s="4"/>
      <c r="X358" s="4"/>
      <c r="Y358" s="4"/>
      <c r="Z358" s="4"/>
    </row>
    <row r="359" spans="1:26">
      <c r="A359" s="10"/>
      <c r="B359" s="10"/>
      <c r="C359" s="4"/>
      <c r="D359" s="10"/>
      <c r="E359" s="10"/>
      <c r="F359" s="4"/>
      <c r="G359" s="4"/>
      <c r="H359" s="4"/>
      <c r="I359" s="4"/>
      <c r="J359" s="4"/>
      <c r="K359" s="4"/>
      <c r="L359" s="4"/>
      <c r="M359" s="4"/>
      <c r="N359" s="4"/>
      <c r="O359" s="4"/>
      <c r="P359" s="4"/>
      <c r="Q359" s="4"/>
      <c r="R359" s="4"/>
      <c r="S359" s="4"/>
      <c r="T359" s="4"/>
      <c r="U359" s="4"/>
      <c r="V359" s="4"/>
      <c r="W359" s="4"/>
      <c r="X359" s="4"/>
      <c r="Y359" s="4"/>
      <c r="Z359" s="4"/>
    </row>
    <row r="360" spans="1:26">
      <c r="A360" s="10"/>
      <c r="B360" s="10"/>
      <c r="C360" s="4"/>
      <c r="D360" s="10"/>
      <c r="E360" s="10"/>
      <c r="F360" s="4"/>
      <c r="G360" s="4"/>
      <c r="H360" s="4"/>
      <c r="I360" s="4"/>
      <c r="J360" s="4"/>
      <c r="K360" s="4"/>
      <c r="L360" s="4"/>
      <c r="M360" s="4"/>
      <c r="N360" s="4"/>
      <c r="O360" s="4"/>
      <c r="P360" s="4"/>
      <c r="Q360" s="4"/>
      <c r="R360" s="4"/>
      <c r="S360" s="4"/>
      <c r="T360" s="4"/>
      <c r="U360" s="4"/>
      <c r="V360" s="4"/>
      <c r="W360" s="4"/>
      <c r="X360" s="4"/>
      <c r="Y360" s="4"/>
      <c r="Z360" s="4"/>
    </row>
    <row r="361" spans="1:26">
      <c r="A361" s="10"/>
      <c r="B361" s="10"/>
      <c r="C361" s="4"/>
      <c r="D361" s="10"/>
      <c r="E361" s="10"/>
      <c r="F361" s="4"/>
      <c r="G361" s="4"/>
      <c r="H361" s="4"/>
      <c r="I361" s="4"/>
      <c r="J361" s="4"/>
      <c r="K361" s="4"/>
      <c r="L361" s="4"/>
      <c r="M361" s="4"/>
      <c r="N361" s="4"/>
      <c r="O361" s="4"/>
      <c r="P361" s="4"/>
      <c r="Q361" s="4"/>
      <c r="R361" s="4"/>
      <c r="S361" s="4"/>
      <c r="T361" s="4"/>
      <c r="U361" s="4"/>
      <c r="V361" s="4"/>
      <c r="W361" s="4"/>
      <c r="X361" s="4"/>
      <c r="Y361" s="4"/>
      <c r="Z361" s="4"/>
    </row>
    <row r="362" spans="1:26">
      <c r="A362" s="10"/>
      <c r="B362" s="10"/>
      <c r="C362" s="4"/>
      <c r="D362" s="10"/>
      <c r="E362" s="10"/>
      <c r="F362" s="4"/>
      <c r="G362" s="4"/>
      <c r="H362" s="4"/>
      <c r="I362" s="4"/>
      <c r="J362" s="4"/>
      <c r="K362" s="4"/>
      <c r="L362" s="4"/>
      <c r="M362" s="4"/>
      <c r="N362" s="4"/>
      <c r="O362" s="4"/>
      <c r="P362" s="4"/>
      <c r="Q362" s="4"/>
      <c r="R362" s="4"/>
      <c r="S362" s="4"/>
      <c r="T362" s="4"/>
      <c r="U362" s="4"/>
      <c r="V362" s="4"/>
      <c r="W362" s="4"/>
      <c r="X362" s="4"/>
      <c r="Y362" s="4"/>
      <c r="Z362" s="4"/>
    </row>
    <row r="363" spans="1:26">
      <c r="A363" s="10"/>
      <c r="B363" s="10"/>
      <c r="C363" s="4"/>
      <c r="D363" s="10"/>
      <c r="E363" s="10"/>
      <c r="F363" s="4"/>
      <c r="G363" s="4"/>
      <c r="H363" s="4"/>
      <c r="I363" s="4"/>
      <c r="J363" s="4"/>
      <c r="K363" s="4"/>
      <c r="L363" s="4"/>
      <c r="M363" s="4"/>
      <c r="N363" s="4"/>
      <c r="O363" s="4"/>
      <c r="P363" s="4"/>
      <c r="Q363" s="4"/>
      <c r="R363" s="4"/>
      <c r="S363" s="4"/>
      <c r="T363" s="4"/>
      <c r="U363" s="4"/>
      <c r="V363" s="4"/>
      <c r="W363" s="4"/>
      <c r="X363" s="4"/>
      <c r="Y363" s="4"/>
      <c r="Z363" s="4"/>
    </row>
    <row r="364" spans="1:26">
      <c r="A364" s="10"/>
      <c r="B364" s="10"/>
      <c r="C364" s="4"/>
      <c r="D364" s="10"/>
      <c r="E364" s="10"/>
      <c r="F364" s="4"/>
      <c r="G364" s="4"/>
      <c r="H364" s="4"/>
      <c r="I364" s="4"/>
      <c r="J364" s="4"/>
      <c r="K364" s="4"/>
      <c r="L364" s="4"/>
      <c r="M364" s="4"/>
      <c r="N364" s="4"/>
      <c r="O364" s="4"/>
      <c r="P364" s="4"/>
      <c r="Q364" s="4"/>
      <c r="R364" s="4"/>
      <c r="S364" s="4"/>
      <c r="T364" s="4"/>
      <c r="U364" s="4"/>
      <c r="V364" s="4"/>
      <c r="W364" s="4"/>
      <c r="X364" s="4"/>
      <c r="Y364" s="4"/>
      <c r="Z364" s="4"/>
    </row>
    <row r="365" spans="1:26">
      <c r="A365" s="10"/>
      <c r="B365" s="10"/>
      <c r="C365" s="4"/>
      <c r="D365" s="10"/>
      <c r="E365" s="10"/>
      <c r="F365" s="4"/>
      <c r="G365" s="4"/>
      <c r="H365" s="4"/>
      <c r="I365" s="4"/>
      <c r="J365" s="4"/>
      <c r="K365" s="4"/>
      <c r="L365" s="4"/>
      <c r="M365" s="4"/>
      <c r="N365" s="4"/>
      <c r="O365" s="4"/>
      <c r="P365" s="4"/>
      <c r="Q365" s="4"/>
      <c r="R365" s="4"/>
      <c r="S365" s="4"/>
      <c r="T365" s="4"/>
      <c r="U365" s="4"/>
      <c r="V365" s="4"/>
      <c r="W365" s="4"/>
      <c r="X365" s="4"/>
      <c r="Y365" s="4"/>
      <c r="Z365" s="4"/>
    </row>
    <row r="366" spans="1:26">
      <c r="A366" s="10"/>
      <c r="B366" s="10"/>
      <c r="C366" s="4"/>
      <c r="D366" s="10"/>
      <c r="E366" s="10"/>
      <c r="F366" s="4"/>
      <c r="G366" s="4"/>
      <c r="H366" s="4"/>
      <c r="I366" s="4"/>
      <c r="J366" s="4"/>
      <c r="K366" s="4"/>
      <c r="L366" s="4"/>
      <c r="M366" s="4"/>
      <c r="N366" s="4"/>
      <c r="O366" s="4"/>
      <c r="P366" s="4"/>
      <c r="Q366" s="4"/>
      <c r="R366" s="4"/>
      <c r="S366" s="4"/>
      <c r="T366" s="4"/>
      <c r="U366" s="4"/>
      <c r="V366" s="4"/>
      <c r="W366" s="4"/>
      <c r="X366" s="4"/>
      <c r="Y366" s="4"/>
      <c r="Z366" s="4"/>
    </row>
    <row r="367" spans="1:26">
      <c r="A367" s="10"/>
      <c r="B367" s="10"/>
      <c r="C367" s="4"/>
      <c r="D367" s="10"/>
      <c r="E367" s="10"/>
      <c r="F367" s="4"/>
      <c r="G367" s="4"/>
      <c r="H367" s="4"/>
      <c r="I367" s="4"/>
      <c r="J367" s="4"/>
      <c r="K367" s="4"/>
      <c r="L367" s="4"/>
      <c r="M367" s="4"/>
      <c r="N367" s="4"/>
      <c r="O367" s="4"/>
      <c r="P367" s="4"/>
      <c r="Q367" s="4"/>
      <c r="R367" s="4"/>
      <c r="S367" s="4"/>
      <c r="T367" s="4"/>
      <c r="U367" s="4"/>
      <c r="V367" s="4"/>
      <c r="W367" s="4"/>
      <c r="X367" s="4"/>
      <c r="Y367" s="4"/>
      <c r="Z367" s="4"/>
    </row>
    <row r="368" spans="1:26">
      <c r="A368" s="10"/>
      <c r="B368" s="10"/>
      <c r="C368" s="4"/>
      <c r="D368" s="10"/>
      <c r="E368" s="10"/>
      <c r="F368" s="4"/>
      <c r="G368" s="4"/>
      <c r="H368" s="4"/>
      <c r="I368" s="4"/>
      <c r="J368" s="4"/>
      <c r="K368" s="4"/>
      <c r="L368" s="4"/>
      <c r="M368" s="4"/>
      <c r="N368" s="4"/>
      <c r="O368" s="4"/>
      <c r="P368" s="4"/>
      <c r="Q368" s="4"/>
      <c r="R368" s="4"/>
      <c r="S368" s="4"/>
      <c r="T368" s="4"/>
      <c r="U368" s="4"/>
      <c r="V368" s="4"/>
      <c r="W368" s="4"/>
      <c r="X368" s="4"/>
      <c r="Y368" s="4"/>
      <c r="Z368" s="4"/>
    </row>
    <row r="369" spans="1:26">
      <c r="A369" s="10"/>
      <c r="B369" s="10"/>
      <c r="C369" s="4"/>
      <c r="D369" s="10"/>
      <c r="E369" s="10"/>
      <c r="F369" s="4"/>
      <c r="G369" s="4"/>
      <c r="H369" s="4"/>
      <c r="I369" s="4"/>
      <c r="J369" s="4"/>
      <c r="K369" s="4"/>
      <c r="L369" s="4"/>
      <c r="M369" s="4"/>
      <c r="N369" s="4"/>
      <c r="O369" s="4"/>
      <c r="P369" s="4"/>
      <c r="Q369" s="4"/>
      <c r="R369" s="4"/>
      <c r="S369" s="4"/>
      <c r="T369" s="4"/>
      <c r="U369" s="4"/>
      <c r="V369" s="4"/>
      <c r="W369" s="4"/>
      <c r="X369" s="4"/>
      <c r="Y369" s="4"/>
      <c r="Z369" s="4"/>
    </row>
    <row r="370" spans="1:26">
      <c r="A370" s="10"/>
      <c r="B370" s="10"/>
      <c r="C370" s="4"/>
      <c r="D370" s="10"/>
      <c r="E370" s="10"/>
      <c r="F370" s="4"/>
      <c r="G370" s="4"/>
      <c r="H370" s="4"/>
      <c r="I370" s="4"/>
      <c r="J370" s="4"/>
      <c r="K370" s="4"/>
      <c r="L370" s="4"/>
      <c r="M370" s="4"/>
      <c r="N370" s="4"/>
      <c r="O370" s="4"/>
      <c r="P370" s="4"/>
      <c r="Q370" s="4"/>
      <c r="R370" s="4"/>
      <c r="S370" s="4"/>
      <c r="T370" s="4"/>
      <c r="U370" s="4"/>
      <c r="V370" s="4"/>
      <c r="W370" s="4"/>
      <c r="X370" s="4"/>
      <c r="Y370" s="4"/>
      <c r="Z370" s="4"/>
    </row>
    <row r="371" spans="1:26">
      <c r="A371" s="10"/>
      <c r="B371" s="10"/>
      <c r="C371" s="4"/>
      <c r="D371" s="10"/>
      <c r="E371" s="10"/>
      <c r="F371" s="4"/>
      <c r="G371" s="4"/>
      <c r="H371" s="4"/>
      <c r="I371" s="4"/>
      <c r="J371" s="4"/>
      <c r="K371" s="4"/>
      <c r="L371" s="4"/>
      <c r="M371" s="4"/>
      <c r="N371" s="4"/>
      <c r="O371" s="4"/>
      <c r="P371" s="4"/>
      <c r="Q371" s="4"/>
      <c r="R371" s="4"/>
      <c r="S371" s="4"/>
      <c r="T371" s="4"/>
      <c r="U371" s="4"/>
      <c r="V371" s="4"/>
      <c r="W371" s="4"/>
      <c r="X371" s="4"/>
      <c r="Y371" s="4"/>
      <c r="Z371" s="4"/>
    </row>
    <row r="372" spans="1:26">
      <c r="A372" s="10"/>
      <c r="B372" s="10"/>
      <c r="C372" s="4"/>
      <c r="D372" s="10"/>
      <c r="E372" s="10"/>
      <c r="F372" s="4"/>
      <c r="G372" s="4"/>
      <c r="H372" s="4"/>
      <c r="I372" s="4"/>
      <c r="J372" s="4"/>
      <c r="K372" s="4"/>
      <c r="L372" s="4"/>
      <c r="M372" s="4"/>
      <c r="N372" s="4"/>
      <c r="O372" s="4"/>
      <c r="P372" s="4"/>
      <c r="Q372" s="4"/>
      <c r="R372" s="4"/>
      <c r="S372" s="4"/>
      <c r="T372" s="4"/>
      <c r="U372" s="4"/>
      <c r="V372" s="4"/>
      <c r="W372" s="4"/>
      <c r="X372" s="4"/>
      <c r="Y372" s="4"/>
      <c r="Z372" s="4"/>
    </row>
    <row r="373" spans="1:26">
      <c r="A373" s="10"/>
      <c r="B373" s="10"/>
      <c r="C373" s="4"/>
      <c r="D373" s="10"/>
      <c r="E373" s="10"/>
      <c r="F373" s="4"/>
      <c r="G373" s="4"/>
      <c r="H373" s="4"/>
      <c r="I373" s="4"/>
      <c r="J373" s="4"/>
      <c r="K373" s="4"/>
      <c r="L373" s="4"/>
      <c r="M373" s="4"/>
      <c r="N373" s="4"/>
      <c r="O373" s="4"/>
      <c r="P373" s="4"/>
      <c r="Q373" s="4"/>
      <c r="R373" s="4"/>
      <c r="S373" s="4"/>
      <c r="T373" s="4"/>
      <c r="U373" s="4"/>
      <c r="V373" s="4"/>
      <c r="W373" s="4"/>
      <c r="X373" s="4"/>
      <c r="Y373" s="4"/>
      <c r="Z373" s="4"/>
    </row>
    <row r="374" spans="1:26">
      <c r="A374" s="10"/>
      <c r="B374" s="10"/>
      <c r="C374" s="4"/>
      <c r="D374" s="10"/>
      <c r="E374" s="10"/>
      <c r="F374" s="4"/>
      <c r="G374" s="4"/>
      <c r="H374" s="4"/>
      <c r="I374" s="4"/>
      <c r="J374" s="4"/>
      <c r="K374" s="4"/>
      <c r="L374" s="4"/>
      <c r="M374" s="4"/>
      <c r="N374" s="4"/>
      <c r="O374" s="4"/>
      <c r="P374" s="4"/>
      <c r="Q374" s="4"/>
      <c r="R374" s="4"/>
      <c r="S374" s="4"/>
      <c r="T374" s="4"/>
      <c r="U374" s="4"/>
      <c r="V374" s="4"/>
      <c r="W374" s="4"/>
      <c r="X374" s="4"/>
      <c r="Y374" s="4"/>
      <c r="Z374" s="4"/>
    </row>
    <row r="375" spans="1:26">
      <c r="A375" s="10"/>
      <c r="B375" s="10"/>
      <c r="C375" s="4"/>
      <c r="D375" s="10"/>
      <c r="E375" s="10"/>
      <c r="F375" s="4"/>
      <c r="G375" s="4"/>
      <c r="H375" s="4"/>
      <c r="I375" s="4"/>
      <c r="J375" s="4"/>
      <c r="K375" s="4"/>
      <c r="L375" s="4"/>
      <c r="M375" s="4"/>
      <c r="N375" s="4"/>
      <c r="O375" s="4"/>
      <c r="P375" s="4"/>
      <c r="Q375" s="4"/>
      <c r="R375" s="4"/>
      <c r="S375" s="4"/>
      <c r="T375" s="4"/>
      <c r="U375" s="4"/>
      <c r="V375" s="4"/>
      <c r="W375" s="4"/>
      <c r="X375" s="4"/>
      <c r="Y375" s="4"/>
      <c r="Z375" s="4"/>
    </row>
    <row r="376" spans="1:26">
      <c r="A376" s="10"/>
      <c r="B376" s="10"/>
      <c r="C376" s="4"/>
      <c r="D376" s="10"/>
      <c r="E376" s="10"/>
      <c r="F376" s="4"/>
      <c r="G376" s="4"/>
      <c r="H376" s="4"/>
      <c r="I376" s="4"/>
      <c r="J376" s="4"/>
      <c r="K376" s="4"/>
      <c r="L376" s="4"/>
      <c r="M376" s="4"/>
      <c r="N376" s="4"/>
      <c r="O376" s="4"/>
      <c r="P376" s="4"/>
      <c r="Q376" s="4"/>
      <c r="R376" s="4"/>
      <c r="S376" s="4"/>
      <c r="T376" s="4"/>
      <c r="U376" s="4"/>
      <c r="V376" s="4"/>
      <c r="W376" s="4"/>
      <c r="X376" s="4"/>
      <c r="Y376" s="4"/>
      <c r="Z376" s="4"/>
    </row>
    <row r="377" spans="1:26">
      <c r="A377" s="10"/>
      <c r="B377" s="10"/>
      <c r="C377" s="4"/>
      <c r="D377" s="10"/>
      <c r="E377" s="10"/>
      <c r="F377" s="4"/>
      <c r="G377" s="4"/>
      <c r="H377" s="4"/>
      <c r="I377" s="4"/>
      <c r="J377" s="4"/>
      <c r="K377" s="4"/>
      <c r="L377" s="4"/>
      <c r="M377" s="4"/>
      <c r="N377" s="4"/>
      <c r="O377" s="4"/>
      <c r="P377" s="4"/>
      <c r="Q377" s="4"/>
      <c r="R377" s="4"/>
      <c r="S377" s="4"/>
      <c r="T377" s="4"/>
      <c r="U377" s="4"/>
      <c r="V377" s="4"/>
      <c r="W377" s="4"/>
      <c r="X377" s="4"/>
      <c r="Y377" s="4"/>
      <c r="Z377" s="4"/>
    </row>
    <row r="378" spans="1:26">
      <c r="A378" s="10"/>
      <c r="B378" s="10"/>
      <c r="C378" s="4"/>
      <c r="D378" s="10"/>
      <c r="E378" s="10"/>
      <c r="F378" s="4"/>
      <c r="G378" s="4"/>
      <c r="H378" s="4"/>
      <c r="I378" s="4"/>
      <c r="J378" s="4"/>
      <c r="K378" s="4"/>
      <c r="L378" s="4"/>
      <c r="M378" s="4"/>
      <c r="N378" s="4"/>
      <c r="O378" s="4"/>
      <c r="P378" s="4"/>
      <c r="Q378" s="4"/>
      <c r="R378" s="4"/>
      <c r="S378" s="4"/>
      <c r="T378" s="4"/>
      <c r="U378" s="4"/>
      <c r="V378" s="4"/>
      <c r="W378" s="4"/>
      <c r="X378" s="4"/>
      <c r="Y378" s="4"/>
      <c r="Z378" s="4"/>
    </row>
    <row r="379" spans="1:26">
      <c r="A379" s="10"/>
      <c r="B379" s="10"/>
      <c r="C379" s="4"/>
      <c r="D379" s="10"/>
      <c r="E379" s="10"/>
      <c r="F379" s="4"/>
      <c r="G379" s="4"/>
      <c r="H379" s="4"/>
      <c r="I379" s="4"/>
      <c r="J379" s="4"/>
      <c r="K379" s="4"/>
      <c r="L379" s="4"/>
      <c r="M379" s="4"/>
      <c r="N379" s="4"/>
      <c r="O379" s="4"/>
      <c r="P379" s="4"/>
      <c r="Q379" s="4"/>
      <c r="R379" s="4"/>
      <c r="S379" s="4"/>
      <c r="T379" s="4"/>
      <c r="U379" s="4"/>
      <c r="V379" s="4"/>
      <c r="W379" s="4"/>
      <c r="X379" s="4"/>
      <c r="Y379" s="4"/>
      <c r="Z379" s="4"/>
    </row>
    <row r="380" spans="1:26">
      <c r="A380" s="10"/>
      <c r="B380" s="10"/>
      <c r="C380" s="4"/>
      <c r="D380" s="10"/>
      <c r="E380" s="10"/>
      <c r="F380" s="4"/>
      <c r="G380" s="4"/>
      <c r="H380" s="4"/>
      <c r="I380" s="4"/>
      <c r="J380" s="4"/>
      <c r="K380" s="4"/>
      <c r="L380" s="4"/>
      <c r="M380" s="4"/>
      <c r="N380" s="4"/>
      <c r="O380" s="4"/>
      <c r="P380" s="4"/>
      <c r="Q380" s="4"/>
      <c r="R380" s="4"/>
      <c r="S380" s="4"/>
      <c r="T380" s="4"/>
      <c r="U380" s="4"/>
      <c r="V380" s="4"/>
      <c r="W380" s="4"/>
      <c r="X380" s="4"/>
      <c r="Y380" s="4"/>
      <c r="Z380" s="4"/>
    </row>
    <row r="381" spans="1:26">
      <c r="A381" s="10"/>
      <c r="B381" s="10"/>
      <c r="C381" s="4"/>
      <c r="D381" s="10"/>
      <c r="E381" s="10"/>
      <c r="F381" s="4"/>
      <c r="G381" s="4"/>
      <c r="H381" s="4"/>
      <c r="I381" s="4"/>
      <c r="J381" s="4"/>
      <c r="K381" s="4"/>
      <c r="L381" s="4"/>
      <c r="M381" s="4"/>
      <c r="N381" s="4"/>
      <c r="O381" s="4"/>
      <c r="P381" s="4"/>
      <c r="Q381" s="4"/>
      <c r="R381" s="4"/>
      <c r="S381" s="4"/>
      <c r="T381" s="4"/>
      <c r="U381" s="4"/>
      <c r="V381" s="4"/>
      <c r="W381" s="4"/>
      <c r="X381" s="4"/>
      <c r="Y381" s="4"/>
      <c r="Z381" s="4"/>
    </row>
    <row r="382" spans="1:26">
      <c r="A382" s="10"/>
      <c r="B382" s="10"/>
      <c r="C382" s="4"/>
      <c r="D382" s="10"/>
      <c r="E382" s="10"/>
      <c r="F382" s="4"/>
      <c r="G382" s="4"/>
      <c r="H382" s="4"/>
      <c r="I382" s="4"/>
      <c r="J382" s="4"/>
      <c r="K382" s="4"/>
      <c r="L382" s="4"/>
      <c r="M382" s="4"/>
      <c r="N382" s="4"/>
      <c r="O382" s="4"/>
      <c r="P382" s="4"/>
      <c r="Q382" s="4"/>
      <c r="R382" s="4"/>
      <c r="S382" s="4"/>
      <c r="T382" s="4"/>
      <c r="U382" s="4"/>
      <c r="V382" s="4"/>
      <c r="W382" s="4"/>
      <c r="X382" s="4"/>
      <c r="Y382" s="4"/>
      <c r="Z382" s="4"/>
    </row>
    <row r="383" spans="1:26">
      <c r="A383" s="10"/>
      <c r="B383" s="10"/>
      <c r="C383" s="4"/>
      <c r="D383" s="10"/>
      <c r="E383" s="10"/>
      <c r="F383" s="4"/>
      <c r="G383" s="4"/>
      <c r="H383" s="4"/>
      <c r="I383" s="4"/>
      <c r="J383" s="4"/>
      <c r="K383" s="4"/>
      <c r="L383" s="4"/>
      <c r="M383" s="4"/>
      <c r="N383" s="4"/>
      <c r="O383" s="4"/>
      <c r="P383" s="4"/>
      <c r="Q383" s="4"/>
      <c r="R383" s="4"/>
      <c r="S383" s="4"/>
      <c r="T383" s="4"/>
      <c r="U383" s="4"/>
      <c r="V383" s="4"/>
      <c r="W383" s="4"/>
      <c r="X383" s="4"/>
      <c r="Y383" s="4"/>
      <c r="Z383" s="4"/>
    </row>
    <row r="384" spans="1:26">
      <c r="A384" s="10"/>
      <c r="B384" s="10"/>
      <c r="C384" s="4"/>
      <c r="D384" s="10"/>
      <c r="E384" s="10"/>
      <c r="F384" s="4"/>
      <c r="G384" s="4"/>
      <c r="H384" s="4"/>
      <c r="I384" s="4"/>
      <c r="J384" s="4"/>
      <c r="K384" s="4"/>
      <c r="L384" s="4"/>
      <c r="M384" s="4"/>
      <c r="N384" s="4"/>
      <c r="O384" s="4"/>
      <c r="P384" s="4"/>
      <c r="Q384" s="4"/>
      <c r="R384" s="4"/>
      <c r="S384" s="4"/>
      <c r="T384" s="4"/>
      <c r="U384" s="4"/>
      <c r="V384" s="4"/>
      <c r="W384" s="4"/>
      <c r="X384" s="4"/>
      <c r="Y384" s="4"/>
      <c r="Z384" s="4"/>
    </row>
    <row r="385" spans="1:26">
      <c r="A385" s="10"/>
      <c r="B385" s="10"/>
      <c r="C385" s="4"/>
      <c r="D385" s="10"/>
      <c r="E385" s="10"/>
      <c r="F385" s="4"/>
      <c r="G385" s="4"/>
      <c r="H385" s="4"/>
      <c r="I385" s="4"/>
      <c r="J385" s="4"/>
      <c r="K385" s="4"/>
      <c r="L385" s="4"/>
      <c r="M385" s="4"/>
      <c r="N385" s="4"/>
      <c r="O385" s="4"/>
      <c r="P385" s="4"/>
      <c r="Q385" s="4"/>
      <c r="R385" s="4"/>
      <c r="S385" s="4"/>
      <c r="T385" s="4"/>
      <c r="U385" s="4"/>
      <c r="V385" s="4"/>
      <c r="W385" s="4"/>
      <c r="X385" s="4"/>
      <c r="Y385" s="4"/>
      <c r="Z385" s="4"/>
    </row>
    <row r="386" spans="1:26">
      <c r="A386" s="10"/>
      <c r="B386" s="10"/>
      <c r="C386" s="4"/>
      <c r="D386" s="10"/>
      <c r="E386" s="10"/>
      <c r="F386" s="4"/>
      <c r="G386" s="4"/>
      <c r="H386" s="4"/>
      <c r="I386" s="4"/>
      <c r="J386" s="4"/>
      <c r="K386" s="4"/>
      <c r="L386" s="4"/>
      <c r="M386" s="4"/>
      <c r="N386" s="4"/>
      <c r="O386" s="4"/>
      <c r="P386" s="4"/>
      <c r="Q386" s="4"/>
      <c r="R386" s="4"/>
      <c r="S386" s="4"/>
      <c r="T386" s="4"/>
      <c r="U386" s="4"/>
      <c r="V386" s="4"/>
      <c r="W386" s="4"/>
      <c r="X386" s="4"/>
      <c r="Y386" s="4"/>
      <c r="Z386" s="4"/>
    </row>
    <row r="387" spans="1:26">
      <c r="A387" s="10"/>
      <c r="B387" s="10"/>
      <c r="C387" s="4"/>
      <c r="D387" s="10"/>
      <c r="E387" s="10"/>
      <c r="F387" s="4"/>
      <c r="G387" s="4"/>
      <c r="H387" s="4"/>
      <c r="I387" s="4"/>
      <c r="J387" s="4"/>
      <c r="K387" s="4"/>
      <c r="L387" s="4"/>
      <c r="M387" s="4"/>
      <c r="N387" s="4"/>
      <c r="O387" s="4"/>
      <c r="P387" s="4"/>
      <c r="Q387" s="4"/>
      <c r="R387" s="4"/>
      <c r="S387" s="4"/>
      <c r="T387" s="4"/>
      <c r="U387" s="4"/>
      <c r="V387" s="4"/>
      <c r="W387" s="4"/>
      <c r="X387" s="4"/>
      <c r="Y387" s="4"/>
      <c r="Z387" s="4"/>
    </row>
    <row r="388" spans="1:26">
      <c r="A388" s="10"/>
      <c r="B388" s="10"/>
      <c r="C388" s="4"/>
      <c r="D388" s="10"/>
      <c r="E388" s="10"/>
      <c r="F388" s="4"/>
      <c r="G388" s="4"/>
      <c r="H388" s="4"/>
      <c r="I388" s="4"/>
      <c r="J388" s="4"/>
      <c r="K388" s="4"/>
      <c r="L388" s="4"/>
      <c r="M388" s="4"/>
      <c r="N388" s="4"/>
      <c r="O388" s="4"/>
      <c r="P388" s="4"/>
      <c r="Q388" s="4"/>
      <c r="R388" s="4"/>
      <c r="S388" s="4"/>
      <c r="T388" s="4"/>
      <c r="U388" s="4"/>
      <c r="V388" s="4"/>
      <c r="W388" s="4"/>
      <c r="X388" s="4"/>
      <c r="Y388" s="4"/>
      <c r="Z388" s="4"/>
    </row>
    <row r="389" spans="1:26">
      <c r="A389" s="10"/>
      <c r="B389" s="10"/>
      <c r="C389" s="4"/>
      <c r="D389" s="10"/>
      <c r="E389" s="10"/>
      <c r="F389" s="4"/>
      <c r="G389" s="4"/>
      <c r="H389" s="4"/>
      <c r="I389" s="4"/>
      <c r="J389" s="4"/>
      <c r="K389" s="4"/>
      <c r="L389" s="4"/>
      <c r="M389" s="4"/>
      <c r="N389" s="4"/>
      <c r="O389" s="4"/>
      <c r="P389" s="4"/>
      <c r="Q389" s="4"/>
      <c r="R389" s="4"/>
      <c r="S389" s="4"/>
      <c r="T389" s="4"/>
      <c r="U389" s="4"/>
      <c r="V389" s="4"/>
      <c r="W389" s="4"/>
      <c r="X389" s="4"/>
      <c r="Y389" s="4"/>
      <c r="Z389" s="4"/>
    </row>
    <row r="390" spans="1:26">
      <c r="A390" s="10"/>
      <c r="B390" s="10"/>
      <c r="C390" s="4"/>
      <c r="D390" s="10"/>
      <c r="E390" s="10"/>
      <c r="F390" s="4"/>
      <c r="G390" s="4"/>
      <c r="H390" s="4"/>
      <c r="I390" s="4"/>
      <c r="J390" s="4"/>
      <c r="K390" s="4"/>
      <c r="L390" s="4"/>
      <c r="M390" s="4"/>
      <c r="N390" s="4"/>
      <c r="O390" s="4"/>
      <c r="P390" s="4"/>
      <c r="Q390" s="4"/>
      <c r="R390" s="4"/>
      <c r="S390" s="4"/>
      <c r="T390" s="4"/>
      <c r="U390" s="4"/>
      <c r="V390" s="4"/>
      <c r="W390" s="4"/>
      <c r="X390" s="4"/>
      <c r="Y390" s="4"/>
      <c r="Z390" s="4"/>
    </row>
    <row r="391" spans="1:26">
      <c r="A391" s="10"/>
      <c r="B391" s="10"/>
      <c r="C391" s="4"/>
      <c r="D391" s="10"/>
      <c r="E391" s="10"/>
      <c r="F391" s="4"/>
      <c r="G391" s="4"/>
      <c r="H391" s="4"/>
      <c r="I391" s="4"/>
      <c r="J391" s="4"/>
      <c r="K391" s="4"/>
      <c r="L391" s="4"/>
      <c r="M391" s="4"/>
      <c r="N391" s="4"/>
      <c r="O391" s="4"/>
      <c r="P391" s="4"/>
      <c r="Q391" s="4"/>
      <c r="R391" s="4"/>
      <c r="S391" s="4"/>
      <c r="T391" s="4"/>
      <c r="U391" s="4"/>
      <c r="V391" s="4"/>
      <c r="W391" s="4"/>
      <c r="X391" s="4"/>
      <c r="Y391" s="4"/>
      <c r="Z391" s="4"/>
    </row>
    <row r="392" spans="1:26">
      <c r="A392" s="10"/>
      <c r="B392" s="10"/>
      <c r="C392" s="4"/>
      <c r="D392" s="10"/>
      <c r="E392" s="10"/>
      <c r="F392" s="4"/>
      <c r="G392" s="4"/>
      <c r="H392" s="4"/>
      <c r="I392" s="4"/>
      <c r="J392" s="4"/>
      <c r="K392" s="4"/>
      <c r="L392" s="4"/>
      <c r="M392" s="4"/>
      <c r="N392" s="4"/>
      <c r="O392" s="4"/>
      <c r="P392" s="4"/>
      <c r="Q392" s="4"/>
      <c r="R392" s="4"/>
      <c r="S392" s="4"/>
      <c r="T392" s="4"/>
      <c r="U392" s="4"/>
      <c r="V392" s="4"/>
      <c r="W392" s="4"/>
      <c r="X392" s="4"/>
      <c r="Y392" s="4"/>
      <c r="Z392" s="4"/>
    </row>
    <row r="393" spans="1:26">
      <c r="A393" s="10"/>
      <c r="B393" s="10"/>
      <c r="C393" s="4"/>
      <c r="D393" s="10"/>
      <c r="E393" s="10"/>
      <c r="F393" s="4"/>
      <c r="G393" s="4"/>
      <c r="H393" s="4"/>
      <c r="I393" s="4"/>
      <c r="J393" s="4"/>
      <c r="K393" s="4"/>
      <c r="L393" s="4"/>
      <c r="M393" s="4"/>
      <c r="N393" s="4"/>
      <c r="O393" s="4"/>
      <c r="P393" s="4"/>
      <c r="Q393" s="4"/>
      <c r="R393" s="4"/>
      <c r="S393" s="4"/>
      <c r="T393" s="4"/>
      <c r="U393" s="4"/>
      <c r="V393" s="4"/>
      <c r="W393" s="4"/>
      <c r="X393" s="4"/>
      <c r="Y393" s="4"/>
      <c r="Z393" s="4"/>
    </row>
    <row r="394" spans="1:26">
      <c r="A394" s="10"/>
      <c r="B394" s="10"/>
      <c r="C394" s="4"/>
      <c r="D394" s="10"/>
      <c r="E394" s="10"/>
      <c r="F394" s="4"/>
      <c r="G394" s="4"/>
      <c r="H394" s="4"/>
      <c r="I394" s="4"/>
      <c r="J394" s="4"/>
      <c r="K394" s="4"/>
      <c r="L394" s="4"/>
      <c r="M394" s="4"/>
      <c r="N394" s="4"/>
      <c r="O394" s="4"/>
      <c r="P394" s="4"/>
      <c r="Q394" s="4"/>
      <c r="R394" s="4"/>
      <c r="S394" s="4"/>
      <c r="T394" s="4"/>
      <c r="U394" s="4"/>
      <c r="V394" s="4"/>
      <c r="W394" s="4"/>
      <c r="X394" s="4"/>
      <c r="Y394" s="4"/>
      <c r="Z394" s="4"/>
    </row>
    <row r="395" spans="1:26">
      <c r="A395" s="10"/>
      <c r="B395" s="10"/>
      <c r="C395" s="4"/>
      <c r="D395" s="10"/>
      <c r="E395" s="10"/>
      <c r="F395" s="4"/>
      <c r="G395" s="4"/>
      <c r="H395" s="4"/>
      <c r="I395" s="4"/>
      <c r="J395" s="4"/>
      <c r="K395" s="4"/>
      <c r="L395" s="4"/>
      <c r="M395" s="4"/>
      <c r="N395" s="4"/>
      <c r="O395" s="4"/>
      <c r="P395" s="4"/>
      <c r="Q395" s="4"/>
      <c r="R395" s="4"/>
      <c r="S395" s="4"/>
      <c r="T395" s="4"/>
      <c r="U395" s="4"/>
      <c r="V395" s="4"/>
      <c r="W395" s="4"/>
      <c r="X395" s="4"/>
      <c r="Y395" s="4"/>
      <c r="Z395" s="4"/>
    </row>
    <row r="396" spans="1:26">
      <c r="A396" s="10"/>
      <c r="B396" s="10"/>
      <c r="C396" s="4"/>
      <c r="D396" s="10"/>
      <c r="E396" s="10"/>
      <c r="F396" s="4"/>
      <c r="G396" s="4"/>
      <c r="H396" s="4"/>
      <c r="I396" s="4"/>
      <c r="J396" s="4"/>
      <c r="K396" s="4"/>
      <c r="L396" s="4"/>
      <c r="M396" s="4"/>
      <c r="N396" s="4"/>
      <c r="O396" s="4"/>
      <c r="P396" s="4"/>
      <c r="Q396" s="4"/>
      <c r="R396" s="4"/>
      <c r="S396" s="4"/>
      <c r="T396" s="4"/>
      <c r="U396" s="4"/>
      <c r="V396" s="4"/>
      <c r="W396" s="4"/>
      <c r="X396" s="4"/>
      <c r="Y396" s="4"/>
      <c r="Z396" s="4"/>
    </row>
    <row r="397" spans="1:26">
      <c r="A397" s="10"/>
      <c r="B397" s="10"/>
      <c r="C397" s="4"/>
      <c r="D397" s="10"/>
      <c r="E397" s="10"/>
      <c r="F397" s="4"/>
      <c r="G397" s="4"/>
      <c r="H397" s="4"/>
      <c r="I397" s="4"/>
      <c r="J397" s="4"/>
      <c r="K397" s="4"/>
      <c r="L397" s="4"/>
      <c r="M397" s="4"/>
      <c r="N397" s="4"/>
      <c r="O397" s="4"/>
      <c r="P397" s="4"/>
      <c r="Q397" s="4"/>
      <c r="R397" s="4"/>
      <c r="S397" s="4"/>
      <c r="T397" s="4"/>
      <c r="U397" s="4"/>
      <c r="V397" s="4"/>
      <c r="W397" s="4"/>
      <c r="X397" s="4"/>
      <c r="Y397" s="4"/>
      <c r="Z397" s="4"/>
    </row>
    <row r="398" spans="1:26">
      <c r="A398" s="10"/>
      <c r="B398" s="10"/>
      <c r="C398" s="4"/>
      <c r="D398" s="10"/>
      <c r="E398" s="10"/>
      <c r="F398" s="4"/>
      <c r="G398" s="4"/>
      <c r="H398" s="4"/>
      <c r="I398" s="4"/>
      <c r="J398" s="4"/>
      <c r="K398" s="4"/>
      <c r="L398" s="4"/>
      <c r="M398" s="4"/>
      <c r="N398" s="4"/>
      <c r="O398" s="4"/>
      <c r="P398" s="4"/>
      <c r="Q398" s="4"/>
      <c r="R398" s="4"/>
      <c r="S398" s="4"/>
      <c r="T398" s="4"/>
      <c r="U398" s="4"/>
      <c r="V398" s="4"/>
      <c r="W398" s="4"/>
      <c r="X398" s="4"/>
      <c r="Y398" s="4"/>
      <c r="Z398" s="4"/>
    </row>
    <row r="399" spans="1:26">
      <c r="A399" s="10"/>
      <c r="B399" s="10"/>
      <c r="C399" s="4"/>
      <c r="D399" s="10"/>
      <c r="E399" s="10"/>
      <c r="F399" s="4"/>
      <c r="G399" s="4"/>
      <c r="H399" s="4"/>
      <c r="I399" s="4"/>
      <c r="J399" s="4"/>
      <c r="K399" s="4"/>
      <c r="L399" s="4"/>
      <c r="M399" s="4"/>
      <c r="N399" s="4"/>
      <c r="O399" s="4"/>
      <c r="P399" s="4"/>
      <c r="Q399" s="4"/>
      <c r="R399" s="4"/>
      <c r="S399" s="4"/>
      <c r="T399" s="4"/>
      <c r="U399" s="4"/>
      <c r="V399" s="4"/>
      <c r="W399" s="4"/>
      <c r="X399" s="4"/>
      <c r="Y399" s="4"/>
      <c r="Z399" s="4"/>
    </row>
    <row r="400" spans="1:26">
      <c r="A400" s="10"/>
      <c r="B400" s="10"/>
      <c r="C400" s="4"/>
      <c r="D400" s="10"/>
      <c r="E400" s="10"/>
      <c r="F400" s="4"/>
      <c r="G400" s="4"/>
      <c r="H400" s="4"/>
      <c r="I400" s="4"/>
      <c r="J400" s="4"/>
      <c r="K400" s="4"/>
      <c r="L400" s="4"/>
      <c r="M400" s="4"/>
      <c r="N400" s="4"/>
      <c r="O400" s="4"/>
      <c r="P400" s="4"/>
      <c r="Q400" s="4"/>
      <c r="R400" s="4"/>
      <c r="S400" s="4"/>
      <c r="T400" s="4"/>
      <c r="U400" s="4"/>
      <c r="V400" s="4"/>
      <c r="W400" s="4"/>
      <c r="X400" s="4"/>
      <c r="Y400" s="4"/>
      <c r="Z400" s="4"/>
    </row>
    <row r="401" spans="1:26">
      <c r="A401" s="10"/>
      <c r="B401" s="10"/>
      <c r="C401" s="4"/>
      <c r="D401" s="10"/>
      <c r="E401" s="10"/>
      <c r="F401" s="4"/>
      <c r="G401" s="4"/>
      <c r="H401" s="4"/>
      <c r="I401" s="4"/>
      <c r="J401" s="4"/>
      <c r="K401" s="4"/>
      <c r="L401" s="4"/>
      <c r="M401" s="4"/>
      <c r="N401" s="4"/>
      <c r="O401" s="4"/>
      <c r="P401" s="4"/>
      <c r="Q401" s="4"/>
      <c r="R401" s="4"/>
      <c r="S401" s="4"/>
      <c r="T401" s="4"/>
      <c r="U401" s="4"/>
      <c r="V401" s="4"/>
      <c r="W401" s="4"/>
      <c r="X401" s="4"/>
      <c r="Y401" s="4"/>
      <c r="Z401" s="4"/>
    </row>
    <row r="402" spans="1:26">
      <c r="A402" s="10"/>
      <c r="B402" s="10"/>
      <c r="C402" s="4"/>
      <c r="D402" s="10"/>
      <c r="E402" s="10"/>
      <c r="F402" s="4"/>
      <c r="G402" s="4"/>
      <c r="H402" s="4"/>
      <c r="I402" s="4"/>
      <c r="J402" s="4"/>
      <c r="K402" s="4"/>
      <c r="L402" s="4"/>
      <c r="M402" s="4"/>
      <c r="N402" s="4"/>
      <c r="O402" s="4"/>
      <c r="P402" s="4"/>
      <c r="Q402" s="4"/>
      <c r="R402" s="4"/>
      <c r="S402" s="4"/>
      <c r="T402" s="4"/>
      <c r="U402" s="4"/>
      <c r="V402" s="4"/>
      <c r="W402" s="4"/>
      <c r="X402" s="4"/>
      <c r="Y402" s="4"/>
      <c r="Z402" s="4"/>
    </row>
    <row r="403" spans="1:26">
      <c r="A403" s="10"/>
      <c r="B403" s="10"/>
      <c r="C403" s="4"/>
      <c r="D403" s="10"/>
      <c r="E403" s="10"/>
      <c r="F403" s="4"/>
      <c r="G403" s="4"/>
      <c r="H403" s="4"/>
      <c r="I403" s="4"/>
      <c r="J403" s="4"/>
      <c r="K403" s="4"/>
      <c r="L403" s="4"/>
      <c r="M403" s="4"/>
      <c r="N403" s="4"/>
      <c r="O403" s="4"/>
      <c r="P403" s="4"/>
      <c r="Q403" s="4"/>
      <c r="R403" s="4"/>
      <c r="S403" s="4"/>
      <c r="T403" s="4"/>
      <c r="U403" s="4"/>
      <c r="V403" s="4"/>
      <c r="W403" s="4"/>
      <c r="X403" s="4"/>
      <c r="Y403" s="4"/>
      <c r="Z403" s="4"/>
    </row>
    <row r="404" spans="1:26">
      <c r="A404" s="10"/>
      <c r="B404" s="10"/>
      <c r="C404" s="4"/>
      <c r="D404" s="10"/>
      <c r="E404" s="10"/>
      <c r="F404" s="4"/>
      <c r="G404" s="4"/>
      <c r="H404" s="4"/>
      <c r="I404" s="4"/>
      <c r="J404" s="4"/>
      <c r="K404" s="4"/>
      <c r="L404" s="4"/>
      <c r="M404" s="4"/>
      <c r="N404" s="4"/>
      <c r="O404" s="4"/>
      <c r="P404" s="4"/>
      <c r="Q404" s="4"/>
      <c r="R404" s="4"/>
      <c r="S404" s="4"/>
      <c r="T404" s="4"/>
      <c r="U404" s="4"/>
      <c r="V404" s="4"/>
      <c r="W404" s="4"/>
      <c r="X404" s="4"/>
      <c r="Y404" s="4"/>
      <c r="Z404" s="4"/>
    </row>
    <row r="405" spans="1:26">
      <c r="A405" s="10"/>
      <c r="B405" s="10"/>
      <c r="C405" s="4"/>
      <c r="D405" s="10"/>
      <c r="E405" s="10"/>
      <c r="F405" s="4"/>
      <c r="G405" s="4"/>
      <c r="H405" s="4"/>
      <c r="I405" s="4"/>
      <c r="J405" s="4"/>
      <c r="K405" s="4"/>
      <c r="L405" s="4"/>
      <c r="M405" s="4"/>
      <c r="N405" s="4"/>
      <c r="O405" s="4"/>
      <c r="P405" s="4"/>
      <c r="Q405" s="4"/>
      <c r="R405" s="4"/>
      <c r="S405" s="4"/>
      <c r="T405" s="4"/>
      <c r="U405" s="4"/>
      <c r="V405" s="4"/>
      <c r="W405" s="4"/>
      <c r="X405" s="4"/>
      <c r="Y405" s="4"/>
      <c r="Z405" s="4"/>
    </row>
    <row r="406" spans="1:26">
      <c r="A406" s="10"/>
      <c r="B406" s="10"/>
      <c r="C406" s="4"/>
      <c r="D406" s="10"/>
      <c r="E406" s="10"/>
      <c r="F406" s="4"/>
      <c r="G406" s="4"/>
      <c r="H406" s="4"/>
      <c r="I406" s="4"/>
      <c r="J406" s="4"/>
      <c r="K406" s="4"/>
      <c r="L406" s="4"/>
      <c r="M406" s="4"/>
      <c r="N406" s="4"/>
      <c r="O406" s="4"/>
      <c r="P406" s="4"/>
      <c r="Q406" s="4"/>
      <c r="R406" s="4"/>
      <c r="S406" s="4"/>
      <c r="T406" s="4"/>
      <c r="U406" s="4"/>
      <c r="V406" s="4"/>
      <c r="W406" s="4"/>
      <c r="X406" s="4"/>
      <c r="Y406" s="4"/>
      <c r="Z406" s="4"/>
    </row>
    <row r="407" spans="1:26">
      <c r="A407" s="10"/>
      <c r="B407" s="10"/>
      <c r="C407" s="4"/>
      <c r="D407" s="10"/>
      <c r="E407" s="10"/>
      <c r="F407" s="4"/>
      <c r="G407" s="4"/>
      <c r="H407" s="4"/>
      <c r="I407" s="4"/>
      <c r="J407" s="4"/>
      <c r="K407" s="4"/>
      <c r="L407" s="4"/>
      <c r="M407" s="4"/>
      <c r="N407" s="4"/>
      <c r="O407" s="4"/>
      <c r="P407" s="4"/>
      <c r="Q407" s="4"/>
      <c r="R407" s="4"/>
      <c r="S407" s="4"/>
      <c r="T407" s="4"/>
      <c r="U407" s="4"/>
      <c r="V407" s="4"/>
      <c r="W407" s="4"/>
      <c r="X407" s="4"/>
      <c r="Y407" s="4"/>
      <c r="Z407" s="4"/>
    </row>
    <row r="408" spans="1:26">
      <c r="A408" s="10"/>
      <c r="B408" s="10"/>
      <c r="C408" s="4"/>
      <c r="D408" s="10"/>
      <c r="E408" s="10"/>
      <c r="F408" s="4"/>
      <c r="G408" s="4"/>
      <c r="H408" s="4"/>
      <c r="I408" s="4"/>
      <c r="J408" s="4"/>
      <c r="K408" s="4"/>
      <c r="L408" s="4"/>
      <c r="M408" s="4"/>
      <c r="N408" s="4"/>
      <c r="O408" s="4"/>
      <c r="P408" s="4"/>
      <c r="Q408" s="4"/>
      <c r="R408" s="4"/>
      <c r="S408" s="4"/>
      <c r="T408" s="4"/>
      <c r="U408" s="4"/>
      <c r="V408" s="4"/>
      <c r="W408" s="4"/>
      <c r="X408" s="4"/>
      <c r="Y408" s="4"/>
      <c r="Z408" s="4"/>
    </row>
    <row r="409" spans="1:26">
      <c r="A409" s="10"/>
      <c r="B409" s="10"/>
      <c r="C409" s="4"/>
      <c r="D409" s="10"/>
      <c r="E409" s="10"/>
      <c r="F409" s="4"/>
      <c r="G409" s="4"/>
      <c r="H409" s="4"/>
      <c r="I409" s="4"/>
      <c r="J409" s="4"/>
      <c r="K409" s="4"/>
      <c r="L409" s="4"/>
      <c r="M409" s="4"/>
      <c r="N409" s="4"/>
      <c r="O409" s="4"/>
      <c r="P409" s="4"/>
      <c r="Q409" s="4"/>
      <c r="R409" s="4"/>
      <c r="S409" s="4"/>
      <c r="T409" s="4"/>
      <c r="U409" s="4"/>
      <c r="V409" s="4"/>
      <c r="W409" s="4"/>
      <c r="X409" s="4"/>
      <c r="Y409" s="4"/>
      <c r="Z409" s="4"/>
    </row>
    <row r="410" spans="1:26">
      <c r="A410" s="10"/>
      <c r="B410" s="10"/>
      <c r="C410" s="4"/>
      <c r="D410" s="10"/>
      <c r="E410" s="10"/>
      <c r="F410" s="4"/>
      <c r="G410" s="4"/>
      <c r="H410" s="4"/>
      <c r="I410" s="4"/>
      <c r="J410" s="4"/>
      <c r="K410" s="4"/>
      <c r="L410" s="4"/>
      <c r="M410" s="4"/>
      <c r="N410" s="4"/>
      <c r="O410" s="4"/>
      <c r="P410" s="4"/>
      <c r="Q410" s="4"/>
      <c r="R410" s="4"/>
      <c r="S410" s="4"/>
      <c r="T410" s="4"/>
      <c r="U410" s="4"/>
      <c r="V410" s="4"/>
      <c r="W410" s="4"/>
      <c r="X410" s="4"/>
      <c r="Y410" s="4"/>
      <c r="Z410" s="4"/>
    </row>
    <row r="411" spans="1:26">
      <c r="A411" s="10"/>
      <c r="B411" s="10"/>
      <c r="C411" s="4"/>
      <c r="D411" s="10"/>
      <c r="E411" s="10"/>
      <c r="F411" s="4"/>
      <c r="G411" s="4"/>
      <c r="H411" s="4"/>
      <c r="I411" s="4"/>
      <c r="J411" s="4"/>
      <c r="K411" s="4"/>
      <c r="L411" s="4"/>
      <c r="M411" s="4"/>
      <c r="N411" s="4"/>
      <c r="O411" s="4"/>
      <c r="P411" s="4"/>
      <c r="Q411" s="4"/>
      <c r="R411" s="4"/>
      <c r="S411" s="4"/>
      <c r="T411" s="4"/>
      <c r="U411" s="4"/>
      <c r="V411" s="4"/>
      <c r="W411" s="4"/>
      <c r="X411" s="4"/>
      <c r="Y411" s="4"/>
      <c r="Z411" s="4"/>
    </row>
    <row r="412" spans="1:26">
      <c r="A412" s="10"/>
      <c r="B412" s="10"/>
      <c r="C412" s="4"/>
      <c r="D412" s="10"/>
      <c r="E412" s="10"/>
      <c r="F412" s="4"/>
      <c r="G412" s="4"/>
      <c r="H412" s="4"/>
      <c r="I412" s="4"/>
      <c r="J412" s="4"/>
      <c r="K412" s="4"/>
      <c r="L412" s="4"/>
      <c r="M412" s="4"/>
      <c r="N412" s="4"/>
      <c r="O412" s="4"/>
      <c r="P412" s="4"/>
      <c r="Q412" s="4"/>
      <c r="R412" s="4"/>
      <c r="S412" s="4"/>
      <c r="T412" s="4"/>
      <c r="U412" s="4"/>
      <c r="V412" s="4"/>
      <c r="W412" s="4"/>
      <c r="X412" s="4"/>
      <c r="Y412" s="4"/>
      <c r="Z412" s="4"/>
    </row>
    <row r="413" spans="1:26">
      <c r="A413" s="10"/>
      <c r="B413" s="10"/>
      <c r="C413" s="4"/>
      <c r="D413" s="10"/>
      <c r="E413" s="10"/>
      <c r="F413" s="4"/>
      <c r="G413" s="4"/>
      <c r="H413" s="4"/>
      <c r="I413" s="4"/>
      <c r="J413" s="4"/>
      <c r="K413" s="4"/>
      <c r="L413" s="4"/>
      <c r="M413" s="4"/>
      <c r="N413" s="4"/>
      <c r="O413" s="4"/>
      <c r="P413" s="4"/>
      <c r="Q413" s="4"/>
      <c r="R413" s="4"/>
      <c r="S413" s="4"/>
      <c r="T413" s="4"/>
      <c r="U413" s="4"/>
      <c r="V413" s="4"/>
      <c r="W413" s="4"/>
      <c r="X413" s="4"/>
      <c r="Y413" s="4"/>
      <c r="Z413" s="4"/>
    </row>
    <row r="414" spans="1:26">
      <c r="A414" s="10"/>
      <c r="B414" s="10"/>
      <c r="C414" s="4"/>
      <c r="D414" s="10"/>
      <c r="E414" s="10"/>
      <c r="F414" s="4"/>
      <c r="G414" s="4"/>
      <c r="H414" s="4"/>
      <c r="I414" s="4"/>
      <c r="J414" s="4"/>
      <c r="K414" s="4"/>
      <c r="L414" s="4"/>
      <c r="M414" s="4"/>
      <c r="N414" s="4"/>
      <c r="O414" s="4"/>
      <c r="P414" s="4"/>
      <c r="Q414" s="4"/>
      <c r="R414" s="4"/>
      <c r="S414" s="4"/>
      <c r="T414" s="4"/>
      <c r="U414" s="4"/>
      <c r="V414" s="4"/>
      <c r="W414" s="4"/>
      <c r="X414" s="4"/>
      <c r="Y414" s="4"/>
      <c r="Z414" s="4"/>
    </row>
    <row r="415" spans="1:26">
      <c r="A415" s="10"/>
      <c r="B415" s="10"/>
      <c r="C415" s="4"/>
      <c r="D415" s="10"/>
      <c r="E415" s="10"/>
      <c r="F415" s="4"/>
      <c r="G415" s="4"/>
      <c r="H415" s="4"/>
      <c r="I415" s="4"/>
      <c r="J415" s="4"/>
      <c r="K415" s="4"/>
      <c r="L415" s="4"/>
      <c r="M415" s="4"/>
      <c r="N415" s="4"/>
      <c r="O415" s="4"/>
      <c r="P415" s="4"/>
      <c r="Q415" s="4"/>
      <c r="R415" s="4"/>
      <c r="S415" s="4"/>
      <c r="T415" s="4"/>
      <c r="U415" s="4"/>
      <c r="V415" s="4"/>
      <c r="W415" s="4"/>
      <c r="X415" s="4"/>
      <c r="Y415" s="4"/>
      <c r="Z415" s="4"/>
    </row>
    <row r="416" spans="1:26">
      <c r="A416" s="10"/>
      <c r="B416" s="10"/>
      <c r="C416" s="4"/>
      <c r="D416" s="10"/>
      <c r="E416" s="10"/>
      <c r="F416" s="4"/>
      <c r="G416" s="4"/>
      <c r="H416" s="4"/>
      <c r="I416" s="4"/>
      <c r="J416" s="4"/>
      <c r="K416" s="4"/>
      <c r="L416" s="4"/>
      <c r="M416" s="4"/>
      <c r="N416" s="4"/>
      <c r="O416" s="4"/>
      <c r="P416" s="4"/>
      <c r="Q416" s="4"/>
      <c r="R416" s="4"/>
      <c r="S416" s="4"/>
      <c r="T416" s="4"/>
      <c r="U416" s="4"/>
      <c r="V416" s="4"/>
      <c r="W416" s="4"/>
      <c r="X416" s="4"/>
      <c r="Y416" s="4"/>
      <c r="Z416" s="4"/>
    </row>
    <row r="417" spans="1:26">
      <c r="A417" s="10"/>
      <c r="B417" s="10"/>
      <c r="C417" s="4"/>
      <c r="D417" s="10"/>
      <c r="E417" s="10"/>
      <c r="F417" s="4"/>
      <c r="G417" s="4"/>
      <c r="H417" s="4"/>
      <c r="I417" s="4"/>
      <c r="J417" s="4"/>
      <c r="K417" s="4"/>
      <c r="L417" s="4"/>
      <c r="M417" s="4"/>
      <c r="N417" s="4"/>
      <c r="O417" s="4"/>
      <c r="P417" s="4"/>
      <c r="Q417" s="4"/>
      <c r="R417" s="4"/>
      <c r="S417" s="4"/>
      <c r="T417" s="4"/>
      <c r="U417" s="4"/>
      <c r="V417" s="4"/>
      <c r="W417" s="4"/>
      <c r="X417" s="4"/>
      <c r="Y417" s="4"/>
      <c r="Z417" s="4"/>
    </row>
    <row r="418" spans="1:26">
      <c r="A418" s="10"/>
      <c r="B418" s="10"/>
      <c r="C418" s="4"/>
      <c r="D418" s="10"/>
      <c r="E418" s="10"/>
      <c r="F418" s="4"/>
      <c r="G418" s="4"/>
      <c r="H418" s="4"/>
      <c r="I418" s="4"/>
      <c r="J418" s="4"/>
      <c r="K418" s="4"/>
      <c r="L418" s="4"/>
      <c r="M418" s="4"/>
      <c r="N418" s="4"/>
      <c r="O418" s="4"/>
      <c r="P418" s="4"/>
      <c r="Q418" s="4"/>
      <c r="R418" s="4"/>
      <c r="S418" s="4"/>
      <c r="T418" s="4"/>
      <c r="U418" s="4"/>
      <c r="V418" s="4"/>
      <c r="W418" s="4"/>
      <c r="X418" s="4"/>
      <c r="Y418" s="4"/>
      <c r="Z418" s="4"/>
    </row>
    <row r="419" spans="1:26">
      <c r="A419" s="10"/>
      <c r="B419" s="10"/>
      <c r="C419" s="4"/>
      <c r="D419" s="10"/>
      <c r="E419" s="10"/>
      <c r="F419" s="4"/>
      <c r="G419" s="4"/>
      <c r="H419" s="4"/>
      <c r="I419" s="4"/>
      <c r="J419" s="4"/>
      <c r="K419" s="4"/>
      <c r="L419" s="4"/>
      <c r="M419" s="4"/>
      <c r="N419" s="4"/>
      <c r="O419" s="4"/>
      <c r="P419" s="4"/>
      <c r="Q419" s="4"/>
      <c r="R419" s="4"/>
      <c r="S419" s="4"/>
      <c r="T419" s="4"/>
      <c r="U419" s="4"/>
      <c r="V419" s="4"/>
      <c r="W419" s="4"/>
      <c r="X419" s="4"/>
      <c r="Y419" s="4"/>
      <c r="Z419" s="4"/>
    </row>
    <row r="420" spans="1:26">
      <c r="A420" s="10"/>
      <c r="B420" s="10"/>
      <c r="C420" s="4"/>
      <c r="D420" s="10"/>
      <c r="E420" s="10"/>
      <c r="F420" s="4"/>
      <c r="G420" s="4"/>
      <c r="H420" s="4"/>
      <c r="I420" s="4"/>
      <c r="J420" s="4"/>
      <c r="K420" s="4"/>
      <c r="L420" s="4"/>
      <c r="M420" s="4"/>
      <c r="N420" s="4"/>
      <c r="O420" s="4"/>
      <c r="P420" s="4"/>
      <c r="Q420" s="4"/>
      <c r="R420" s="4"/>
      <c r="S420" s="4"/>
      <c r="T420" s="4"/>
      <c r="U420" s="4"/>
      <c r="V420" s="4"/>
      <c r="W420" s="4"/>
      <c r="X420" s="4"/>
      <c r="Y420" s="4"/>
      <c r="Z420" s="4"/>
    </row>
    <row r="421" spans="1:26">
      <c r="A421" s="10"/>
      <c r="B421" s="10"/>
      <c r="C421" s="4"/>
      <c r="D421" s="10"/>
      <c r="E421" s="10"/>
      <c r="F421" s="4"/>
      <c r="G421" s="4"/>
      <c r="H421" s="4"/>
      <c r="I421" s="4"/>
      <c r="J421" s="4"/>
      <c r="K421" s="4"/>
      <c r="L421" s="4"/>
      <c r="M421" s="4"/>
      <c r="N421" s="4"/>
      <c r="O421" s="4"/>
      <c r="P421" s="4"/>
      <c r="Q421" s="4"/>
      <c r="R421" s="4"/>
      <c r="S421" s="4"/>
      <c r="T421" s="4"/>
      <c r="U421" s="4"/>
      <c r="V421" s="4"/>
      <c r="W421" s="4"/>
      <c r="X421" s="4"/>
      <c r="Y421" s="4"/>
      <c r="Z421" s="4"/>
    </row>
    <row r="422" spans="1:26">
      <c r="A422" s="10"/>
      <c r="B422" s="10"/>
      <c r="C422" s="4"/>
      <c r="D422" s="10"/>
      <c r="E422" s="10"/>
      <c r="F422" s="4"/>
      <c r="G422" s="4"/>
      <c r="H422" s="4"/>
      <c r="I422" s="4"/>
      <c r="J422" s="4"/>
      <c r="K422" s="4"/>
      <c r="L422" s="4"/>
      <c r="M422" s="4"/>
      <c r="N422" s="4"/>
      <c r="O422" s="4"/>
      <c r="P422" s="4"/>
      <c r="Q422" s="4"/>
      <c r="R422" s="4"/>
      <c r="S422" s="4"/>
      <c r="T422" s="4"/>
      <c r="U422" s="4"/>
      <c r="V422" s="4"/>
      <c r="W422" s="4"/>
      <c r="X422" s="4"/>
      <c r="Y422" s="4"/>
      <c r="Z422" s="4"/>
    </row>
    <row r="423" spans="1:26">
      <c r="A423" s="10"/>
      <c r="B423" s="10"/>
      <c r="C423" s="4"/>
      <c r="D423" s="10"/>
      <c r="E423" s="10"/>
      <c r="F423" s="4"/>
      <c r="G423" s="4"/>
      <c r="H423" s="4"/>
      <c r="I423" s="4"/>
      <c r="J423" s="4"/>
      <c r="K423" s="4"/>
      <c r="L423" s="4"/>
      <c r="M423" s="4"/>
      <c r="N423" s="4"/>
      <c r="O423" s="4"/>
      <c r="P423" s="4"/>
      <c r="Q423" s="4"/>
      <c r="R423" s="4"/>
      <c r="S423" s="4"/>
      <c r="T423" s="4"/>
      <c r="U423" s="4"/>
      <c r="V423" s="4"/>
      <c r="W423" s="4"/>
      <c r="X423" s="4"/>
      <c r="Y423" s="4"/>
      <c r="Z423" s="4"/>
    </row>
    <row r="424" spans="1:26">
      <c r="A424" s="10"/>
      <c r="B424" s="10"/>
      <c r="C424" s="4"/>
      <c r="D424" s="10"/>
      <c r="E424" s="10"/>
      <c r="F424" s="4"/>
      <c r="G424" s="4"/>
      <c r="H424" s="4"/>
      <c r="I424" s="4"/>
      <c r="J424" s="4"/>
      <c r="K424" s="4"/>
      <c r="L424" s="4"/>
      <c r="M424" s="4"/>
      <c r="N424" s="4"/>
      <c r="O424" s="4"/>
      <c r="P424" s="4"/>
      <c r="Q424" s="4"/>
      <c r="R424" s="4"/>
      <c r="S424" s="4"/>
      <c r="T424" s="4"/>
      <c r="U424" s="4"/>
      <c r="V424" s="4"/>
      <c r="W424" s="4"/>
      <c r="X424" s="4"/>
      <c r="Y424" s="4"/>
      <c r="Z424" s="4"/>
    </row>
    <row r="425" spans="1:26">
      <c r="A425" s="10"/>
      <c r="B425" s="10"/>
      <c r="C425" s="4"/>
      <c r="D425" s="10"/>
      <c r="E425" s="10"/>
      <c r="F425" s="4"/>
      <c r="G425" s="4"/>
      <c r="H425" s="4"/>
      <c r="I425" s="4"/>
      <c r="J425" s="4"/>
      <c r="K425" s="4"/>
      <c r="L425" s="4"/>
      <c r="M425" s="4"/>
      <c r="N425" s="4"/>
      <c r="O425" s="4"/>
      <c r="P425" s="4"/>
      <c r="Q425" s="4"/>
      <c r="R425" s="4"/>
      <c r="S425" s="4"/>
      <c r="T425" s="4"/>
      <c r="U425" s="4"/>
      <c r="V425" s="4"/>
      <c r="W425" s="4"/>
      <c r="X425" s="4"/>
      <c r="Y425" s="4"/>
      <c r="Z425" s="4"/>
    </row>
    <row r="426" spans="1:26">
      <c r="A426" s="10"/>
      <c r="B426" s="10"/>
      <c r="C426" s="4"/>
      <c r="D426" s="10"/>
      <c r="E426" s="10"/>
      <c r="F426" s="4"/>
      <c r="G426" s="4"/>
      <c r="H426" s="4"/>
      <c r="I426" s="4"/>
      <c r="J426" s="4"/>
      <c r="K426" s="4"/>
      <c r="L426" s="4"/>
      <c r="M426" s="4"/>
      <c r="N426" s="4"/>
      <c r="O426" s="4"/>
      <c r="P426" s="4"/>
      <c r="Q426" s="4"/>
      <c r="R426" s="4"/>
      <c r="S426" s="4"/>
      <c r="T426" s="4"/>
      <c r="U426" s="4"/>
      <c r="V426" s="4"/>
      <c r="W426" s="4"/>
      <c r="X426" s="4"/>
      <c r="Y426" s="4"/>
      <c r="Z426" s="4"/>
    </row>
    <row r="427" spans="1:26">
      <c r="A427" s="10"/>
      <c r="B427" s="10"/>
      <c r="C427" s="4"/>
      <c r="D427" s="10"/>
      <c r="E427" s="10"/>
      <c r="F427" s="4"/>
      <c r="G427" s="4"/>
      <c r="H427" s="4"/>
      <c r="I427" s="4"/>
      <c r="J427" s="4"/>
      <c r="K427" s="4"/>
      <c r="L427" s="4"/>
      <c r="M427" s="4"/>
      <c r="N427" s="4"/>
      <c r="O427" s="4"/>
      <c r="P427" s="4"/>
      <c r="Q427" s="4"/>
      <c r="R427" s="4"/>
      <c r="S427" s="4"/>
      <c r="T427" s="4"/>
      <c r="U427" s="4"/>
      <c r="V427" s="4"/>
      <c r="W427" s="4"/>
      <c r="X427" s="4"/>
      <c r="Y427" s="4"/>
      <c r="Z427" s="4"/>
    </row>
    <row r="428" spans="1:26">
      <c r="A428" s="10"/>
      <c r="B428" s="10"/>
      <c r="C428" s="4"/>
      <c r="D428" s="10"/>
      <c r="E428" s="10"/>
      <c r="F428" s="4"/>
      <c r="G428" s="4"/>
      <c r="H428" s="4"/>
      <c r="I428" s="4"/>
      <c r="J428" s="4"/>
      <c r="K428" s="4"/>
      <c r="L428" s="4"/>
      <c r="M428" s="4"/>
      <c r="N428" s="4"/>
      <c r="O428" s="4"/>
      <c r="P428" s="4"/>
      <c r="Q428" s="4"/>
      <c r="R428" s="4"/>
      <c r="S428" s="4"/>
      <c r="T428" s="4"/>
      <c r="U428" s="4"/>
      <c r="V428" s="4"/>
      <c r="W428" s="4"/>
      <c r="X428" s="4"/>
      <c r="Y428" s="4"/>
      <c r="Z428" s="4"/>
    </row>
    <row r="429" spans="1:26">
      <c r="A429" s="10"/>
      <c r="B429" s="10"/>
      <c r="C429" s="4"/>
      <c r="D429" s="10"/>
      <c r="E429" s="10"/>
      <c r="F429" s="4"/>
      <c r="G429" s="4"/>
      <c r="H429" s="4"/>
      <c r="I429" s="4"/>
      <c r="J429" s="4"/>
      <c r="K429" s="4"/>
      <c r="L429" s="4"/>
      <c r="M429" s="4"/>
      <c r="N429" s="4"/>
      <c r="O429" s="4"/>
      <c r="P429" s="4"/>
      <c r="Q429" s="4"/>
      <c r="R429" s="4"/>
      <c r="S429" s="4"/>
      <c r="T429" s="4"/>
      <c r="U429" s="4"/>
      <c r="V429" s="4"/>
      <c r="W429" s="4"/>
      <c r="X429" s="4"/>
      <c r="Y429" s="4"/>
      <c r="Z429" s="4"/>
    </row>
    <row r="430" spans="1:26">
      <c r="A430" s="10"/>
      <c r="B430" s="10"/>
      <c r="C430" s="4"/>
      <c r="D430" s="10"/>
      <c r="E430" s="10"/>
      <c r="F430" s="4"/>
      <c r="G430" s="4"/>
      <c r="H430" s="4"/>
      <c r="I430" s="4"/>
      <c r="J430" s="4"/>
      <c r="K430" s="4"/>
      <c r="L430" s="4"/>
      <c r="M430" s="4"/>
      <c r="N430" s="4"/>
      <c r="O430" s="4"/>
      <c r="P430" s="4"/>
      <c r="Q430" s="4"/>
      <c r="R430" s="4"/>
      <c r="S430" s="4"/>
      <c r="T430" s="4"/>
      <c r="U430" s="4"/>
      <c r="V430" s="4"/>
      <c r="W430" s="4"/>
      <c r="X430" s="4"/>
      <c r="Y430" s="4"/>
      <c r="Z430" s="4"/>
    </row>
    <row r="431" spans="1:26">
      <c r="A431" s="10"/>
      <c r="B431" s="10"/>
      <c r="C431" s="4"/>
      <c r="D431" s="10"/>
      <c r="E431" s="10"/>
      <c r="F431" s="4"/>
      <c r="G431" s="4"/>
      <c r="H431" s="4"/>
      <c r="I431" s="4"/>
      <c r="J431" s="4"/>
      <c r="K431" s="4"/>
      <c r="L431" s="4"/>
      <c r="M431" s="4"/>
      <c r="N431" s="4"/>
      <c r="O431" s="4"/>
      <c r="P431" s="4"/>
      <c r="Q431" s="4"/>
      <c r="R431" s="4"/>
      <c r="S431" s="4"/>
      <c r="T431" s="4"/>
      <c r="U431" s="4"/>
      <c r="V431" s="4"/>
      <c r="W431" s="4"/>
      <c r="X431" s="4"/>
      <c r="Y431" s="4"/>
      <c r="Z431" s="4"/>
    </row>
    <row r="432" spans="1:26">
      <c r="A432" s="10"/>
      <c r="B432" s="10"/>
      <c r="C432" s="4"/>
      <c r="D432" s="10"/>
      <c r="E432" s="10"/>
      <c r="F432" s="4"/>
      <c r="G432" s="4"/>
      <c r="H432" s="4"/>
      <c r="I432" s="4"/>
      <c r="J432" s="4"/>
      <c r="K432" s="4"/>
      <c r="L432" s="4"/>
      <c r="M432" s="4"/>
      <c r="N432" s="4"/>
      <c r="O432" s="4"/>
      <c r="P432" s="4"/>
      <c r="Q432" s="4"/>
      <c r="R432" s="4"/>
      <c r="S432" s="4"/>
      <c r="T432" s="4"/>
      <c r="U432" s="4"/>
      <c r="V432" s="4"/>
      <c r="W432" s="4"/>
      <c r="X432" s="4"/>
      <c r="Y432" s="4"/>
      <c r="Z432" s="4"/>
    </row>
    <row r="433" spans="1:26">
      <c r="A433" s="10"/>
      <c r="B433" s="10"/>
      <c r="C433" s="4"/>
      <c r="D433" s="10"/>
      <c r="E433" s="10"/>
      <c r="F433" s="4"/>
      <c r="G433" s="4"/>
      <c r="H433" s="4"/>
      <c r="I433" s="4"/>
      <c r="J433" s="4"/>
      <c r="K433" s="4"/>
      <c r="L433" s="4"/>
      <c r="M433" s="4"/>
      <c r="N433" s="4"/>
      <c r="O433" s="4"/>
      <c r="P433" s="4"/>
      <c r="Q433" s="4"/>
      <c r="R433" s="4"/>
      <c r="S433" s="4"/>
      <c r="T433" s="4"/>
      <c r="U433" s="4"/>
      <c r="V433" s="4"/>
      <c r="W433" s="4"/>
      <c r="X433" s="4"/>
      <c r="Y433" s="4"/>
      <c r="Z433" s="4"/>
    </row>
    <row r="434" spans="1:26">
      <c r="A434" s="10"/>
      <c r="B434" s="10"/>
      <c r="C434" s="4"/>
      <c r="D434" s="10"/>
      <c r="E434" s="10"/>
      <c r="F434" s="4"/>
      <c r="G434" s="4"/>
      <c r="H434" s="4"/>
      <c r="I434" s="4"/>
      <c r="J434" s="4"/>
      <c r="K434" s="4"/>
      <c r="L434" s="4"/>
      <c r="M434" s="4"/>
      <c r="N434" s="4"/>
      <c r="O434" s="4"/>
      <c r="P434" s="4"/>
      <c r="Q434" s="4"/>
      <c r="R434" s="4"/>
      <c r="S434" s="4"/>
      <c r="T434" s="4"/>
      <c r="U434" s="4"/>
      <c r="V434" s="4"/>
      <c r="W434" s="4"/>
      <c r="X434" s="4"/>
      <c r="Y434" s="4"/>
      <c r="Z434" s="4"/>
    </row>
    <row r="435" spans="1:26">
      <c r="A435" s="10"/>
      <c r="B435" s="10"/>
      <c r="C435" s="4"/>
      <c r="D435" s="10"/>
      <c r="E435" s="10"/>
      <c r="F435" s="4"/>
      <c r="G435" s="4"/>
      <c r="H435" s="4"/>
      <c r="I435" s="4"/>
      <c r="J435" s="4"/>
      <c r="K435" s="4"/>
      <c r="L435" s="4"/>
      <c r="M435" s="4"/>
      <c r="N435" s="4"/>
      <c r="O435" s="4"/>
      <c r="P435" s="4"/>
      <c r="Q435" s="4"/>
      <c r="R435" s="4"/>
      <c r="S435" s="4"/>
      <c r="T435" s="4"/>
      <c r="U435" s="4"/>
      <c r="V435" s="4"/>
      <c r="W435" s="4"/>
      <c r="X435" s="4"/>
      <c r="Y435" s="4"/>
      <c r="Z435" s="4"/>
    </row>
    <row r="436" spans="1:26">
      <c r="A436" s="10"/>
      <c r="B436" s="10"/>
      <c r="C436" s="4"/>
      <c r="D436" s="10"/>
      <c r="E436" s="10"/>
      <c r="F436" s="4"/>
      <c r="G436" s="4"/>
      <c r="H436" s="4"/>
      <c r="I436" s="4"/>
      <c r="J436" s="4"/>
      <c r="K436" s="4"/>
      <c r="L436" s="4"/>
      <c r="M436" s="4"/>
      <c r="N436" s="4"/>
      <c r="O436" s="4"/>
      <c r="P436" s="4"/>
      <c r="Q436" s="4"/>
      <c r="R436" s="4"/>
      <c r="S436" s="4"/>
      <c r="T436" s="4"/>
      <c r="U436" s="4"/>
      <c r="V436" s="4"/>
      <c r="W436" s="4"/>
      <c r="X436" s="4"/>
      <c r="Y436" s="4"/>
      <c r="Z436" s="4"/>
    </row>
    <row r="437" spans="1:26">
      <c r="A437" s="10"/>
      <c r="B437" s="10"/>
      <c r="C437" s="4"/>
      <c r="D437" s="10"/>
      <c r="E437" s="10"/>
      <c r="F437" s="4"/>
      <c r="G437" s="4"/>
      <c r="H437" s="4"/>
      <c r="I437" s="4"/>
      <c r="J437" s="4"/>
      <c r="K437" s="4"/>
      <c r="L437" s="4"/>
      <c r="M437" s="4"/>
      <c r="N437" s="4"/>
      <c r="O437" s="4"/>
      <c r="P437" s="4"/>
      <c r="Q437" s="4"/>
      <c r="R437" s="4"/>
      <c r="S437" s="4"/>
      <c r="T437" s="4"/>
      <c r="U437" s="4"/>
      <c r="V437" s="4"/>
      <c r="W437" s="4"/>
      <c r="X437" s="4"/>
      <c r="Y437" s="4"/>
      <c r="Z437" s="4"/>
    </row>
    <row r="438" spans="1:26">
      <c r="A438" s="10"/>
      <c r="B438" s="10"/>
      <c r="C438" s="4"/>
      <c r="D438" s="10"/>
      <c r="E438" s="10"/>
      <c r="F438" s="4"/>
      <c r="G438" s="4"/>
      <c r="H438" s="4"/>
      <c r="I438" s="4"/>
      <c r="J438" s="4"/>
      <c r="K438" s="4"/>
      <c r="L438" s="4"/>
      <c r="M438" s="4"/>
      <c r="N438" s="4"/>
      <c r="O438" s="4"/>
      <c r="P438" s="4"/>
      <c r="Q438" s="4"/>
      <c r="R438" s="4"/>
      <c r="S438" s="4"/>
      <c r="T438" s="4"/>
      <c r="U438" s="4"/>
      <c r="V438" s="4"/>
      <c r="W438" s="4"/>
      <c r="X438" s="4"/>
      <c r="Y438" s="4"/>
      <c r="Z438" s="4"/>
    </row>
    <row r="439" spans="1:26">
      <c r="A439" s="10"/>
      <c r="B439" s="10"/>
      <c r="C439" s="4"/>
      <c r="D439" s="10"/>
      <c r="E439" s="10"/>
      <c r="F439" s="4"/>
      <c r="G439" s="4"/>
      <c r="H439" s="4"/>
      <c r="I439" s="4"/>
      <c r="J439" s="4"/>
      <c r="K439" s="4"/>
      <c r="L439" s="4"/>
      <c r="M439" s="4"/>
      <c r="N439" s="4"/>
      <c r="O439" s="4"/>
      <c r="P439" s="4"/>
      <c r="Q439" s="4"/>
      <c r="R439" s="4"/>
      <c r="S439" s="4"/>
      <c r="T439" s="4"/>
      <c r="U439" s="4"/>
      <c r="V439" s="4"/>
      <c r="W439" s="4"/>
      <c r="X439" s="4"/>
      <c r="Y439" s="4"/>
      <c r="Z439" s="4"/>
    </row>
    <row r="440" spans="1:26">
      <c r="A440" s="10"/>
      <c r="B440" s="10"/>
      <c r="C440" s="4"/>
      <c r="D440" s="10"/>
      <c r="E440" s="10"/>
      <c r="F440" s="4"/>
      <c r="G440" s="4"/>
      <c r="H440" s="4"/>
      <c r="I440" s="4"/>
      <c r="J440" s="4"/>
      <c r="K440" s="4"/>
      <c r="L440" s="4"/>
      <c r="M440" s="4"/>
      <c r="N440" s="4"/>
      <c r="O440" s="4"/>
      <c r="P440" s="4"/>
      <c r="Q440" s="4"/>
      <c r="R440" s="4"/>
      <c r="S440" s="4"/>
      <c r="T440" s="4"/>
      <c r="U440" s="4"/>
      <c r="V440" s="4"/>
      <c r="W440" s="4"/>
      <c r="X440" s="4"/>
      <c r="Y440" s="4"/>
      <c r="Z440" s="4"/>
    </row>
    <row r="441" spans="1:26">
      <c r="A441" s="10"/>
      <c r="B441" s="10"/>
      <c r="C441" s="4"/>
      <c r="D441" s="10"/>
      <c r="E441" s="10"/>
      <c r="F441" s="4"/>
      <c r="G441" s="4"/>
      <c r="H441" s="4"/>
      <c r="I441" s="4"/>
      <c r="J441" s="4"/>
      <c r="K441" s="4"/>
      <c r="L441" s="4"/>
      <c r="M441" s="4"/>
      <c r="N441" s="4"/>
      <c r="O441" s="4"/>
      <c r="P441" s="4"/>
      <c r="Q441" s="4"/>
      <c r="R441" s="4"/>
      <c r="S441" s="4"/>
      <c r="T441" s="4"/>
      <c r="U441" s="4"/>
      <c r="V441" s="4"/>
      <c r="W441" s="4"/>
      <c r="X441" s="4"/>
      <c r="Y441" s="4"/>
      <c r="Z441" s="4"/>
    </row>
    <row r="442" spans="1:26">
      <c r="A442" s="10"/>
      <c r="B442" s="10"/>
      <c r="C442" s="4"/>
      <c r="D442" s="10"/>
      <c r="E442" s="10"/>
      <c r="F442" s="4"/>
      <c r="G442" s="4"/>
      <c r="H442" s="4"/>
      <c r="I442" s="4"/>
      <c r="J442" s="4"/>
      <c r="K442" s="4"/>
      <c r="L442" s="4"/>
      <c r="M442" s="4"/>
      <c r="N442" s="4"/>
      <c r="O442" s="4"/>
      <c r="P442" s="4"/>
      <c r="Q442" s="4"/>
      <c r="R442" s="4"/>
      <c r="S442" s="4"/>
      <c r="T442" s="4"/>
      <c r="U442" s="4"/>
      <c r="V442" s="4"/>
      <c r="W442" s="4"/>
      <c r="X442" s="4"/>
      <c r="Y442" s="4"/>
      <c r="Z442" s="4"/>
    </row>
    <row r="443" spans="1:26">
      <c r="A443" s="10"/>
      <c r="B443" s="10"/>
      <c r="C443" s="4"/>
      <c r="D443" s="10"/>
      <c r="E443" s="10"/>
      <c r="F443" s="4"/>
      <c r="G443" s="4"/>
      <c r="H443" s="4"/>
      <c r="I443" s="4"/>
      <c r="J443" s="4"/>
      <c r="K443" s="4"/>
      <c r="L443" s="4"/>
      <c r="M443" s="4"/>
      <c r="N443" s="4"/>
      <c r="O443" s="4"/>
      <c r="P443" s="4"/>
      <c r="Q443" s="4"/>
      <c r="R443" s="4"/>
      <c r="S443" s="4"/>
      <c r="T443" s="4"/>
      <c r="U443" s="4"/>
      <c r="V443" s="4"/>
      <c r="W443" s="4"/>
      <c r="X443" s="4"/>
      <c r="Y443" s="4"/>
      <c r="Z443" s="4"/>
    </row>
    <row r="444" spans="1:26">
      <c r="A444" s="10"/>
      <c r="B444" s="10"/>
      <c r="C444" s="4"/>
      <c r="D444" s="10"/>
      <c r="E444" s="10"/>
      <c r="F444" s="4"/>
      <c r="G444" s="4"/>
      <c r="H444" s="4"/>
      <c r="I444" s="4"/>
      <c r="J444" s="4"/>
      <c r="K444" s="4"/>
      <c r="L444" s="4"/>
      <c r="M444" s="4"/>
      <c r="N444" s="4"/>
      <c r="O444" s="4"/>
      <c r="P444" s="4"/>
      <c r="Q444" s="4"/>
      <c r="R444" s="4"/>
      <c r="S444" s="4"/>
      <c r="T444" s="4"/>
      <c r="U444" s="4"/>
      <c r="V444" s="4"/>
      <c r="W444" s="4"/>
      <c r="X444" s="4"/>
      <c r="Y444" s="4"/>
      <c r="Z444" s="4"/>
    </row>
    <row r="445" spans="1:26">
      <c r="A445" s="10"/>
      <c r="B445" s="10"/>
      <c r="C445" s="4"/>
      <c r="D445" s="10"/>
      <c r="E445" s="10"/>
      <c r="F445" s="4"/>
      <c r="G445" s="4"/>
      <c r="H445" s="4"/>
      <c r="I445" s="4"/>
      <c r="J445" s="4"/>
      <c r="K445" s="4"/>
      <c r="L445" s="4"/>
      <c r="M445" s="4"/>
      <c r="N445" s="4"/>
      <c r="O445" s="4"/>
      <c r="P445" s="4"/>
      <c r="Q445" s="4"/>
      <c r="R445" s="4"/>
      <c r="S445" s="4"/>
      <c r="T445" s="4"/>
      <c r="U445" s="4"/>
      <c r="V445" s="4"/>
      <c r="W445" s="4"/>
      <c r="X445" s="4"/>
      <c r="Y445" s="4"/>
      <c r="Z445" s="4"/>
    </row>
    <row r="446" spans="1:26">
      <c r="A446" s="10"/>
      <c r="B446" s="10"/>
      <c r="C446" s="4"/>
      <c r="D446" s="10"/>
      <c r="E446" s="10"/>
      <c r="F446" s="4"/>
      <c r="G446" s="4"/>
      <c r="H446" s="4"/>
      <c r="I446" s="4"/>
      <c r="J446" s="4"/>
      <c r="K446" s="4"/>
      <c r="L446" s="4"/>
      <c r="M446" s="4"/>
      <c r="N446" s="4"/>
      <c r="O446" s="4"/>
      <c r="P446" s="4"/>
      <c r="Q446" s="4"/>
      <c r="R446" s="4"/>
      <c r="S446" s="4"/>
      <c r="T446" s="4"/>
      <c r="U446" s="4"/>
      <c r="V446" s="4"/>
      <c r="W446" s="4"/>
      <c r="X446" s="4"/>
      <c r="Y446" s="4"/>
      <c r="Z446" s="4"/>
    </row>
    <row r="447" spans="1:26">
      <c r="A447" s="10"/>
      <c r="B447" s="10"/>
      <c r="C447" s="4"/>
      <c r="D447" s="10"/>
      <c r="E447" s="10"/>
      <c r="F447" s="4"/>
      <c r="G447" s="4"/>
      <c r="H447" s="4"/>
      <c r="I447" s="4"/>
      <c r="J447" s="4"/>
      <c r="K447" s="4"/>
      <c r="L447" s="4"/>
      <c r="M447" s="4"/>
      <c r="N447" s="4"/>
      <c r="O447" s="4"/>
      <c r="P447" s="4"/>
      <c r="Q447" s="4"/>
      <c r="R447" s="4"/>
      <c r="S447" s="4"/>
      <c r="T447" s="4"/>
      <c r="U447" s="4"/>
      <c r="V447" s="4"/>
      <c r="W447" s="4"/>
      <c r="X447" s="4"/>
      <c r="Y447" s="4"/>
      <c r="Z447" s="4"/>
    </row>
    <row r="448" spans="1:26">
      <c r="A448" s="10"/>
      <c r="B448" s="10"/>
      <c r="C448" s="4"/>
      <c r="D448" s="10"/>
      <c r="E448" s="10"/>
      <c r="F448" s="4"/>
      <c r="G448" s="4"/>
      <c r="H448" s="4"/>
      <c r="I448" s="4"/>
      <c r="J448" s="4"/>
      <c r="K448" s="4"/>
      <c r="L448" s="4"/>
      <c r="M448" s="4"/>
      <c r="N448" s="4"/>
      <c r="O448" s="4"/>
      <c r="P448" s="4"/>
      <c r="Q448" s="4"/>
      <c r="R448" s="4"/>
      <c r="S448" s="4"/>
      <c r="T448" s="4"/>
      <c r="U448" s="4"/>
      <c r="V448" s="4"/>
      <c r="W448" s="4"/>
      <c r="X448" s="4"/>
      <c r="Y448" s="4"/>
      <c r="Z448" s="4"/>
    </row>
    <row r="449" spans="1:26">
      <c r="A449" s="10"/>
      <c r="B449" s="10"/>
      <c r="C449" s="4"/>
      <c r="D449" s="10"/>
      <c r="E449" s="10"/>
      <c r="F449" s="4"/>
      <c r="G449" s="4"/>
      <c r="H449" s="4"/>
      <c r="I449" s="4"/>
      <c r="J449" s="4"/>
      <c r="K449" s="4"/>
      <c r="L449" s="4"/>
      <c r="M449" s="4"/>
      <c r="N449" s="4"/>
      <c r="O449" s="4"/>
      <c r="P449" s="4"/>
      <c r="Q449" s="4"/>
      <c r="R449" s="4"/>
      <c r="S449" s="4"/>
      <c r="T449" s="4"/>
      <c r="U449" s="4"/>
      <c r="V449" s="4"/>
      <c r="W449" s="4"/>
      <c r="X449" s="4"/>
      <c r="Y449" s="4"/>
      <c r="Z449" s="4"/>
    </row>
    <row r="450" spans="1:26">
      <c r="A450" s="10"/>
      <c r="B450" s="10"/>
      <c r="C450" s="4"/>
      <c r="D450" s="10"/>
      <c r="E450" s="10"/>
      <c r="F450" s="4"/>
      <c r="G450" s="4"/>
      <c r="H450" s="4"/>
      <c r="I450" s="4"/>
      <c r="J450" s="4"/>
      <c r="K450" s="4"/>
      <c r="L450" s="4"/>
      <c r="M450" s="4"/>
      <c r="N450" s="4"/>
      <c r="O450" s="4"/>
      <c r="P450" s="4"/>
      <c r="Q450" s="4"/>
      <c r="R450" s="4"/>
      <c r="S450" s="4"/>
      <c r="T450" s="4"/>
      <c r="U450" s="4"/>
      <c r="V450" s="4"/>
      <c r="W450" s="4"/>
      <c r="X450" s="4"/>
      <c r="Y450" s="4"/>
      <c r="Z450" s="4"/>
    </row>
    <row r="451" spans="1:26">
      <c r="A451" s="10"/>
      <c r="B451" s="10"/>
      <c r="C451" s="4"/>
      <c r="D451" s="10"/>
      <c r="E451" s="10"/>
      <c r="F451" s="4"/>
      <c r="G451" s="4"/>
      <c r="H451" s="4"/>
      <c r="I451" s="4"/>
      <c r="J451" s="4"/>
      <c r="K451" s="4"/>
      <c r="L451" s="4"/>
      <c r="M451" s="4"/>
      <c r="N451" s="4"/>
      <c r="O451" s="4"/>
      <c r="P451" s="4"/>
      <c r="Q451" s="4"/>
      <c r="R451" s="4"/>
      <c r="S451" s="4"/>
      <c r="T451" s="4"/>
      <c r="U451" s="4"/>
      <c r="V451" s="4"/>
      <c r="W451" s="4"/>
      <c r="X451" s="4"/>
      <c r="Y451" s="4"/>
      <c r="Z451" s="4"/>
    </row>
    <row r="452" spans="1:26">
      <c r="A452" s="10"/>
      <c r="B452" s="10"/>
      <c r="C452" s="4"/>
      <c r="D452" s="10"/>
      <c r="E452" s="10"/>
      <c r="F452" s="4"/>
      <c r="G452" s="4"/>
      <c r="H452" s="4"/>
      <c r="I452" s="4"/>
      <c r="J452" s="4"/>
      <c r="K452" s="4"/>
      <c r="L452" s="4"/>
      <c r="M452" s="4"/>
      <c r="N452" s="4"/>
      <c r="O452" s="4"/>
      <c r="P452" s="4"/>
      <c r="Q452" s="4"/>
      <c r="R452" s="4"/>
      <c r="S452" s="4"/>
      <c r="T452" s="4"/>
      <c r="U452" s="4"/>
      <c r="V452" s="4"/>
      <c r="W452" s="4"/>
      <c r="X452" s="4"/>
      <c r="Y452" s="4"/>
      <c r="Z452" s="4"/>
    </row>
    <row r="453" spans="1:26">
      <c r="A453" s="10"/>
      <c r="B453" s="10"/>
      <c r="C453" s="4"/>
      <c r="D453" s="10"/>
      <c r="E453" s="10"/>
      <c r="F453" s="4"/>
      <c r="G453" s="4"/>
      <c r="H453" s="4"/>
      <c r="I453" s="4"/>
      <c r="J453" s="4"/>
      <c r="K453" s="4"/>
      <c r="L453" s="4"/>
      <c r="M453" s="4"/>
      <c r="N453" s="4"/>
      <c r="O453" s="4"/>
      <c r="P453" s="4"/>
      <c r="Q453" s="4"/>
      <c r="R453" s="4"/>
      <c r="S453" s="4"/>
      <c r="T453" s="4"/>
      <c r="U453" s="4"/>
      <c r="V453" s="4"/>
      <c r="W453" s="4"/>
      <c r="X453" s="4"/>
      <c r="Y453" s="4"/>
      <c r="Z453" s="4"/>
    </row>
    <row r="454" spans="1:26">
      <c r="A454" s="10"/>
      <c r="B454" s="10"/>
      <c r="C454" s="4"/>
      <c r="D454" s="10"/>
      <c r="E454" s="10"/>
      <c r="F454" s="4"/>
      <c r="G454" s="4"/>
      <c r="H454" s="4"/>
      <c r="I454" s="4"/>
      <c r="J454" s="4"/>
      <c r="K454" s="4"/>
      <c r="L454" s="4"/>
      <c r="M454" s="4"/>
      <c r="N454" s="4"/>
      <c r="O454" s="4"/>
      <c r="P454" s="4"/>
      <c r="Q454" s="4"/>
      <c r="R454" s="4"/>
      <c r="S454" s="4"/>
      <c r="T454" s="4"/>
      <c r="U454" s="4"/>
      <c r="V454" s="4"/>
      <c r="W454" s="4"/>
      <c r="X454" s="4"/>
      <c r="Y454" s="4"/>
      <c r="Z454" s="4"/>
    </row>
    <row r="455" spans="1:26">
      <c r="A455" s="10"/>
      <c r="B455" s="10"/>
      <c r="C455" s="4"/>
      <c r="D455" s="10"/>
      <c r="E455" s="10"/>
      <c r="F455" s="4"/>
      <c r="G455" s="4"/>
      <c r="H455" s="4"/>
      <c r="I455" s="4"/>
      <c r="J455" s="4"/>
      <c r="K455" s="4"/>
      <c r="L455" s="4"/>
      <c r="M455" s="4"/>
      <c r="N455" s="4"/>
      <c r="O455" s="4"/>
      <c r="P455" s="4"/>
      <c r="Q455" s="4"/>
      <c r="R455" s="4"/>
      <c r="S455" s="4"/>
      <c r="T455" s="4"/>
      <c r="U455" s="4"/>
      <c r="V455" s="4"/>
      <c r="W455" s="4"/>
      <c r="X455" s="4"/>
      <c r="Y455" s="4"/>
      <c r="Z455" s="4"/>
    </row>
    <row r="456" spans="1:26">
      <c r="A456" s="10"/>
      <c r="B456" s="10"/>
      <c r="C456" s="4"/>
      <c r="D456" s="10"/>
      <c r="E456" s="10"/>
      <c r="F456" s="4"/>
      <c r="G456" s="4"/>
      <c r="H456" s="4"/>
      <c r="I456" s="4"/>
      <c r="J456" s="4"/>
      <c r="K456" s="4"/>
      <c r="L456" s="4"/>
      <c r="M456" s="4"/>
      <c r="N456" s="4"/>
      <c r="O456" s="4"/>
      <c r="P456" s="4"/>
      <c r="Q456" s="4"/>
      <c r="R456" s="4"/>
      <c r="S456" s="4"/>
      <c r="T456" s="4"/>
      <c r="U456" s="4"/>
      <c r="V456" s="4"/>
      <c r="W456" s="4"/>
      <c r="X456" s="4"/>
      <c r="Y456" s="4"/>
      <c r="Z456" s="4"/>
    </row>
    <row r="457" spans="1:26">
      <c r="A457" s="10"/>
      <c r="B457" s="10"/>
      <c r="C457" s="4"/>
      <c r="D457" s="10"/>
      <c r="E457" s="10"/>
      <c r="F457" s="4"/>
      <c r="G457" s="4"/>
      <c r="H457" s="4"/>
      <c r="I457" s="4"/>
      <c r="J457" s="4"/>
      <c r="K457" s="4"/>
      <c r="L457" s="4"/>
      <c r="M457" s="4"/>
      <c r="N457" s="4"/>
      <c r="O457" s="4"/>
      <c r="P457" s="4"/>
      <c r="Q457" s="4"/>
      <c r="R457" s="4"/>
      <c r="S457" s="4"/>
      <c r="T457" s="4"/>
      <c r="U457" s="4"/>
      <c r="V457" s="4"/>
      <c r="W457" s="4"/>
      <c r="X457" s="4"/>
      <c r="Y457" s="4"/>
      <c r="Z457" s="4"/>
    </row>
    <row r="458" spans="1:26">
      <c r="A458" s="10"/>
      <c r="B458" s="10"/>
      <c r="C458" s="4"/>
      <c r="D458" s="10"/>
      <c r="E458" s="10"/>
      <c r="F458" s="4"/>
      <c r="G458" s="4"/>
      <c r="H458" s="4"/>
      <c r="I458" s="4"/>
      <c r="J458" s="4"/>
      <c r="K458" s="4"/>
      <c r="L458" s="4"/>
      <c r="M458" s="4"/>
      <c r="N458" s="4"/>
      <c r="O458" s="4"/>
      <c r="P458" s="4"/>
      <c r="Q458" s="4"/>
      <c r="R458" s="4"/>
      <c r="S458" s="4"/>
      <c r="T458" s="4"/>
      <c r="U458" s="4"/>
      <c r="V458" s="4"/>
      <c r="W458" s="4"/>
      <c r="X458" s="4"/>
      <c r="Y458" s="4"/>
      <c r="Z458" s="4"/>
    </row>
    <row r="459" spans="1:26">
      <c r="A459" s="10"/>
      <c r="B459" s="10"/>
      <c r="C459" s="4"/>
      <c r="D459" s="10"/>
      <c r="E459" s="10"/>
      <c r="F459" s="4"/>
      <c r="G459" s="4"/>
      <c r="H459" s="4"/>
      <c r="I459" s="4"/>
      <c r="J459" s="4"/>
      <c r="K459" s="4"/>
      <c r="L459" s="4"/>
      <c r="M459" s="4"/>
      <c r="N459" s="4"/>
      <c r="O459" s="4"/>
      <c r="P459" s="4"/>
      <c r="Q459" s="4"/>
      <c r="R459" s="4"/>
      <c r="S459" s="4"/>
      <c r="T459" s="4"/>
      <c r="U459" s="4"/>
      <c r="V459" s="4"/>
      <c r="W459" s="4"/>
      <c r="X459" s="4"/>
      <c r="Y459" s="4"/>
      <c r="Z459" s="4"/>
    </row>
    <row r="460" spans="1:26">
      <c r="A460" s="10"/>
      <c r="B460" s="10"/>
      <c r="C460" s="4"/>
      <c r="D460" s="10"/>
      <c r="E460" s="10"/>
      <c r="F460" s="4"/>
      <c r="G460" s="4"/>
      <c r="H460" s="4"/>
      <c r="I460" s="4"/>
      <c r="J460" s="4"/>
      <c r="K460" s="4"/>
      <c r="L460" s="4"/>
      <c r="M460" s="4"/>
      <c r="N460" s="4"/>
      <c r="O460" s="4"/>
      <c r="P460" s="4"/>
      <c r="Q460" s="4"/>
      <c r="R460" s="4"/>
      <c r="S460" s="4"/>
      <c r="T460" s="4"/>
      <c r="U460" s="4"/>
      <c r="V460" s="4"/>
      <c r="W460" s="4"/>
      <c r="X460" s="4"/>
      <c r="Y460" s="4"/>
      <c r="Z460" s="4"/>
    </row>
    <row r="461" spans="1:26">
      <c r="A461" s="10"/>
      <c r="B461" s="10"/>
      <c r="C461" s="4"/>
      <c r="D461" s="10"/>
      <c r="E461" s="10"/>
      <c r="F461" s="4"/>
      <c r="G461" s="4"/>
      <c r="H461" s="4"/>
      <c r="I461" s="4"/>
      <c r="J461" s="4"/>
      <c r="K461" s="4"/>
      <c r="L461" s="4"/>
      <c r="M461" s="4"/>
      <c r="N461" s="4"/>
      <c r="O461" s="4"/>
      <c r="P461" s="4"/>
      <c r="Q461" s="4"/>
      <c r="R461" s="4"/>
      <c r="S461" s="4"/>
      <c r="T461" s="4"/>
      <c r="U461" s="4"/>
      <c r="V461" s="4"/>
      <c r="W461" s="4"/>
      <c r="X461" s="4"/>
      <c r="Y461" s="4"/>
      <c r="Z461" s="4"/>
    </row>
    <row r="462" spans="1:26">
      <c r="A462" s="10"/>
      <c r="B462" s="10"/>
      <c r="C462" s="4"/>
      <c r="D462" s="10"/>
      <c r="E462" s="10"/>
      <c r="F462" s="4"/>
      <c r="G462" s="4"/>
      <c r="H462" s="4"/>
      <c r="I462" s="4"/>
      <c r="J462" s="4"/>
      <c r="K462" s="4"/>
      <c r="L462" s="4"/>
      <c r="M462" s="4"/>
      <c r="N462" s="4"/>
      <c r="O462" s="4"/>
      <c r="P462" s="4"/>
      <c r="Q462" s="4"/>
      <c r="R462" s="4"/>
      <c r="S462" s="4"/>
      <c r="T462" s="4"/>
      <c r="U462" s="4"/>
      <c r="V462" s="4"/>
      <c r="W462" s="4"/>
      <c r="X462" s="4"/>
      <c r="Y462" s="4"/>
      <c r="Z462" s="4"/>
    </row>
    <row r="463" spans="1:26">
      <c r="A463" s="10"/>
      <c r="B463" s="10"/>
      <c r="C463" s="4"/>
      <c r="D463" s="10"/>
      <c r="E463" s="10"/>
      <c r="F463" s="4"/>
      <c r="G463" s="4"/>
      <c r="H463" s="4"/>
      <c r="I463" s="4"/>
      <c r="J463" s="4"/>
      <c r="K463" s="4"/>
      <c r="L463" s="4"/>
      <c r="M463" s="4"/>
      <c r="N463" s="4"/>
      <c r="O463" s="4"/>
      <c r="P463" s="4"/>
      <c r="Q463" s="4"/>
      <c r="R463" s="4"/>
      <c r="S463" s="4"/>
      <c r="T463" s="4"/>
      <c r="U463" s="4"/>
      <c r="V463" s="4"/>
      <c r="W463" s="4"/>
      <c r="X463" s="4"/>
      <c r="Y463" s="4"/>
      <c r="Z463" s="4"/>
    </row>
    <row r="464" spans="1:26">
      <c r="A464" s="10"/>
      <c r="B464" s="10"/>
      <c r="C464" s="4"/>
      <c r="D464" s="10"/>
      <c r="E464" s="10"/>
      <c r="F464" s="4"/>
      <c r="G464" s="4"/>
      <c r="H464" s="4"/>
      <c r="I464" s="4"/>
      <c r="J464" s="4"/>
      <c r="K464" s="4"/>
      <c r="L464" s="4"/>
      <c r="M464" s="4"/>
      <c r="N464" s="4"/>
      <c r="O464" s="4"/>
      <c r="P464" s="4"/>
      <c r="Q464" s="4"/>
      <c r="R464" s="4"/>
      <c r="S464" s="4"/>
      <c r="T464" s="4"/>
      <c r="U464" s="4"/>
      <c r="V464" s="4"/>
      <c r="W464" s="4"/>
      <c r="X464" s="4"/>
      <c r="Y464" s="4"/>
      <c r="Z464" s="4"/>
    </row>
    <row r="465" spans="1:26">
      <c r="A465" s="10"/>
      <c r="B465" s="10"/>
      <c r="C465" s="4"/>
      <c r="D465" s="10"/>
      <c r="E465" s="10"/>
      <c r="F465" s="4"/>
      <c r="G465" s="4"/>
      <c r="H465" s="4"/>
      <c r="I465" s="4"/>
      <c r="J465" s="4"/>
      <c r="K465" s="4"/>
      <c r="L465" s="4"/>
      <c r="M465" s="4"/>
      <c r="N465" s="4"/>
      <c r="O465" s="4"/>
      <c r="P465" s="4"/>
      <c r="Q465" s="4"/>
      <c r="R465" s="4"/>
      <c r="S465" s="4"/>
      <c r="T465" s="4"/>
      <c r="U465" s="4"/>
      <c r="V465" s="4"/>
      <c r="W465" s="4"/>
      <c r="X465" s="4"/>
      <c r="Y465" s="4"/>
      <c r="Z465" s="4"/>
    </row>
    <row r="466" spans="1:26">
      <c r="A466" s="10"/>
      <c r="B466" s="10"/>
      <c r="C466" s="4"/>
      <c r="D466" s="10"/>
      <c r="E466" s="10"/>
      <c r="F466" s="4"/>
      <c r="G466" s="4"/>
      <c r="H466" s="4"/>
      <c r="I466" s="4"/>
      <c r="J466" s="4"/>
      <c r="K466" s="4"/>
      <c r="L466" s="4"/>
      <c r="M466" s="4"/>
      <c r="N466" s="4"/>
      <c r="O466" s="4"/>
      <c r="P466" s="4"/>
      <c r="Q466" s="4"/>
      <c r="R466" s="4"/>
      <c r="S466" s="4"/>
      <c r="T466" s="4"/>
      <c r="U466" s="4"/>
      <c r="V466" s="4"/>
      <c r="W466" s="4"/>
      <c r="X466" s="4"/>
      <c r="Y466" s="4"/>
      <c r="Z466" s="4"/>
    </row>
    <row r="467" spans="1:26">
      <c r="A467" s="10"/>
      <c r="B467" s="10"/>
      <c r="C467" s="4"/>
      <c r="D467" s="10"/>
      <c r="E467" s="10"/>
      <c r="F467" s="4"/>
      <c r="G467" s="4"/>
      <c r="H467" s="4"/>
      <c r="I467" s="4"/>
      <c r="J467" s="4"/>
      <c r="K467" s="4"/>
      <c r="L467" s="4"/>
      <c r="M467" s="4"/>
      <c r="N467" s="4"/>
      <c r="O467" s="4"/>
      <c r="P467" s="4"/>
      <c r="Q467" s="4"/>
      <c r="R467" s="4"/>
      <c r="S467" s="4"/>
      <c r="T467" s="4"/>
      <c r="U467" s="4"/>
      <c r="V467" s="4"/>
      <c r="W467" s="4"/>
      <c r="X467" s="4"/>
      <c r="Y467" s="4"/>
      <c r="Z467" s="4"/>
    </row>
    <row r="468" spans="1:26">
      <c r="A468" s="10"/>
      <c r="B468" s="10"/>
      <c r="C468" s="4"/>
      <c r="D468" s="10"/>
      <c r="E468" s="10"/>
      <c r="F468" s="4"/>
      <c r="G468" s="4"/>
      <c r="H468" s="4"/>
      <c r="I468" s="4"/>
      <c r="J468" s="4"/>
      <c r="K468" s="4"/>
      <c r="L468" s="4"/>
      <c r="M468" s="4"/>
      <c r="N468" s="4"/>
      <c r="O468" s="4"/>
      <c r="P468" s="4"/>
      <c r="Q468" s="4"/>
      <c r="R468" s="4"/>
      <c r="S468" s="4"/>
      <c r="T468" s="4"/>
      <c r="U468" s="4"/>
      <c r="V468" s="4"/>
      <c r="W468" s="4"/>
      <c r="X468" s="4"/>
      <c r="Y468" s="4"/>
      <c r="Z468" s="4"/>
    </row>
    <row r="469" spans="1:26">
      <c r="A469" s="10"/>
      <c r="B469" s="10"/>
      <c r="C469" s="4"/>
      <c r="D469" s="10"/>
      <c r="E469" s="10"/>
      <c r="F469" s="4"/>
      <c r="G469" s="4"/>
      <c r="H469" s="4"/>
      <c r="I469" s="4"/>
      <c r="J469" s="4"/>
      <c r="K469" s="4"/>
      <c r="L469" s="4"/>
      <c r="M469" s="4"/>
      <c r="N469" s="4"/>
      <c r="O469" s="4"/>
      <c r="P469" s="4"/>
      <c r="Q469" s="4"/>
      <c r="R469" s="4"/>
      <c r="S469" s="4"/>
      <c r="T469" s="4"/>
      <c r="U469" s="4"/>
      <c r="V469" s="4"/>
      <c r="W469" s="4"/>
      <c r="X469" s="4"/>
      <c r="Y469" s="4"/>
      <c r="Z469" s="4"/>
    </row>
    <row r="470" spans="1:26">
      <c r="A470" s="10"/>
      <c r="B470" s="10"/>
      <c r="C470" s="4"/>
      <c r="D470" s="10"/>
      <c r="E470" s="10"/>
      <c r="F470" s="4"/>
      <c r="G470" s="4"/>
      <c r="H470" s="4"/>
      <c r="I470" s="4"/>
      <c r="J470" s="4"/>
      <c r="K470" s="4"/>
      <c r="L470" s="4"/>
      <c r="M470" s="4"/>
      <c r="N470" s="4"/>
      <c r="O470" s="4"/>
      <c r="P470" s="4"/>
      <c r="Q470" s="4"/>
      <c r="R470" s="4"/>
      <c r="S470" s="4"/>
      <c r="T470" s="4"/>
      <c r="U470" s="4"/>
      <c r="V470" s="4"/>
      <c r="W470" s="4"/>
      <c r="X470" s="4"/>
      <c r="Y470" s="4"/>
      <c r="Z470" s="4"/>
    </row>
    <row r="471" spans="1:26">
      <c r="A471" s="10"/>
      <c r="B471" s="10"/>
      <c r="C471" s="4"/>
      <c r="D471" s="10"/>
      <c r="E471" s="10"/>
      <c r="F471" s="4"/>
      <c r="G471" s="4"/>
      <c r="H471" s="4"/>
      <c r="I471" s="4"/>
      <c r="J471" s="4"/>
      <c r="K471" s="4"/>
      <c r="L471" s="4"/>
      <c r="M471" s="4"/>
      <c r="N471" s="4"/>
      <c r="O471" s="4"/>
      <c r="P471" s="4"/>
      <c r="Q471" s="4"/>
      <c r="R471" s="4"/>
      <c r="S471" s="4"/>
      <c r="T471" s="4"/>
      <c r="U471" s="4"/>
      <c r="V471" s="4"/>
      <c r="W471" s="4"/>
      <c r="X471" s="4"/>
      <c r="Y471" s="4"/>
      <c r="Z471" s="4"/>
    </row>
    <row r="472" spans="1:26">
      <c r="A472" s="10"/>
      <c r="B472" s="10"/>
      <c r="C472" s="4"/>
      <c r="D472" s="10"/>
      <c r="E472" s="10"/>
      <c r="F472" s="4"/>
      <c r="G472" s="4"/>
      <c r="H472" s="4"/>
      <c r="I472" s="4"/>
      <c r="J472" s="4"/>
      <c r="K472" s="4"/>
      <c r="L472" s="4"/>
      <c r="M472" s="4"/>
      <c r="N472" s="4"/>
      <c r="O472" s="4"/>
      <c r="P472" s="4"/>
      <c r="Q472" s="4"/>
      <c r="R472" s="4"/>
      <c r="S472" s="4"/>
      <c r="T472" s="4"/>
      <c r="U472" s="4"/>
      <c r="V472" s="4"/>
      <c r="W472" s="4"/>
      <c r="X472" s="4"/>
      <c r="Y472" s="4"/>
      <c r="Z472" s="4"/>
    </row>
    <row r="473" spans="1:26">
      <c r="A473" s="10"/>
      <c r="B473" s="10"/>
      <c r="C473" s="4"/>
      <c r="D473" s="10"/>
      <c r="E473" s="10"/>
      <c r="F473" s="4"/>
      <c r="G473" s="4"/>
      <c r="H473" s="4"/>
      <c r="I473" s="4"/>
      <c r="J473" s="4"/>
      <c r="K473" s="4"/>
      <c r="L473" s="4"/>
      <c r="M473" s="4"/>
      <c r="N473" s="4"/>
      <c r="O473" s="4"/>
      <c r="P473" s="4"/>
      <c r="Q473" s="4"/>
      <c r="R473" s="4"/>
      <c r="S473" s="4"/>
      <c r="T473" s="4"/>
      <c r="U473" s="4"/>
      <c r="V473" s="4"/>
      <c r="W473" s="4"/>
      <c r="X473" s="4"/>
      <c r="Y473" s="4"/>
      <c r="Z473" s="4"/>
    </row>
    <row r="474" spans="1:26">
      <c r="A474" s="10"/>
      <c r="B474" s="10"/>
      <c r="C474" s="4"/>
      <c r="D474" s="10"/>
      <c r="E474" s="10"/>
      <c r="F474" s="4"/>
      <c r="G474" s="4"/>
      <c r="H474" s="4"/>
      <c r="I474" s="4"/>
      <c r="J474" s="4"/>
      <c r="K474" s="4"/>
      <c r="L474" s="4"/>
      <c r="M474" s="4"/>
      <c r="N474" s="4"/>
      <c r="O474" s="4"/>
      <c r="P474" s="4"/>
      <c r="Q474" s="4"/>
      <c r="R474" s="4"/>
      <c r="S474" s="4"/>
      <c r="T474" s="4"/>
      <c r="U474" s="4"/>
      <c r="V474" s="4"/>
      <c r="W474" s="4"/>
      <c r="X474" s="4"/>
      <c r="Y474" s="4"/>
      <c r="Z474" s="4"/>
    </row>
    <row r="475" spans="1:26">
      <c r="A475" s="10"/>
      <c r="B475" s="10"/>
      <c r="C475" s="4"/>
      <c r="D475" s="10"/>
      <c r="E475" s="10"/>
      <c r="F475" s="4"/>
      <c r="G475" s="4"/>
      <c r="H475" s="4"/>
      <c r="I475" s="4"/>
      <c r="J475" s="4"/>
      <c r="K475" s="4"/>
      <c r="L475" s="4"/>
      <c r="M475" s="4"/>
      <c r="N475" s="4"/>
      <c r="O475" s="4"/>
      <c r="P475" s="4"/>
      <c r="Q475" s="4"/>
      <c r="R475" s="4"/>
      <c r="S475" s="4"/>
      <c r="T475" s="4"/>
      <c r="U475" s="4"/>
      <c r="V475" s="4"/>
      <c r="W475" s="4"/>
      <c r="X475" s="4"/>
      <c r="Y475" s="4"/>
      <c r="Z475" s="4"/>
    </row>
    <row r="476" spans="1:26">
      <c r="A476" s="10"/>
      <c r="B476" s="10"/>
      <c r="C476" s="4"/>
      <c r="D476" s="10"/>
      <c r="E476" s="10"/>
      <c r="F476" s="4"/>
      <c r="G476" s="4"/>
      <c r="H476" s="4"/>
      <c r="I476" s="4"/>
      <c r="J476" s="4"/>
      <c r="K476" s="4"/>
      <c r="L476" s="4"/>
      <c r="M476" s="4"/>
      <c r="N476" s="4"/>
      <c r="O476" s="4"/>
      <c r="P476" s="4"/>
      <c r="Q476" s="4"/>
      <c r="R476" s="4"/>
      <c r="S476" s="4"/>
      <c r="T476" s="4"/>
      <c r="U476" s="4"/>
      <c r="V476" s="4"/>
      <c r="W476" s="4"/>
      <c r="X476" s="4"/>
      <c r="Y476" s="4"/>
      <c r="Z476" s="4"/>
    </row>
    <row r="477" spans="1:26">
      <c r="A477" s="10"/>
      <c r="B477" s="10"/>
      <c r="C477" s="4"/>
      <c r="D477" s="10"/>
      <c r="E477" s="10"/>
      <c r="F477" s="4"/>
      <c r="G477" s="4"/>
      <c r="H477" s="4"/>
      <c r="I477" s="4"/>
      <c r="J477" s="4"/>
      <c r="K477" s="4"/>
      <c r="L477" s="4"/>
      <c r="M477" s="4"/>
      <c r="N477" s="4"/>
      <c r="O477" s="4"/>
      <c r="P477" s="4"/>
      <c r="Q477" s="4"/>
      <c r="R477" s="4"/>
      <c r="S477" s="4"/>
      <c r="T477" s="4"/>
      <c r="U477" s="4"/>
      <c r="V477" s="4"/>
      <c r="W477" s="4"/>
      <c r="X477" s="4"/>
      <c r="Y477" s="4"/>
      <c r="Z477" s="4"/>
    </row>
    <row r="478" spans="1:26">
      <c r="A478" s="10"/>
      <c r="B478" s="10"/>
      <c r="C478" s="4"/>
      <c r="D478" s="10"/>
      <c r="E478" s="10"/>
      <c r="F478" s="4"/>
      <c r="G478" s="4"/>
      <c r="H478" s="4"/>
      <c r="I478" s="4"/>
      <c r="J478" s="4"/>
      <c r="K478" s="4"/>
      <c r="L478" s="4"/>
      <c r="M478" s="4"/>
      <c r="N478" s="4"/>
      <c r="O478" s="4"/>
      <c r="P478" s="4"/>
      <c r="Q478" s="4"/>
      <c r="R478" s="4"/>
      <c r="S478" s="4"/>
      <c r="T478" s="4"/>
      <c r="U478" s="4"/>
      <c r="V478" s="4"/>
      <c r="W478" s="4"/>
      <c r="X478" s="4"/>
      <c r="Y478" s="4"/>
      <c r="Z478" s="4"/>
    </row>
    <row r="479" spans="1:26">
      <c r="A479" s="10"/>
      <c r="B479" s="10"/>
      <c r="C479" s="4"/>
      <c r="D479" s="10"/>
      <c r="E479" s="10"/>
      <c r="F479" s="4"/>
      <c r="G479" s="4"/>
      <c r="H479" s="4"/>
      <c r="I479" s="4"/>
      <c r="J479" s="4"/>
      <c r="K479" s="4"/>
      <c r="L479" s="4"/>
      <c r="M479" s="4"/>
      <c r="N479" s="4"/>
      <c r="O479" s="4"/>
      <c r="P479" s="4"/>
      <c r="Q479" s="4"/>
      <c r="R479" s="4"/>
      <c r="S479" s="4"/>
      <c r="T479" s="4"/>
      <c r="U479" s="4"/>
      <c r="V479" s="4"/>
      <c r="W479" s="4"/>
      <c r="X479" s="4"/>
      <c r="Y479" s="4"/>
      <c r="Z479" s="4"/>
    </row>
    <row r="480" spans="1:26">
      <c r="A480" s="10"/>
      <c r="B480" s="10"/>
      <c r="C480" s="4"/>
      <c r="D480" s="10"/>
      <c r="E480" s="10"/>
      <c r="F480" s="4"/>
      <c r="G480" s="4"/>
      <c r="H480" s="4"/>
      <c r="I480" s="4"/>
      <c r="J480" s="4"/>
      <c r="K480" s="4"/>
      <c r="L480" s="4"/>
      <c r="M480" s="4"/>
      <c r="N480" s="4"/>
      <c r="O480" s="4"/>
      <c r="P480" s="4"/>
      <c r="Q480" s="4"/>
      <c r="R480" s="4"/>
      <c r="S480" s="4"/>
      <c r="T480" s="4"/>
      <c r="U480" s="4"/>
      <c r="V480" s="4"/>
      <c r="W480" s="4"/>
      <c r="X480" s="4"/>
      <c r="Y480" s="4"/>
      <c r="Z480" s="4"/>
    </row>
    <row r="481" spans="1:26">
      <c r="A481" s="10"/>
      <c r="B481" s="10"/>
      <c r="C481" s="4"/>
      <c r="D481" s="10"/>
      <c r="E481" s="10"/>
      <c r="F481" s="4"/>
      <c r="G481" s="4"/>
      <c r="H481" s="4"/>
      <c r="I481" s="4"/>
      <c r="J481" s="4"/>
      <c r="K481" s="4"/>
      <c r="L481" s="4"/>
      <c r="M481" s="4"/>
      <c r="N481" s="4"/>
      <c r="O481" s="4"/>
      <c r="P481" s="4"/>
      <c r="Q481" s="4"/>
      <c r="R481" s="4"/>
      <c r="S481" s="4"/>
      <c r="T481" s="4"/>
      <c r="U481" s="4"/>
      <c r="V481" s="4"/>
      <c r="W481" s="4"/>
      <c r="X481" s="4"/>
      <c r="Y481" s="4"/>
      <c r="Z481" s="4"/>
    </row>
    <row r="482" spans="1:26">
      <c r="A482" s="10"/>
      <c r="B482" s="10"/>
      <c r="C482" s="4"/>
      <c r="D482" s="10"/>
      <c r="E482" s="10"/>
      <c r="F482" s="4"/>
      <c r="G482" s="4"/>
      <c r="H482" s="4"/>
      <c r="I482" s="4"/>
      <c r="J482" s="4"/>
      <c r="K482" s="4"/>
      <c r="L482" s="4"/>
      <c r="M482" s="4"/>
      <c r="N482" s="4"/>
      <c r="O482" s="4"/>
      <c r="P482" s="4"/>
      <c r="Q482" s="4"/>
      <c r="R482" s="4"/>
      <c r="S482" s="4"/>
      <c r="T482" s="4"/>
      <c r="U482" s="4"/>
      <c r="V482" s="4"/>
      <c r="W482" s="4"/>
      <c r="X482" s="4"/>
      <c r="Y482" s="4"/>
      <c r="Z482" s="4"/>
    </row>
    <row r="483" spans="1:26">
      <c r="A483" s="10"/>
      <c r="B483" s="10"/>
      <c r="C483" s="4"/>
      <c r="D483" s="10"/>
      <c r="E483" s="10"/>
      <c r="F483" s="4"/>
      <c r="G483" s="4"/>
      <c r="H483" s="4"/>
      <c r="I483" s="4"/>
      <c r="J483" s="4"/>
      <c r="K483" s="4"/>
      <c r="L483" s="4"/>
      <c r="M483" s="4"/>
      <c r="N483" s="4"/>
      <c r="O483" s="4"/>
      <c r="P483" s="4"/>
      <c r="Q483" s="4"/>
      <c r="R483" s="4"/>
      <c r="S483" s="4"/>
      <c r="T483" s="4"/>
      <c r="U483" s="4"/>
      <c r="V483" s="4"/>
      <c r="W483" s="4"/>
      <c r="X483" s="4"/>
      <c r="Y483" s="4"/>
      <c r="Z483" s="4"/>
    </row>
    <row r="484" spans="1:26">
      <c r="A484" s="10"/>
      <c r="B484" s="10"/>
      <c r="C484" s="4"/>
      <c r="D484" s="10"/>
      <c r="E484" s="10"/>
      <c r="F484" s="4"/>
      <c r="G484" s="4"/>
      <c r="H484" s="4"/>
      <c r="I484" s="4"/>
      <c r="J484" s="4"/>
      <c r="K484" s="4"/>
      <c r="L484" s="4"/>
      <c r="M484" s="4"/>
      <c r="N484" s="4"/>
      <c r="O484" s="4"/>
      <c r="P484" s="4"/>
      <c r="Q484" s="4"/>
      <c r="R484" s="4"/>
      <c r="S484" s="4"/>
      <c r="T484" s="4"/>
      <c r="U484" s="4"/>
      <c r="V484" s="4"/>
      <c r="W484" s="4"/>
      <c r="X484" s="4"/>
      <c r="Y484" s="4"/>
      <c r="Z484" s="4"/>
    </row>
    <row r="485" spans="1:26">
      <c r="A485" s="10"/>
      <c r="B485" s="10"/>
      <c r="C485" s="4"/>
      <c r="D485" s="10"/>
      <c r="E485" s="10"/>
      <c r="F485" s="4"/>
      <c r="G485" s="4"/>
      <c r="H485" s="4"/>
      <c r="I485" s="4"/>
      <c r="J485" s="4"/>
      <c r="K485" s="4"/>
      <c r="L485" s="4"/>
      <c r="M485" s="4"/>
      <c r="N485" s="4"/>
      <c r="O485" s="4"/>
      <c r="P485" s="4"/>
      <c r="Q485" s="4"/>
      <c r="R485" s="4"/>
      <c r="S485" s="4"/>
      <c r="T485" s="4"/>
      <c r="U485" s="4"/>
      <c r="V485" s="4"/>
      <c r="W485" s="4"/>
      <c r="X485" s="4"/>
      <c r="Y485" s="4"/>
      <c r="Z485" s="4"/>
    </row>
    <row r="486" spans="1:26">
      <c r="A486" s="10"/>
      <c r="B486" s="10"/>
      <c r="C486" s="4"/>
      <c r="D486" s="10"/>
      <c r="E486" s="10"/>
      <c r="F486" s="4"/>
      <c r="G486" s="4"/>
      <c r="H486" s="4"/>
      <c r="I486" s="4"/>
      <c r="J486" s="4"/>
      <c r="K486" s="4"/>
      <c r="L486" s="4"/>
      <c r="M486" s="4"/>
      <c r="N486" s="4"/>
      <c r="O486" s="4"/>
      <c r="P486" s="4"/>
      <c r="Q486" s="4"/>
      <c r="R486" s="4"/>
      <c r="S486" s="4"/>
      <c r="T486" s="4"/>
      <c r="U486" s="4"/>
      <c r="V486" s="4"/>
      <c r="W486" s="4"/>
      <c r="X486" s="4"/>
      <c r="Y486" s="4"/>
      <c r="Z486" s="4"/>
    </row>
    <row r="487" spans="1:26">
      <c r="A487" s="10"/>
      <c r="B487" s="10"/>
      <c r="C487" s="4"/>
      <c r="D487" s="10"/>
      <c r="E487" s="10"/>
      <c r="F487" s="4"/>
      <c r="G487" s="4"/>
      <c r="H487" s="4"/>
      <c r="I487" s="4"/>
      <c r="J487" s="4"/>
      <c r="K487" s="4"/>
      <c r="L487" s="4"/>
      <c r="M487" s="4"/>
      <c r="N487" s="4"/>
      <c r="O487" s="4"/>
      <c r="P487" s="4"/>
      <c r="Q487" s="4"/>
      <c r="R487" s="4"/>
      <c r="S487" s="4"/>
      <c r="T487" s="4"/>
      <c r="U487" s="4"/>
      <c r="V487" s="4"/>
      <c r="W487" s="4"/>
      <c r="X487" s="4"/>
      <c r="Y487" s="4"/>
      <c r="Z487" s="4"/>
    </row>
    <row r="488" spans="1:26">
      <c r="A488" s="10"/>
      <c r="B488" s="10"/>
      <c r="C488" s="4"/>
      <c r="D488" s="10"/>
      <c r="E488" s="10"/>
      <c r="F488" s="4"/>
      <c r="G488" s="4"/>
      <c r="H488" s="4"/>
      <c r="I488" s="4"/>
      <c r="J488" s="4"/>
      <c r="K488" s="4"/>
      <c r="L488" s="4"/>
      <c r="M488" s="4"/>
      <c r="N488" s="4"/>
      <c r="O488" s="4"/>
      <c r="P488" s="4"/>
      <c r="Q488" s="4"/>
      <c r="R488" s="4"/>
      <c r="S488" s="4"/>
      <c r="T488" s="4"/>
      <c r="U488" s="4"/>
      <c r="V488" s="4"/>
      <c r="W488" s="4"/>
      <c r="X488" s="4"/>
      <c r="Y488" s="4"/>
      <c r="Z488" s="4"/>
    </row>
    <row r="489" spans="1:26">
      <c r="A489" s="10"/>
      <c r="B489" s="10"/>
      <c r="C489" s="4"/>
      <c r="D489" s="10"/>
      <c r="E489" s="10"/>
      <c r="F489" s="4"/>
      <c r="G489" s="4"/>
      <c r="H489" s="4"/>
      <c r="I489" s="4"/>
      <c r="J489" s="4"/>
      <c r="K489" s="4"/>
      <c r="L489" s="4"/>
      <c r="M489" s="4"/>
      <c r="N489" s="4"/>
      <c r="O489" s="4"/>
      <c r="P489" s="4"/>
      <c r="Q489" s="4"/>
      <c r="R489" s="4"/>
      <c r="S489" s="4"/>
      <c r="T489" s="4"/>
      <c r="U489" s="4"/>
      <c r="V489" s="4"/>
      <c r="W489" s="4"/>
      <c r="X489" s="4"/>
      <c r="Y489" s="4"/>
      <c r="Z489" s="4"/>
    </row>
    <row r="490" spans="1:26">
      <c r="A490" s="10"/>
      <c r="B490" s="10"/>
      <c r="C490" s="4"/>
      <c r="D490" s="10"/>
      <c r="E490" s="10"/>
      <c r="F490" s="4"/>
      <c r="G490" s="4"/>
      <c r="H490" s="4"/>
      <c r="I490" s="4"/>
      <c r="J490" s="4"/>
      <c r="K490" s="4"/>
      <c r="L490" s="4"/>
      <c r="M490" s="4"/>
      <c r="N490" s="4"/>
      <c r="O490" s="4"/>
      <c r="P490" s="4"/>
      <c r="Q490" s="4"/>
      <c r="R490" s="4"/>
      <c r="S490" s="4"/>
      <c r="T490" s="4"/>
      <c r="U490" s="4"/>
      <c r="V490" s="4"/>
      <c r="W490" s="4"/>
      <c r="X490" s="4"/>
      <c r="Y490" s="4"/>
      <c r="Z490" s="4"/>
    </row>
    <row r="491" spans="1:26">
      <c r="A491" s="10"/>
      <c r="B491" s="10"/>
      <c r="C491" s="4"/>
      <c r="D491" s="10"/>
      <c r="E491" s="10"/>
      <c r="F491" s="4"/>
      <c r="G491" s="4"/>
      <c r="H491" s="4"/>
      <c r="I491" s="4"/>
      <c r="J491" s="4"/>
      <c r="K491" s="4"/>
      <c r="L491" s="4"/>
      <c r="M491" s="4"/>
      <c r="N491" s="4"/>
      <c r="O491" s="4"/>
      <c r="P491" s="4"/>
      <c r="Q491" s="4"/>
      <c r="R491" s="4"/>
      <c r="S491" s="4"/>
      <c r="T491" s="4"/>
      <c r="U491" s="4"/>
      <c r="V491" s="4"/>
      <c r="W491" s="4"/>
      <c r="X491" s="4"/>
      <c r="Y491" s="4"/>
      <c r="Z491" s="4"/>
    </row>
    <row r="492" spans="1:26">
      <c r="A492" s="10"/>
      <c r="B492" s="10"/>
      <c r="C492" s="4"/>
      <c r="D492" s="10"/>
      <c r="E492" s="10"/>
      <c r="F492" s="4"/>
      <c r="G492" s="4"/>
      <c r="H492" s="4"/>
      <c r="I492" s="4"/>
      <c r="J492" s="4"/>
      <c r="K492" s="4"/>
      <c r="L492" s="4"/>
      <c r="M492" s="4"/>
      <c r="N492" s="4"/>
      <c r="O492" s="4"/>
      <c r="P492" s="4"/>
      <c r="Q492" s="4"/>
      <c r="R492" s="4"/>
      <c r="S492" s="4"/>
      <c r="T492" s="4"/>
      <c r="U492" s="4"/>
      <c r="V492" s="4"/>
      <c r="W492" s="4"/>
      <c r="X492" s="4"/>
      <c r="Y492" s="4"/>
      <c r="Z492" s="4"/>
    </row>
    <row r="493" spans="1:26">
      <c r="A493" s="10"/>
      <c r="B493" s="10"/>
      <c r="C493" s="4"/>
      <c r="D493" s="10"/>
      <c r="E493" s="10"/>
      <c r="F493" s="4"/>
      <c r="G493" s="4"/>
      <c r="H493" s="4"/>
      <c r="I493" s="4"/>
      <c r="J493" s="4"/>
      <c r="K493" s="4"/>
      <c r="L493" s="4"/>
      <c r="M493" s="4"/>
      <c r="N493" s="4"/>
      <c r="O493" s="4"/>
      <c r="P493" s="4"/>
      <c r="Q493" s="4"/>
      <c r="R493" s="4"/>
      <c r="S493" s="4"/>
      <c r="T493" s="4"/>
      <c r="U493" s="4"/>
      <c r="V493" s="4"/>
      <c r="W493" s="4"/>
      <c r="X493" s="4"/>
      <c r="Y493" s="4"/>
      <c r="Z493" s="4"/>
    </row>
    <row r="494" spans="1:26">
      <c r="A494" s="10"/>
      <c r="B494" s="10"/>
      <c r="C494" s="4"/>
      <c r="D494" s="10"/>
      <c r="E494" s="10"/>
      <c r="F494" s="4"/>
      <c r="G494" s="4"/>
      <c r="H494" s="4"/>
      <c r="I494" s="4"/>
      <c r="J494" s="4"/>
      <c r="K494" s="4"/>
      <c r="L494" s="4"/>
      <c r="M494" s="4"/>
      <c r="N494" s="4"/>
      <c r="O494" s="4"/>
      <c r="P494" s="4"/>
      <c r="Q494" s="4"/>
      <c r="R494" s="4"/>
      <c r="S494" s="4"/>
      <c r="T494" s="4"/>
      <c r="U494" s="4"/>
      <c r="V494" s="4"/>
      <c r="W494" s="4"/>
      <c r="X494" s="4"/>
      <c r="Y494" s="4"/>
      <c r="Z494" s="4"/>
    </row>
    <row r="495" spans="1:26">
      <c r="A495" s="10"/>
      <c r="B495" s="10"/>
      <c r="C495" s="4"/>
      <c r="D495" s="10"/>
      <c r="E495" s="10"/>
      <c r="F495" s="4"/>
      <c r="G495" s="4"/>
      <c r="H495" s="4"/>
      <c r="I495" s="4"/>
      <c r="J495" s="4"/>
      <c r="K495" s="4"/>
      <c r="L495" s="4"/>
      <c r="M495" s="4"/>
      <c r="N495" s="4"/>
      <c r="O495" s="4"/>
      <c r="P495" s="4"/>
      <c r="Q495" s="4"/>
      <c r="R495" s="4"/>
      <c r="S495" s="4"/>
      <c r="T495" s="4"/>
      <c r="U495" s="4"/>
      <c r="V495" s="4"/>
      <c r="W495" s="4"/>
      <c r="X495" s="4"/>
      <c r="Y495" s="4"/>
      <c r="Z495" s="4"/>
    </row>
    <row r="496" spans="1:26">
      <c r="A496" s="10"/>
      <c r="B496" s="10"/>
      <c r="C496" s="4"/>
      <c r="D496" s="10"/>
      <c r="E496" s="10"/>
      <c r="F496" s="4"/>
      <c r="G496" s="4"/>
      <c r="H496" s="4"/>
      <c r="I496" s="4"/>
      <c r="J496" s="4"/>
      <c r="K496" s="4"/>
      <c r="L496" s="4"/>
      <c r="M496" s="4"/>
      <c r="N496" s="4"/>
      <c r="O496" s="4"/>
      <c r="P496" s="4"/>
      <c r="Q496" s="4"/>
      <c r="R496" s="4"/>
      <c r="S496" s="4"/>
      <c r="T496" s="4"/>
      <c r="U496" s="4"/>
      <c r="V496" s="4"/>
      <c r="W496" s="4"/>
      <c r="X496" s="4"/>
      <c r="Y496" s="4"/>
      <c r="Z496" s="4"/>
    </row>
    <row r="497" spans="1:26">
      <c r="A497" s="10"/>
      <c r="B497" s="10"/>
      <c r="C497" s="4"/>
      <c r="D497" s="10"/>
      <c r="E497" s="10"/>
      <c r="F497" s="4"/>
      <c r="G497" s="4"/>
      <c r="H497" s="4"/>
      <c r="I497" s="4"/>
      <c r="J497" s="4"/>
      <c r="K497" s="4"/>
      <c r="L497" s="4"/>
      <c r="M497" s="4"/>
      <c r="N497" s="4"/>
      <c r="O497" s="4"/>
      <c r="P497" s="4"/>
      <c r="Q497" s="4"/>
      <c r="R497" s="4"/>
      <c r="S497" s="4"/>
      <c r="T497" s="4"/>
      <c r="U497" s="4"/>
      <c r="V497" s="4"/>
      <c r="W497" s="4"/>
      <c r="X497" s="4"/>
      <c r="Y497" s="4"/>
      <c r="Z497" s="4"/>
    </row>
    <row r="498" spans="1:26">
      <c r="A498" s="10"/>
      <c r="B498" s="10"/>
      <c r="C498" s="4"/>
      <c r="D498" s="10"/>
      <c r="E498" s="10"/>
      <c r="F498" s="4"/>
      <c r="G498" s="4"/>
      <c r="H498" s="4"/>
      <c r="I498" s="4"/>
      <c r="J498" s="4"/>
      <c r="K498" s="4"/>
      <c r="L498" s="4"/>
      <c r="M498" s="4"/>
      <c r="N498" s="4"/>
      <c r="O498" s="4"/>
      <c r="P498" s="4"/>
      <c r="Q498" s="4"/>
      <c r="R498" s="4"/>
      <c r="S498" s="4"/>
      <c r="T498" s="4"/>
      <c r="U498" s="4"/>
      <c r="V498" s="4"/>
      <c r="W498" s="4"/>
      <c r="X498" s="4"/>
      <c r="Y498" s="4"/>
      <c r="Z498" s="4"/>
    </row>
    <row r="499" spans="1:26">
      <c r="A499" s="10"/>
      <c r="B499" s="10"/>
      <c r="C499" s="4"/>
      <c r="D499" s="10"/>
      <c r="E499" s="10"/>
      <c r="F499" s="4"/>
      <c r="G499" s="4"/>
      <c r="H499" s="4"/>
      <c r="I499" s="4"/>
      <c r="J499" s="4"/>
      <c r="K499" s="4"/>
      <c r="L499" s="4"/>
      <c r="M499" s="4"/>
      <c r="N499" s="4"/>
      <c r="O499" s="4"/>
      <c r="P499" s="4"/>
      <c r="Q499" s="4"/>
      <c r="R499" s="4"/>
      <c r="S499" s="4"/>
      <c r="T499" s="4"/>
      <c r="U499" s="4"/>
      <c r="V499" s="4"/>
      <c r="W499" s="4"/>
      <c r="X499" s="4"/>
      <c r="Y499" s="4"/>
      <c r="Z499" s="4"/>
    </row>
    <row r="500" spans="1:26">
      <c r="A500" s="10"/>
      <c r="B500" s="10"/>
      <c r="C500" s="4"/>
      <c r="D500" s="10"/>
      <c r="E500" s="10"/>
      <c r="F500" s="4"/>
      <c r="G500" s="4"/>
      <c r="H500" s="4"/>
      <c r="I500" s="4"/>
      <c r="J500" s="4"/>
      <c r="K500" s="4"/>
      <c r="L500" s="4"/>
      <c r="M500" s="4"/>
      <c r="N500" s="4"/>
      <c r="O500" s="4"/>
      <c r="P500" s="4"/>
      <c r="Q500" s="4"/>
      <c r="R500" s="4"/>
      <c r="S500" s="4"/>
      <c r="T500" s="4"/>
      <c r="U500" s="4"/>
      <c r="V500" s="4"/>
      <c r="W500" s="4"/>
      <c r="X500" s="4"/>
      <c r="Y500" s="4"/>
      <c r="Z500" s="4"/>
    </row>
    <row r="501" spans="1:26">
      <c r="A501" s="10"/>
      <c r="B501" s="10"/>
      <c r="C501" s="4"/>
      <c r="D501" s="10"/>
      <c r="E501" s="10"/>
      <c r="F501" s="4"/>
      <c r="G501" s="4"/>
      <c r="H501" s="4"/>
      <c r="I501" s="4"/>
      <c r="J501" s="4"/>
      <c r="K501" s="4"/>
      <c r="L501" s="4"/>
      <c r="M501" s="4"/>
      <c r="N501" s="4"/>
      <c r="O501" s="4"/>
      <c r="P501" s="4"/>
      <c r="Q501" s="4"/>
      <c r="R501" s="4"/>
      <c r="S501" s="4"/>
      <c r="T501" s="4"/>
      <c r="U501" s="4"/>
      <c r="V501" s="4"/>
      <c r="W501" s="4"/>
      <c r="X501" s="4"/>
      <c r="Y501" s="4"/>
      <c r="Z501" s="4"/>
    </row>
    <row r="502" spans="1:26">
      <c r="A502" s="10"/>
      <c r="B502" s="10"/>
      <c r="C502" s="4"/>
      <c r="D502" s="10"/>
      <c r="E502" s="10"/>
      <c r="F502" s="4"/>
      <c r="G502" s="4"/>
      <c r="H502" s="4"/>
      <c r="I502" s="4"/>
      <c r="J502" s="4"/>
      <c r="K502" s="4"/>
      <c r="L502" s="4"/>
      <c r="M502" s="4"/>
      <c r="N502" s="4"/>
      <c r="O502" s="4"/>
      <c r="P502" s="4"/>
      <c r="Q502" s="4"/>
      <c r="R502" s="4"/>
      <c r="S502" s="4"/>
      <c r="T502" s="4"/>
      <c r="U502" s="4"/>
      <c r="V502" s="4"/>
      <c r="W502" s="4"/>
      <c r="X502" s="4"/>
      <c r="Y502" s="4"/>
      <c r="Z502" s="4"/>
    </row>
    <row r="503" spans="1:26">
      <c r="A503" s="10"/>
      <c r="B503" s="10"/>
      <c r="C503" s="4"/>
      <c r="D503" s="10"/>
      <c r="E503" s="10"/>
      <c r="F503" s="4"/>
      <c r="G503" s="4"/>
      <c r="H503" s="4"/>
      <c r="I503" s="4"/>
      <c r="J503" s="4"/>
      <c r="K503" s="4"/>
      <c r="L503" s="4"/>
      <c r="M503" s="4"/>
      <c r="N503" s="4"/>
      <c r="O503" s="4"/>
      <c r="P503" s="4"/>
      <c r="Q503" s="4"/>
      <c r="R503" s="4"/>
      <c r="S503" s="4"/>
      <c r="T503" s="4"/>
      <c r="U503" s="4"/>
      <c r="V503" s="4"/>
      <c r="W503" s="4"/>
      <c r="X503" s="4"/>
      <c r="Y503" s="4"/>
      <c r="Z503" s="4"/>
    </row>
    <row r="504" spans="1:26">
      <c r="A504" s="10"/>
      <c r="B504" s="10"/>
      <c r="C504" s="4"/>
      <c r="D504" s="10"/>
      <c r="E504" s="10"/>
      <c r="F504" s="4"/>
      <c r="G504" s="4"/>
      <c r="H504" s="4"/>
      <c r="I504" s="4"/>
      <c r="J504" s="4"/>
      <c r="K504" s="4"/>
      <c r="L504" s="4"/>
      <c r="M504" s="4"/>
      <c r="N504" s="4"/>
      <c r="O504" s="4"/>
      <c r="P504" s="4"/>
      <c r="Q504" s="4"/>
      <c r="R504" s="4"/>
      <c r="S504" s="4"/>
      <c r="T504" s="4"/>
      <c r="U504" s="4"/>
      <c r="V504" s="4"/>
      <c r="W504" s="4"/>
      <c r="X504" s="4"/>
      <c r="Y504" s="4"/>
      <c r="Z504" s="4"/>
    </row>
    <row r="505" spans="1:26">
      <c r="A505" s="10"/>
      <c r="B505" s="10"/>
      <c r="C505" s="4"/>
      <c r="D505" s="10"/>
      <c r="E505" s="10"/>
      <c r="F505" s="4"/>
      <c r="G505" s="4"/>
      <c r="H505" s="4"/>
      <c r="I505" s="4"/>
      <c r="J505" s="4"/>
      <c r="K505" s="4"/>
      <c r="L505" s="4"/>
      <c r="M505" s="4"/>
      <c r="N505" s="4"/>
      <c r="O505" s="4"/>
      <c r="P505" s="4"/>
      <c r="Q505" s="4"/>
      <c r="R505" s="4"/>
      <c r="S505" s="4"/>
      <c r="T505" s="4"/>
      <c r="U505" s="4"/>
      <c r="V505" s="4"/>
      <c r="W505" s="4"/>
      <c r="X505" s="4"/>
      <c r="Y505" s="4"/>
      <c r="Z505" s="4"/>
    </row>
    <row r="506" spans="1:26">
      <c r="A506" s="10"/>
      <c r="B506" s="10"/>
      <c r="C506" s="4"/>
      <c r="D506" s="10"/>
      <c r="E506" s="10"/>
      <c r="F506" s="4"/>
      <c r="G506" s="4"/>
      <c r="H506" s="4"/>
      <c r="I506" s="4"/>
      <c r="J506" s="4"/>
      <c r="K506" s="4"/>
      <c r="L506" s="4"/>
      <c r="M506" s="4"/>
      <c r="N506" s="4"/>
      <c r="O506" s="4"/>
      <c r="P506" s="4"/>
      <c r="Q506" s="4"/>
      <c r="R506" s="4"/>
      <c r="S506" s="4"/>
      <c r="T506" s="4"/>
      <c r="U506" s="4"/>
      <c r="V506" s="4"/>
      <c r="W506" s="4"/>
      <c r="X506" s="4"/>
      <c r="Y506" s="4"/>
      <c r="Z506" s="4"/>
    </row>
    <row r="507" spans="1:26">
      <c r="A507" s="10"/>
      <c r="B507" s="10"/>
      <c r="C507" s="4"/>
      <c r="D507" s="10"/>
      <c r="E507" s="10"/>
      <c r="F507" s="4"/>
      <c r="G507" s="4"/>
      <c r="H507" s="4"/>
      <c r="I507" s="4"/>
      <c r="J507" s="4"/>
      <c r="K507" s="4"/>
      <c r="L507" s="4"/>
      <c r="M507" s="4"/>
      <c r="N507" s="4"/>
      <c r="O507" s="4"/>
      <c r="P507" s="4"/>
      <c r="Q507" s="4"/>
      <c r="R507" s="4"/>
      <c r="S507" s="4"/>
      <c r="T507" s="4"/>
      <c r="U507" s="4"/>
      <c r="V507" s="4"/>
      <c r="W507" s="4"/>
      <c r="X507" s="4"/>
      <c r="Y507" s="4"/>
      <c r="Z507" s="4"/>
    </row>
    <row r="508" spans="1:26">
      <c r="A508" s="10"/>
      <c r="B508" s="10"/>
      <c r="C508" s="4"/>
      <c r="D508" s="10"/>
      <c r="E508" s="10"/>
      <c r="F508" s="4"/>
      <c r="G508" s="4"/>
      <c r="H508" s="4"/>
      <c r="I508" s="4"/>
      <c r="J508" s="4"/>
      <c r="K508" s="4"/>
      <c r="L508" s="4"/>
      <c r="M508" s="4"/>
      <c r="N508" s="4"/>
      <c r="O508" s="4"/>
      <c r="P508" s="4"/>
      <c r="Q508" s="4"/>
      <c r="R508" s="4"/>
      <c r="S508" s="4"/>
      <c r="T508" s="4"/>
      <c r="U508" s="4"/>
      <c r="V508" s="4"/>
      <c r="W508" s="4"/>
      <c r="X508" s="4"/>
      <c r="Y508" s="4"/>
      <c r="Z508" s="4"/>
    </row>
    <row r="509" spans="1:26">
      <c r="A509" s="10"/>
      <c r="B509" s="10"/>
      <c r="C509" s="4"/>
      <c r="D509" s="10"/>
      <c r="E509" s="10"/>
      <c r="F509" s="4"/>
      <c r="G509" s="4"/>
      <c r="H509" s="4"/>
      <c r="I509" s="4"/>
      <c r="J509" s="4"/>
      <c r="K509" s="4"/>
      <c r="L509" s="4"/>
      <c r="M509" s="4"/>
      <c r="N509" s="4"/>
      <c r="O509" s="4"/>
      <c r="P509" s="4"/>
      <c r="Q509" s="4"/>
      <c r="R509" s="4"/>
      <c r="S509" s="4"/>
      <c r="T509" s="4"/>
      <c r="U509" s="4"/>
      <c r="V509" s="4"/>
      <c r="W509" s="4"/>
      <c r="X509" s="4"/>
      <c r="Y509" s="4"/>
      <c r="Z509" s="4"/>
    </row>
    <row r="510" spans="1:26">
      <c r="A510" s="10"/>
      <c r="B510" s="10"/>
      <c r="C510" s="4"/>
      <c r="D510" s="10"/>
      <c r="E510" s="10"/>
      <c r="F510" s="4"/>
      <c r="G510" s="4"/>
      <c r="H510" s="4"/>
      <c r="I510" s="4"/>
      <c r="J510" s="4"/>
      <c r="K510" s="4"/>
      <c r="L510" s="4"/>
      <c r="M510" s="4"/>
      <c r="N510" s="4"/>
      <c r="O510" s="4"/>
      <c r="P510" s="4"/>
      <c r="Q510" s="4"/>
      <c r="R510" s="4"/>
      <c r="S510" s="4"/>
      <c r="T510" s="4"/>
      <c r="U510" s="4"/>
      <c r="V510" s="4"/>
      <c r="W510" s="4"/>
      <c r="X510" s="4"/>
      <c r="Y510" s="4"/>
      <c r="Z510" s="4"/>
    </row>
    <row r="511" spans="1:26">
      <c r="A511" s="10"/>
      <c r="B511" s="10"/>
      <c r="C511" s="4"/>
      <c r="D511" s="10"/>
      <c r="E511" s="10"/>
      <c r="F511" s="4"/>
      <c r="G511" s="4"/>
      <c r="H511" s="4"/>
      <c r="I511" s="4"/>
      <c r="J511" s="4"/>
      <c r="K511" s="4"/>
      <c r="L511" s="4"/>
      <c r="M511" s="4"/>
      <c r="N511" s="4"/>
      <c r="O511" s="4"/>
      <c r="P511" s="4"/>
      <c r="Q511" s="4"/>
      <c r="R511" s="4"/>
      <c r="S511" s="4"/>
      <c r="T511" s="4"/>
      <c r="U511" s="4"/>
      <c r="V511" s="4"/>
      <c r="W511" s="4"/>
      <c r="X511" s="4"/>
      <c r="Y511" s="4"/>
      <c r="Z511" s="4"/>
    </row>
    <row r="512" spans="1:26">
      <c r="A512" s="10"/>
      <c r="B512" s="10"/>
      <c r="C512" s="4"/>
      <c r="D512" s="10"/>
      <c r="E512" s="10"/>
      <c r="F512" s="4"/>
      <c r="G512" s="4"/>
      <c r="H512" s="4"/>
      <c r="I512" s="4"/>
      <c r="J512" s="4"/>
      <c r="K512" s="4"/>
      <c r="L512" s="4"/>
      <c r="M512" s="4"/>
      <c r="N512" s="4"/>
      <c r="O512" s="4"/>
      <c r="P512" s="4"/>
      <c r="Q512" s="4"/>
      <c r="R512" s="4"/>
      <c r="S512" s="4"/>
      <c r="T512" s="4"/>
      <c r="U512" s="4"/>
      <c r="V512" s="4"/>
      <c r="W512" s="4"/>
      <c r="X512" s="4"/>
      <c r="Y512" s="4"/>
      <c r="Z512" s="4"/>
    </row>
    <row r="513" spans="1:26">
      <c r="A513" s="10"/>
      <c r="B513" s="10"/>
      <c r="C513" s="4"/>
      <c r="D513" s="10"/>
      <c r="E513" s="10"/>
      <c r="F513" s="4"/>
      <c r="G513" s="4"/>
      <c r="H513" s="4"/>
      <c r="I513" s="4"/>
      <c r="J513" s="4"/>
      <c r="K513" s="4"/>
      <c r="L513" s="4"/>
      <c r="M513" s="4"/>
      <c r="N513" s="4"/>
      <c r="O513" s="4"/>
      <c r="P513" s="4"/>
      <c r="Q513" s="4"/>
      <c r="R513" s="4"/>
      <c r="S513" s="4"/>
      <c r="T513" s="4"/>
      <c r="U513" s="4"/>
      <c r="V513" s="4"/>
      <c r="W513" s="4"/>
      <c r="X513" s="4"/>
      <c r="Y513" s="4"/>
      <c r="Z513" s="4"/>
    </row>
    <row r="514" spans="1:26">
      <c r="A514" s="10"/>
      <c r="B514" s="10"/>
      <c r="C514" s="4"/>
      <c r="D514" s="10"/>
      <c r="E514" s="10"/>
      <c r="F514" s="4"/>
      <c r="G514" s="4"/>
      <c r="H514" s="4"/>
      <c r="I514" s="4"/>
      <c r="J514" s="4"/>
      <c r="K514" s="4"/>
      <c r="L514" s="4"/>
      <c r="M514" s="4"/>
      <c r="N514" s="4"/>
      <c r="O514" s="4"/>
      <c r="P514" s="4"/>
      <c r="Q514" s="4"/>
      <c r="R514" s="4"/>
      <c r="S514" s="4"/>
      <c r="T514" s="4"/>
      <c r="U514" s="4"/>
      <c r="V514" s="4"/>
      <c r="W514" s="4"/>
      <c r="X514" s="4"/>
      <c r="Y514" s="4"/>
      <c r="Z514" s="4"/>
    </row>
    <row r="515" spans="1:26">
      <c r="A515" s="10"/>
      <c r="B515" s="10"/>
      <c r="C515" s="4"/>
      <c r="D515" s="10"/>
      <c r="E515" s="10"/>
      <c r="F515" s="4"/>
      <c r="G515" s="4"/>
      <c r="H515" s="4"/>
      <c r="I515" s="4"/>
      <c r="J515" s="4"/>
      <c r="K515" s="4"/>
      <c r="L515" s="4"/>
      <c r="M515" s="4"/>
      <c r="N515" s="4"/>
      <c r="O515" s="4"/>
      <c r="P515" s="4"/>
      <c r="Q515" s="4"/>
      <c r="R515" s="4"/>
      <c r="S515" s="4"/>
      <c r="T515" s="4"/>
      <c r="U515" s="4"/>
      <c r="V515" s="4"/>
      <c r="W515" s="4"/>
      <c r="X515" s="4"/>
      <c r="Y515" s="4"/>
      <c r="Z515" s="4"/>
    </row>
    <row r="516" spans="1:26">
      <c r="A516" s="10"/>
      <c r="B516" s="10"/>
      <c r="C516" s="4"/>
      <c r="D516" s="10"/>
      <c r="E516" s="10"/>
      <c r="F516" s="4"/>
      <c r="G516" s="4"/>
      <c r="H516" s="4"/>
      <c r="I516" s="4"/>
      <c r="J516" s="4"/>
      <c r="K516" s="4"/>
      <c r="L516" s="4"/>
      <c r="M516" s="4"/>
      <c r="N516" s="4"/>
      <c r="O516" s="4"/>
      <c r="P516" s="4"/>
      <c r="Q516" s="4"/>
      <c r="R516" s="4"/>
      <c r="S516" s="4"/>
      <c r="T516" s="4"/>
      <c r="U516" s="4"/>
      <c r="V516" s="4"/>
      <c r="W516" s="4"/>
      <c r="X516" s="4"/>
      <c r="Y516" s="4"/>
      <c r="Z516" s="4"/>
    </row>
    <row r="517" spans="1:26">
      <c r="A517" s="10"/>
      <c r="B517" s="10"/>
      <c r="C517" s="4"/>
      <c r="D517" s="10"/>
      <c r="E517" s="10"/>
      <c r="F517" s="4"/>
      <c r="G517" s="4"/>
      <c r="H517" s="4"/>
      <c r="I517" s="4"/>
      <c r="J517" s="4"/>
      <c r="K517" s="4"/>
      <c r="L517" s="4"/>
      <c r="M517" s="4"/>
      <c r="N517" s="4"/>
      <c r="O517" s="4"/>
      <c r="P517" s="4"/>
      <c r="Q517" s="4"/>
      <c r="R517" s="4"/>
      <c r="S517" s="4"/>
      <c r="T517" s="4"/>
      <c r="U517" s="4"/>
      <c r="V517" s="4"/>
      <c r="W517" s="4"/>
      <c r="X517" s="4"/>
      <c r="Y517" s="4"/>
      <c r="Z517" s="4"/>
    </row>
    <row r="518" spans="1:26">
      <c r="A518" s="10"/>
      <c r="B518" s="10"/>
      <c r="C518" s="4"/>
      <c r="D518" s="10"/>
      <c r="E518" s="10"/>
      <c r="F518" s="4"/>
      <c r="G518" s="4"/>
      <c r="H518" s="4"/>
      <c r="I518" s="4"/>
      <c r="J518" s="4"/>
      <c r="K518" s="4"/>
      <c r="L518" s="4"/>
      <c r="M518" s="4"/>
      <c r="N518" s="4"/>
      <c r="O518" s="4"/>
      <c r="P518" s="4"/>
      <c r="Q518" s="4"/>
      <c r="R518" s="4"/>
      <c r="S518" s="4"/>
      <c r="T518" s="4"/>
      <c r="U518" s="4"/>
      <c r="V518" s="4"/>
      <c r="W518" s="4"/>
      <c r="X518" s="4"/>
      <c r="Y518" s="4"/>
      <c r="Z518" s="4"/>
    </row>
    <row r="519" spans="1:26">
      <c r="A519" s="10"/>
      <c r="B519" s="10"/>
      <c r="C519" s="4"/>
      <c r="D519" s="10"/>
      <c r="E519" s="10"/>
      <c r="F519" s="4"/>
      <c r="G519" s="4"/>
      <c r="H519" s="4"/>
      <c r="I519" s="4"/>
      <c r="J519" s="4"/>
      <c r="K519" s="4"/>
      <c r="L519" s="4"/>
      <c r="M519" s="4"/>
      <c r="N519" s="4"/>
      <c r="O519" s="4"/>
      <c r="P519" s="4"/>
      <c r="Q519" s="4"/>
      <c r="R519" s="4"/>
      <c r="S519" s="4"/>
      <c r="T519" s="4"/>
      <c r="U519" s="4"/>
      <c r="V519" s="4"/>
      <c r="W519" s="4"/>
      <c r="X519" s="4"/>
      <c r="Y519" s="4"/>
      <c r="Z519" s="4"/>
    </row>
    <row r="520" spans="1:26">
      <c r="A520" s="10"/>
      <c r="B520" s="10"/>
      <c r="C520" s="4"/>
      <c r="D520" s="10"/>
      <c r="E520" s="10"/>
      <c r="F520" s="4"/>
      <c r="G520" s="4"/>
      <c r="H520" s="4"/>
      <c r="I520" s="4"/>
      <c r="J520" s="4"/>
      <c r="K520" s="4"/>
      <c r="L520" s="4"/>
      <c r="M520" s="4"/>
      <c r="N520" s="4"/>
      <c r="O520" s="4"/>
      <c r="P520" s="4"/>
      <c r="Q520" s="4"/>
      <c r="R520" s="4"/>
      <c r="S520" s="4"/>
      <c r="T520" s="4"/>
      <c r="U520" s="4"/>
      <c r="V520" s="4"/>
      <c r="W520" s="4"/>
      <c r="X520" s="4"/>
      <c r="Y520" s="4"/>
      <c r="Z520" s="4"/>
    </row>
    <row r="521" spans="1:26">
      <c r="A521" s="10"/>
      <c r="B521" s="10"/>
      <c r="C521" s="4"/>
      <c r="D521" s="10"/>
      <c r="E521" s="10"/>
      <c r="F521" s="4"/>
      <c r="G521" s="4"/>
      <c r="H521" s="4"/>
      <c r="I521" s="4"/>
      <c r="J521" s="4"/>
      <c r="K521" s="4"/>
      <c r="L521" s="4"/>
      <c r="M521" s="4"/>
      <c r="N521" s="4"/>
      <c r="O521" s="4"/>
      <c r="P521" s="4"/>
      <c r="Q521" s="4"/>
      <c r="R521" s="4"/>
      <c r="S521" s="4"/>
      <c r="T521" s="4"/>
      <c r="U521" s="4"/>
      <c r="V521" s="4"/>
      <c r="W521" s="4"/>
      <c r="X521" s="4"/>
      <c r="Y521" s="4"/>
      <c r="Z521" s="4"/>
    </row>
    <row r="522" spans="1:26">
      <c r="A522" s="10"/>
      <c r="B522" s="10"/>
      <c r="C522" s="4"/>
      <c r="D522" s="10"/>
      <c r="E522" s="10"/>
      <c r="F522" s="4"/>
      <c r="G522" s="4"/>
      <c r="H522" s="4"/>
      <c r="I522" s="4"/>
      <c r="J522" s="4"/>
      <c r="K522" s="4"/>
      <c r="L522" s="4"/>
      <c r="M522" s="4"/>
      <c r="N522" s="4"/>
      <c r="O522" s="4"/>
      <c r="P522" s="4"/>
      <c r="Q522" s="4"/>
      <c r="R522" s="4"/>
      <c r="S522" s="4"/>
      <c r="T522" s="4"/>
      <c r="U522" s="4"/>
      <c r="V522" s="4"/>
      <c r="W522" s="4"/>
      <c r="X522" s="4"/>
      <c r="Y522" s="4"/>
      <c r="Z522" s="4"/>
    </row>
    <row r="523" spans="1:26">
      <c r="A523" s="10"/>
      <c r="B523" s="10"/>
      <c r="C523" s="4"/>
      <c r="D523" s="10"/>
      <c r="E523" s="10"/>
      <c r="F523" s="4"/>
      <c r="G523" s="4"/>
      <c r="H523" s="4"/>
      <c r="I523" s="4"/>
      <c r="J523" s="4"/>
      <c r="K523" s="4"/>
      <c r="L523" s="4"/>
      <c r="M523" s="4"/>
      <c r="N523" s="4"/>
      <c r="O523" s="4"/>
      <c r="P523" s="4"/>
      <c r="Q523" s="4"/>
      <c r="R523" s="4"/>
      <c r="S523" s="4"/>
      <c r="T523" s="4"/>
      <c r="U523" s="4"/>
      <c r="V523" s="4"/>
      <c r="W523" s="4"/>
      <c r="X523" s="4"/>
      <c r="Y523" s="4"/>
      <c r="Z523" s="4"/>
    </row>
    <row r="524" spans="1:26">
      <c r="A524" s="10"/>
      <c r="B524" s="10"/>
      <c r="C524" s="4"/>
      <c r="D524" s="10"/>
      <c r="E524" s="10"/>
      <c r="F524" s="4"/>
      <c r="G524" s="4"/>
      <c r="H524" s="4"/>
      <c r="I524" s="4"/>
      <c r="J524" s="4"/>
      <c r="K524" s="4"/>
      <c r="L524" s="4"/>
      <c r="M524" s="4"/>
      <c r="N524" s="4"/>
      <c r="O524" s="4"/>
      <c r="P524" s="4"/>
      <c r="Q524" s="4"/>
      <c r="R524" s="4"/>
      <c r="S524" s="4"/>
      <c r="T524" s="4"/>
      <c r="U524" s="4"/>
      <c r="V524" s="4"/>
      <c r="W524" s="4"/>
      <c r="X524" s="4"/>
      <c r="Y524" s="4"/>
      <c r="Z524" s="4"/>
    </row>
    <row r="525" spans="1:26">
      <c r="A525" s="10"/>
      <c r="B525" s="10"/>
      <c r="C525" s="4"/>
      <c r="D525" s="10"/>
      <c r="E525" s="10"/>
      <c r="F525" s="4"/>
      <c r="G525" s="4"/>
      <c r="H525" s="4"/>
      <c r="I525" s="4"/>
      <c r="J525" s="4"/>
      <c r="K525" s="4"/>
      <c r="L525" s="4"/>
      <c r="M525" s="4"/>
      <c r="N525" s="4"/>
      <c r="O525" s="4"/>
      <c r="P525" s="4"/>
      <c r="Q525" s="4"/>
      <c r="R525" s="4"/>
      <c r="S525" s="4"/>
      <c r="T525" s="4"/>
      <c r="U525" s="4"/>
      <c r="V525" s="4"/>
      <c r="W525" s="4"/>
      <c r="X525" s="4"/>
      <c r="Y525" s="4"/>
      <c r="Z525" s="4"/>
    </row>
    <row r="526" spans="1:26">
      <c r="A526" s="10"/>
      <c r="B526" s="10"/>
      <c r="C526" s="4"/>
      <c r="D526" s="10"/>
      <c r="E526" s="10"/>
      <c r="F526" s="4"/>
      <c r="G526" s="4"/>
      <c r="H526" s="4"/>
      <c r="I526" s="4"/>
      <c r="J526" s="4"/>
      <c r="K526" s="4"/>
      <c r="L526" s="4"/>
      <c r="M526" s="4"/>
      <c r="N526" s="4"/>
      <c r="O526" s="4"/>
      <c r="P526" s="4"/>
      <c r="Q526" s="4"/>
      <c r="R526" s="4"/>
      <c r="S526" s="4"/>
      <c r="T526" s="4"/>
      <c r="U526" s="4"/>
      <c r="V526" s="4"/>
      <c r="W526" s="4"/>
      <c r="X526" s="4"/>
      <c r="Y526" s="4"/>
      <c r="Z526" s="4"/>
    </row>
    <row r="527" spans="1:26">
      <c r="A527" s="10"/>
      <c r="B527" s="10"/>
      <c r="C527" s="4"/>
      <c r="D527" s="10"/>
      <c r="E527" s="10"/>
      <c r="F527" s="4"/>
      <c r="G527" s="4"/>
      <c r="H527" s="4"/>
      <c r="I527" s="4"/>
      <c r="J527" s="4"/>
      <c r="K527" s="4"/>
      <c r="L527" s="4"/>
      <c r="M527" s="4"/>
      <c r="N527" s="4"/>
      <c r="O527" s="4"/>
      <c r="P527" s="4"/>
      <c r="Q527" s="4"/>
      <c r="R527" s="4"/>
      <c r="S527" s="4"/>
      <c r="T527" s="4"/>
      <c r="U527" s="4"/>
      <c r="V527" s="4"/>
      <c r="W527" s="4"/>
      <c r="X527" s="4"/>
      <c r="Y527" s="4"/>
      <c r="Z527" s="4"/>
    </row>
    <row r="528" spans="1:26">
      <c r="A528" s="10"/>
      <c r="B528" s="10"/>
      <c r="C528" s="4"/>
      <c r="D528" s="10"/>
      <c r="E528" s="10"/>
      <c r="F528" s="4"/>
      <c r="G528" s="4"/>
      <c r="H528" s="4"/>
      <c r="I528" s="4"/>
      <c r="J528" s="4"/>
      <c r="K528" s="4"/>
      <c r="L528" s="4"/>
      <c r="M528" s="4"/>
      <c r="N528" s="4"/>
      <c r="O528" s="4"/>
      <c r="P528" s="4"/>
      <c r="Q528" s="4"/>
      <c r="R528" s="4"/>
      <c r="S528" s="4"/>
      <c r="T528" s="4"/>
      <c r="U528" s="4"/>
      <c r="V528" s="4"/>
      <c r="W528" s="4"/>
      <c r="X528" s="4"/>
      <c r="Y528" s="4"/>
      <c r="Z528" s="4"/>
    </row>
    <row r="529" spans="1:26">
      <c r="A529" s="10"/>
      <c r="B529" s="10"/>
      <c r="C529" s="4"/>
      <c r="D529" s="10"/>
      <c r="E529" s="10"/>
      <c r="F529" s="4"/>
      <c r="G529" s="4"/>
      <c r="H529" s="4"/>
      <c r="I529" s="4"/>
      <c r="J529" s="4"/>
      <c r="K529" s="4"/>
      <c r="L529" s="4"/>
      <c r="M529" s="4"/>
      <c r="N529" s="4"/>
      <c r="O529" s="4"/>
      <c r="P529" s="4"/>
      <c r="Q529" s="4"/>
      <c r="R529" s="4"/>
      <c r="S529" s="4"/>
      <c r="T529" s="4"/>
      <c r="U529" s="4"/>
      <c r="V529" s="4"/>
      <c r="W529" s="4"/>
      <c r="X529" s="4"/>
      <c r="Y529" s="4"/>
      <c r="Z529" s="4"/>
    </row>
    <row r="530" spans="1:26">
      <c r="A530" s="10"/>
      <c r="B530" s="10"/>
      <c r="C530" s="4"/>
      <c r="D530" s="10"/>
      <c r="E530" s="10"/>
      <c r="F530" s="4"/>
      <c r="G530" s="4"/>
      <c r="H530" s="4"/>
      <c r="I530" s="4"/>
      <c r="J530" s="4"/>
      <c r="K530" s="4"/>
      <c r="L530" s="4"/>
      <c r="M530" s="4"/>
      <c r="N530" s="4"/>
      <c r="O530" s="4"/>
      <c r="P530" s="4"/>
      <c r="Q530" s="4"/>
      <c r="R530" s="4"/>
      <c r="S530" s="4"/>
      <c r="T530" s="4"/>
      <c r="U530" s="4"/>
      <c r="V530" s="4"/>
      <c r="W530" s="4"/>
      <c r="X530" s="4"/>
      <c r="Y530" s="4"/>
      <c r="Z530" s="4"/>
    </row>
    <row r="531" spans="1:26">
      <c r="A531" s="10"/>
      <c r="B531" s="10"/>
      <c r="C531" s="4"/>
      <c r="D531" s="10"/>
      <c r="E531" s="10"/>
      <c r="F531" s="4"/>
      <c r="G531" s="4"/>
      <c r="H531" s="4"/>
      <c r="I531" s="4"/>
      <c r="J531" s="4"/>
      <c r="K531" s="4"/>
      <c r="L531" s="4"/>
      <c r="M531" s="4"/>
      <c r="N531" s="4"/>
      <c r="O531" s="4"/>
      <c r="P531" s="4"/>
      <c r="Q531" s="4"/>
      <c r="R531" s="4"/>
      <c r="S531" s="4"/>
      <c r="T531" s="4"/>
      <c r="U531" s="4"/>
      <c r="V531" s="4"/>
      <c r="W531" s="4"/>
      <c r="X531" s="4"/>
      <c r="Y531" s="4"/>
      <c r="Z531" s="4"/>
    </row>
    <row r="532" spans="1:26">
      <c r="A532" s="10"/>
      <c r="B532" s="10"/>
      <c r="C532" s="4"/>
      <c r="D532" s="10"/>
      <c r="E532" s="10"/>
      <c r="F532" s="4"/>
      <c r="G532" s="4"/>
      <c r="H532" s="4"/>
      <c r="I532" s="4"/>
      <c r="J532" s="4"/>
      <c r="K532" s="4"/>
      <c r="L532" s="4"/>
      <c r="M532" s="4"/>
      <c r="N532" s="4"/>
      <c r="O532" s="4"/>
      <c r="P532" s="4"/>
      <c r="Q532" s="4"/>
      <c r="R532" s="4"/>
      <c r="S532" s="4"/>
      <c r="T532" s="4"/>
      <c r="U532" s="4"/>
      <c r="V532" s="4"/>
      <c r="W532" s="4"/>
      <c r="X532" s="4"/>
      <c r="Y532" s="4"/>
      <c r="Z532" s="4"/>
    </row>
    <row r="533" spans="1:26">
      <c r="A533" s="10"/>
      <c r="B533" s="10"/>
      <c r="C533" s="4"/>
      <c r="D533" s="10"/>
      <c r="E533" s="10"/>
      <c r="F533" s="4"/>
      <c r="G533" s="4"/>
      <c r="H533" s="4"/>
      <c r="I533" s="4"/>
      <c r="J533" s="4"/>
      <c r="K533" s="4"/>
      <c r="L533" s="4"/>
      <c r="M533" s="4"/>
      <c r="N533" s="4"/>
      <c r="O533" s="4"/>
      <c r="P533" s="4"/>
      <c r="Q533" s="4"/>
      <c r="R533" s="4"/>
      <c r="S533" s="4"/>
      <c r="T533" s="4"/>
      <c r="U533" s="4"/>
      <c r="V533" s="4"/>
      <c r="W533" s="4"/>
      <c r="X533" s="4"/>
      <c r="Y533" s="4"/>
      <c r="Z533" s="4"/>
    </row>
    <row r="534" spans="1:26">
      <c r="A534" s="10"/>
      <c r="B534" s="10"/>
      <c r="C534" s="4"/>
      <c r="D534" s="10"/>
      <c r="E534" s="10"/>
      <c r="F534" s="4"/>
      <c r="G534" s="4"/>
      <c r="H534" s="4"/>
      <c r="I534" s="4"/>
      <c r="J534" s="4"/>
      <c r="K534" s="4"/>
      <c r="L534" s="4"/>
      <c r="M534" s="4"/>
      <c r="N534" s="4"/>
      <c r="O534" s="4"/>
      <c r="P534" s="4"/>
      <c r="Q534" s="4"/>
      <c r="R534" s="4"/>
      <c r="S534" s="4"/>
      <c r="T534" s="4"/>
      <c r="U534" s="4"/>
      <c r="V534" s="4"/>
      <c r="W534" s="4"/>
      <c r="X534" s="4"/>
      <c r="Y534" s="4"/>
      <c r="Z534" s="4"/>
    </row>
    <row r="535" spans="1:26">
      <c r="A535" s="10"/>
      <c r="B535" s="10"/>
      <c r="C535" s="4"/>
      <c r="D535" s="10"/>
      <c r="E535" s="10"/>
      <c r="F535" s="4"/>
      <c r="G535" s="4"/>
      <c r="H535" s="4"/>
      <c r="I535" s="4"/>
      <c r="J535" s="4"/>
      <c r="K535" s="4"/>
      <c r="L535" s="4"/>
      <c r="M535" s="4"/>
      <c r="N535" s="4"/>
      <c r="O535" s="4"/>
      <c r="P535" s="4"/>
      <c r="Q535" s="4"/>
      <c r="R535" s="4"/>
      <c r="S535" s="4"/>
      <c r="T535" s="4"/>
      <c r="U535" s="4"/>
      <c r="V535" s="4"/>
      <c r="W535" s="4"/>
      <c r="X535" s="4"/>
      <c r="Y535" s="4"/>
      <c r="Z535" s="4"/>
    </row>
    <row r="536" spans="1:26">
      <c r="A536" s="10"/>
      <c r="B536" s="10"/>
      <c r="C536" s="4"/>
      <c r="D536" s="10"/>
      <c r="E536" s="10"/>
      <c r="F536" s="4"/>
      <c r="G536" s="4"/>
      <c r="H536" s="4"/>
      <c r="I536" s="4"/>
      <c r="J536" s="4"/>
      <c r="K536" s="4"/>
      <c r="L536" s="4"/>
      <c r="M536" s="4"/>
      <c r="N536" s="4"/>
      <c r="O536" s="4"/>
      <c r="P536" s="4"/>
      <c r="Q536" s="4"/>
      <c r="R536" s="4"/>
      <c r="S536" s="4"/>
      <c r="T536" s="4"/>
      <c r="U536" s="4"/>
      <c r="V536" s="4"/>
      <c r="W536" s="4"/>
      <c r="X536" s="4"/>
      <c r="Y536" s="4"/>
      <c r="Z536" s="4"/>
    </row>
    <row r="537" spans="1:26">
      <c r="A537" s="10"/>
      <c r="B537" s="10"/>
      <c r="C537" s="4"/>
      <c r="D537" s="10"/>
      <c r="E537" s="10"/>
      <c r="F537" s="4"/>
      <c r="G537" s="4"/>
      <c r="H537" s="4"/>
      <c r="I537" s="4"/>
      <c r="J537" s="4"/>
      <c r="K537" s="4"/>
      <c r="L537" s="4"/>
      <c r="M537" s="4"/>
      <c r="N537" s="4"/>
      <c r="O537" s="4"/>
      <c r="P537" s="4"/>
      <c r="Q537" s="4"/>
      <c r="R537" s="4"/>
      <c r="S537" s="4"/>
      <c r="T537" s="4"/>
      <c r="U537" s="4"/>
      <c r="V537" s="4"/>
      <c r="W537" s="4"/>
      <c r="X537" s="4"/>
      <c r="Y537" s="4"/>
      <c r="Z537" s="4"/>
    </row>
    <row r="538" spans="1:26">
      <c r="A538" s="10"/>
      <c r="B538" s="10"/>
      <c r="C538" s="4"/>
      <c r="D538" s="10"/>
      <c r="E538" s="10"/>
      <c r="F538" s="4"/>
      <c r="G538" s="4"/>
      <c r="H538" s="4"/>
      <c r="I538" s="4"/>
      <c r="J538" s="4"/>
      <c r="K538" s="4"/>
      <c r="L538" s="4"/>
      <c r="M538" s="4"/>
      <c r="N538" s="4"/>
      <c r="O538" s="4"/>
      <c r="P538" s="4"/>
      <c r="Q538" s="4"/>
      <c r="R538" s="4"/>
      <c r="S538" s="4"/>
      <c r="T538" s="4"/>
      <c r="U538" s="4"/>
      <c r="V538" s="4"/>
      <c r="W538" s="4"/>
      <c r="X538" s="4"/>
      <c r="Y538" s="4"/>
      <c r="Z538" s="4"/>
    </row>
    <row r="539" spans="1:26">
      <c r="A539" s="10"/>
      <c r="B539" s="10"/>
      <c r="C539" s="4"/>
      <c r="D539" s="10"/>
      <c r="E539" s="10"/>
      <c r="F539" s="4"/>
      <c r="G539" s="4"/>
      <c r="H539" s="4"/>
      <c r="I539" s="4"/>
      <c r="J539" s="4"/>
      <c r="K539" s="4"/>
      <c r="L539" s="4"/>
      <c r="M539" s="4"/>
      <c r="N539" s="4"/>
      <c r="O539" s="4"/>
      <c r="P539" s="4"/>
      <c r="Q539" s="4"/>
      <c r="R539" s="4"/>
      <c r="S539" s="4"/>
      <c r="T539" s="4"/>
      <c r="U539" s="4"/>
      <c r="V539" s="4"/>
      <c r="W539" s="4"/>
      <c r="X539" s="4"/>
      <c r="Y539" s="4"/>
      <c r="Z539" s="4"/>
    </row>
    <row r="540" spans="1:26">
      <c r="A540" s="10"/>
      <c r="B540" s="10"/>
      <c r="C540" s="4"/>
      <c r="D540" s="10"/>
      <c r="E540" s="10"/>
      <c r="F540" s="4"/>
      <c r="G540" s="4"/>
      <c r="H540" s="4"/>
      <c r="I540" s="4"/>
      <c r="J540" s="4"/>
      <c r="K540" s="4"/>
      <c r="L540" s="4"/>
      <c r="M540" s="4"/>
      <c r="N540" s="4"/>
      <c r="O540" s="4"/>
      <c r="P540" s="4"/>
      <c r="Q540" s="4"/>
      <c r="R540" s="4"/>
      <c r="S540" s="4"/>
      <c r="T540" s="4"/>
      <c r="U540" s="4"/>
      <c r="V540" s="4"/>
      <c r="W540" s="4"/>
      <c r="X540" s="4"/>
      <c r="Y540" s="4"/>
      <c r="Z540" s="4"/>
    </row>
    <row r="541" spans="1:26">
      <c r="A541" s="10"/>
      <c r="B541" s="10"/>
      <c r="C541" s="4"/>
      <c r="D541" s="10"/>
      <c r="E541" s="10"/>
      <c r="F541" s="4"/>
      <c r="G541" s="4"/>
      <c r="H541" s="4"/>
      <c r="I541" s="4"/>
      <c r="J541" s="4"/>
      <c r="K541" s="4"/>
      <c r="L541" s="4"/>
      <c r="M541" s="4"/>
      <c r="N541" s="4"/>
      <c r="O541" s="4"/>
      <c r="P541" s="4"/>
      <c r="Q541" s="4"/>
      <c r="R541" s="4"/>
      <c r="S541" s="4"/>
      <c r="T541" s="4"/>
      <c r="U541" s="4"/>
      <c r="V541" s="4"/>
      <c r="W541" s="4"/>
      <c r="X541" s="4"/>
      <c r="Y541" s="4"/>
      <c r="Z541" s="4"/>
    </row>
    <row r="542" spans="1:26">
      <c r="A542" s="10"/>
      <c r="B542" s="10"/>
      <c r="C542" s="4"/>
      <c r="D542" s="10"/>
      <c r="E542" s="10"/>
      <c r="F542" s="4"/>
      <c r="G542" s="4"/>
      <c r="H542" s="4"/>
      <c r="I542" s="4"/>
      <c r="J542" s="4"/>
      <c r="K542" s="4"/>
      <c r="L542" s="4"/>
      <c r="M542" s="4"/>
      <c r="N542" s="4"/>
      <c r="O542" s="4"/>
      <c r="P542" s="4"/>
      <c r="Q542" s="4"/>
      <c r="R542" s="4"/>
      <c r="S542" s="4"/>
      <c r="T542" s="4"/>
      <c r="U542" s="4"/>
      <c r="V542" s="4"/>
      <c r="W542" s="4"/>
      <c r="X542" s="4"/>
      <c r="Y542" s="4"/>
      <c r="Z542" s="4"/>
    </row>
    <row r="543" spans="1:26">
      <c r="A543" s="10"/>
      <c r="B543" s="10"/>
      <c r="C543" s="4"/>
      <c r="D543" s="10"/>
      <c r="E543" s="10"/>
      <c r="F543" s="4"/>
      <c r="G543" s="4"/>
      <c r="H543" s="4"/>
      <c r="I543" s="4"/>
      <c r="J543" s="4"/>
      <c r="K543" s="4"/>
      <c r="L543" s="4"/>
      <c r="M543" s="4"/>
      <c r="N543" s="4"/>
      <c r="O543" s="4"/>
      <c r="P543" s="4"/>
      <c r="Q543" s="4"/>
      <c r="R543" s="4"/>
      <c r="S543" s="4"/>
      <c r="T543" s="4"/>
      <c r="U543" s="4"/>
      <c r="V543" s="4"/>
      <c r="W543" s="4"/>
      <c r="X543" s="4"/>
      <c r="Y543" s="4"/>
      <c r="Z543" s="4"/>
    </row>
    <row r="544" spans="1:26">
      <c r="A544" s="10"/>
      <c r="B544" s="10"/>
      <c r="C544" s="4"/>
      <c r="D544" s="10"/>
      <c r="E544" s="10"/>
      <c r="F544" s="4"/>
      <c r="G544" s="4"/>
      <c r="H544" s="4"/>
      <c r="I544" s="4"/>
      <c r="J544" s="4"/>
      <c r="K544" s="4"/>
      <c r="L544" s="4"/>
      <c r="M544" s="4"/>
      <c r="N544" s="4"/>
      <c r="O544" s="4"/>
      <c r="P544" s="4"/>
      <c r="Q544" s="4"/>
      <c r="R544" s="4"/>
      <c r="S544" s="4"/>
      <c r="T544" s="4"/>
      <c r="U544" s="4"/>
      <c r="V544" s="4"/>
      <c r="W544" s="4"/>
      <c r="X544" s="4"/>
      <c r="Y544" s="4"/>
      <c r="Z544" s="4"/>
    </row>
    <row r="545" spans="1:26">
      <c r="A545" s="10"/>
      <c r="B545" s="10"/>
      <c r="C545" s="4"/>
      <c r="D545" s="10"/>
      <c r="E545" s="10"/>
      <c r="F545" s="4"/>
      <c r="G545" s="4"/>
      <c r="H545" s="4"/>
      <c r="I545" s="4"/>
      <c r="J545" s="4"/>
      <c r="K545" s="4"/>
      <c r="L545" s="4"/>
      <c r="M545" s="4"/>
      <c r="N545" s="4"/>
      <c r="O545" s="4"/>
      <c r="P545" s="4"/>
      <c r="Q545" s="4"/>
      <c r="R545" s="4"/>
      <c r="S545" s="4"/>
      <c r="T545" s="4"/>
      <c r="U545" s="4"/>
      <c r="V545" s="4"/>
      <c r="W545" s="4"/>
      <c r="X545" s="4"/>
      <c r="Y545" s="4"/>
      <c r="Z545" s="4"/>
    </row>
    <row r="546" spans="1:26">
      <c r="A546" s="10"/>
      <c r="B546" s="10"/>
      <c r="C546" s="4"/>
      <c r="D546" s="10"/>
      <c r="E546" s="10"/>
      <c r="F546" s="4"/>
      <c r="G546" s="4"/>
      <c r="H546" s="4"/>
      <c r="I546" s="4"/>
      <c r="J546" s="4"/>
      <c r="K546" s="4"/>
      <c r="L546" s="4"/>
      <c r="M546" s="4"/>
      <c r="N546" s="4"/>
      <c r="O546" s="4"/>
      <c r="P546" s="4"/>
      <c r="Q546" s="4"/>
      <c r="R546" s="4"/>
      <c r="S546" s="4"/>
      <c r="T546" s="4"/>
      <c r="U546" s="4"/>
      <c r="V546" s="4"/>
      <c r="W546" s="4"/>
      <c r="X546" s="4"/>
      <c r="Y546" s="4"/>
      <c r="Z546" s="4"/>
    </row>
    <row r="547" spans="1:26">
      <c r="A547" s="10"/>
      <c r="B547" s="10"/>
      <c r="C547" s="4"/>
      <c r="D547" s="10"/>
      <c r="E547" s="10"/>
      <c r="F547" s="4"/>
      <c r="G547" s="4"/>
      <c r="H547" s="4"/>
      <c r="I547" s="4"/>
      <c r="J547" s="4"/>
      <c r="K547" s="4"/>
      <c r="L547" s="4"/>
      <c r="M547" s="4"/>
      <c r="N547" s="4"/>
      <c r="O547" s="4"/>
      <c r="P547" s="4"/>
      <c r="Q547" s="4"/>
      <c r="R547" s="4"/>
      <c r="S547" s="4"/>
      <c r="T547" s="4"/>
      <c r="U547" s="4"/>
      <c r="V547" s="4"/>
      <c r="W547" s="4"/>
      <c r="X547" s="4"/>
      <c r="Y547" s="4"/>
      <c r="Z547" s="4"/>
    </row>
    <row r="548" spans="1:26">
      <c r="A548" s="10"/>
      <c r="B548" s="10"/>
      <c r="C548" s="4"/>
      <c r="D548" s="10"/>
      <c r="E548" s="10"/>
      <c r="F548" s="4"/>
      <c r="G548" s="4"/>
      <c r="H548" s="4"/>
      <c r="I548" s="4"/>
      <c r="J548" s="4"/>
      <c r="K548" s="4"/>
      <c r="L548" s="4"/>
      <c r="M548" s="4"/>
      <c r="N548" s="4"/>
      <c r="O548" s="4"/>
      <c r="P548" s="4"/>
      <c r="Q548" s="4"/>
      <c r="R548" s="4"/>
      <c r="S548" s="4"/>
      <c r="T548" s="4"/>
      <c r="U548" s="4"/>
      <c r="V548" s="4"/>
      <c r="W548" s="4"/>
      <c r="X548" s="4"/>
      <c r="Y548" s="4"/>
      <c r="Z548" s="4"/>
    </row>
    <row r="549" spans="1:26">
      <c r="A549" s="10"/>
      <c r="B549" s="10"/>
      <c r="C549" s="4"/>
      <c r="D549" s="10"/>
      <c r="E549" s="10"/>
      <c r="F549" s="4"/>
      <c r="G549" s="4"/>
      <c r="H549" s="4"/>
      <c r="I549" s="4"/>
      <c r="J549" s="4"/>
      <c r="K549" s="4"/>
      <c r="L549" s="4"/>
      <c r="M549" s="4"/>
      <c r="N549" s="4"/>
      <c r="O549" s="4"/>
      <c r="P549" s="4"/>
      <c r="Q549" s="4"/>
      <c r="R549" s="4"/>
      <c r="S549" s="4"/>
      <c r="T549" s="4"/>
      <c r="U549" s="4"/>
      <c r="V549" s="4"/>
      <c r="W549" s="4"/>
      <c r="X549" s="4"/>
      <c r="Y549" s="4"/>
      <c r="Z549" s="4"/>
    </row>
    <row r="550" spans="1:26">
      <c r="A550" s="10"/>
      <c r="B550" s="10"/>
      <c r="C550" s="4"/>
      <c r="D550" s="10"/>
      <c r="E550" s="10"/>
      <c r="F550" s="4"/>
      <c r="G550" s="4"/>
      <c r="H550" s="4"/>
      <c r="I550" s="4"/>
      <c r="J550" s="4"/>
      <c r="K550" s="4"/>
      <c r="L550" s="4"/>
      <c r="M550" s="4"/>
      <c r="N550" s="4"/>
      <c r="O550" s="4"/>
      <c r="P550" s="4"/>
      <c r="Q550" s="4"/>
      <c r="R550" s="4"/>
      <c r="S550" s="4"/>
      <c r="T550" s="4"/>
      <c r="U550" s="4"/>
      <c r="V550" s="4"/>
      <c r="W550" s="4"/>
      <c r="X550" s="4"/>
      <c r="Y550" s="4"/>
      <c r="Z550" s="4"/>
    </row>
    <row r="551" spans="1:26">
      <c r="A551" s="10"/>
      <c r="B551" s="10"/>
      <c r="C551" s="4"/>
      <c r="D551" s="10"/>
      <c r="E551" s="10"/>
      <c r="F551" s="4"/>
      <c r="G551" s="4"/>
      <c r="H551" s="4"/>
      <c r="I551" s="4"/>
      <c r="J551" s="4"/>
      <c r="K551" s="4"/>
      <c r="L551" s="4"/>
      <c r="M551" s="4"/>
      <c r="N551" s="4"/>
      <c r="O551" s="4"/>
      <c r="P551" s="4"/>
      <c r="Q551" s="4"/>
      <c r="R551" s="4"/>
      <c r="S551" s="4"/>
      <c r="T551" s="4"/>
      <c r="U551" s="4"/>
      <c r="V551" s="4"/>
      <c r="W551" s="4"/>
      <c r="X551" s="4"/>
      <c r="Y551" s="4"/>
      <c r="Z551" s="4"/>
    </row>
    <row r="552" spans="1:26">
      <c r="A552" s="10"/>
      <c r="B552" s="10"/>
      <c r="C552" s="4"/>
      <c r="D552" s="10"/>
      <c r="E552" s="10"/>
      <c r="F552" s="4"/>
      <c r="G552" s="4"/>
      <c r="H552" s="4"/>
      <c r="I552" s="4"/>
      <c r="J552" s="4"/>
      <c r="K552" s="4"/>
      <c r="L552" s="4"/>
      <c r="M552" s="4"/>
      <c r="N552" s="4"/>
      <c r="O552" s="4"/>
      <c r="P552" s="4"/>
      <c r="Q552" s="4"/>
      <c r="R552" s="4"/>
      <c r="S552" s="4"/>
      <c r="T552" s="4"/>
      <c r="U552" s="4"/>
      <c r="V552" s="4"/>
      <c r="W552" s="4"/>
      <c r="X552" s="4"/>
      <c r="Y552" s="4"/>
      <c r="Z552" s="4"/>
    </row>
    <row r="553" spans="1:26">
      <c r="A553" s="10"/>
      <c r="B553" s="10"/>
      <c r="C553" s="4"/>
      <c r="D553" s="10"/>
      <c r="E553" s="10"/>
      <c r="F553" s="4"/>
      <c r="G553" s="4"/>
      <c r="H553" s="4"/>
      <c r="I553" s="4"/>
      <c r="J553" s="4"/>
      <c r="K553" s="4"/>
      <c r="L553" s="4"/>
      <c r="M553" s="4"/>
      <c r="N553" s="4"/>
      <c r="O553" s="4"/>
      <c r="P553" s="4"/>
      <c r="Q553" s="4"/>
      <c r="R553" s="4"/>
      <c r="S553" s="4"/>
      <c r="T553" s="4"/>
      <c r="U553" s="4"/>
      <c r="V553" s="4"/>
      <c r="W553" s="4"/>
      <c r="X553" s="4"/>
      <c r="Y553" s="4"/>
      <c r="Z553" s="4"/>
    </row>
    <row r="554" spans="1:26">
      <c r="A554" s="10"/>
      <c r="B554" s="10"/>
      <c r="C554" s="4"/>
      <c r="D554" s="10"/>
      <c r="E554" s="10"/>
      <c r="F554" s="4"/>
      <c r="G554" s="4"/>
      <c r="H554" s="4"/>
      <c r="I554" s="4"/>
      <c r="J554" s="4"/>
      <c r="K554" s="4"/>
      <c r="L554" s="4"/>
      <c r="M554" s="4"/>
      <c r="N554" s="4"/>
      <c r="O554" s="4"/>
      <c r="P554" s="4"/>
      <c r="Q554" s="4"/>
      <c r="R554" s="4"/>
      <c r="S554" s="4"/>
      <c r="T554" s="4"/>
      <c r="U554" s="4"/>
      <c r="V554" s="4"/>
      <c r="W554" s="4"/>
      <c r="X554" s="4"/>
      <c r="Y554" s="4"/>
      <c r="Z554" s="4"/>
    </row>
    <row r="555" spans="1:26">
      <c r="A555" s="10"/>
      <c r="B555" s="10"/>
      <c r="C555" s="4"/>
      <c r="D555" s="10"/>
      <c r="E555" s="10"/>
      <c r="F555" s="4"/>
      <c r="G555" s="4"/>
      <c r="H555" s="4"/>
      <c r="I555" s="4"/>
      <c r="J555" s="4"/>
      <c r="K555" s="4"/>
      <c r="L555" s="4"/>
      <c r="M555" s="4"/>
      <c r="N555" s="4"/>
      <c r="O555" s="4"/>
      <c r="P555" s="4"/>
      <c r="Q555" s="4"/>
      <c r="R555" s="4"/>
      <c r="S555" s="4"/>
      <c r="T555" s="4"/>
      <c r="U555" s="4"/>
      <c r="V555" s="4"/>
      <c r="W555" s="4"/>
      <c r="X555" s="4"/>
      <c r="Y555" s="4"/>
      <c r="Z555" s="4"/>
    </row>
    <row r="556" spans="1:26">
      <c r="A556" s="10"/>
      <c r="B556" s="10"/>
      <c r="C556" s="4"/>
      <c r="D556" s="10"/>
      <c r="E556" s="10"/>
      <c r="F556" s="4"/>
      <c r="G556" s="4"/>
      <c r="H556" s="4"/>
      <c r="I556" s="4"/>
      <c r="J556" s="4"/>
      <c r="K556" s="4"/>
      <c r="L556" s="4"/>
      <c r="M556" s="4"/>
      <c r="N556" s="4"/>
      <c r="O556" s="4"/>
      <c r="P556" s="4"/>
      <c r="Q556" s="4"/>
      <c r="R556" s="4"/>
      <c r="S556" s="4"/>
      <c r="T556" s="4"/>
      <c r="U556" s="4"/>
      <c r="V556" s="4"/>
      <c r="W556" s="4"/>
      <c r="X556" s="4"/>
      <c r="Y556" s="4"/>
      <c r="Z556" s="4"/>
    </row>
    <row r="557" spans="1:26">
      <c r="A557" s="10"/>
      <c r="B557" s="10"/>
      <c r="C557" s="4"/>
      <c r="D557" s="10"/>
      <c r="E557" s="10"/>
      <c r="F557" s="4"/>
      <c r="G557" s="4"/>
      <c r="H557" s="4"/>
      <c r="I557" s="4"/>
      <c r="J557" s="4"/>
      <c r="K557" s="4"/>
      <c r="L557" s="4"/>
      <c r="M557" s="4"/>
      <c r="N557" s="4"/>
      <c r="O557" s="4"/>
      <c r="P557" s="4"/>
      <c r="Q557" s="4"/>
      <c r="R557" s="4"/>
      <c r="S557" s="4"/>
      <c r="T557" s="4"/>
      <c r="U557" s="4"/>
      <c r="V557" s="4"/>
      <c r="W557" s="4"/>
      <c r="X557" s="4"/>
      <c r="Y557" s="4"/>
      <c r="Z557" s="4"/>
    </row>
    <row r="558" spans="1:26">
      <c r="A558" s="10"/>
      <c r="B558" s="10"/>
      <c r="C558" s="4"/>
      <c r="D558" s="10"/>
      <c r="E558" s="10"/>
      <c r="F558" s="4"/>
      <c r="G558" s="4"/>
      <c r="H558" s="4"/>
      <c r="I558" s="4"/>
      <c r="J558" s="4"/>
      <c r="K558" s="4"/>
      <c r="L558" s="4"/>
      <c r="M558" s="4"/>
      <c r="N558" s="4"/>
      <c r="O558" s="4"/>
      <c r="P558" s="4"/>
      <c r="Q558" s="4"/>
      <c r="R558" s="4"/>
      <c r="S558" s="4"/>
      <c r="T558" s="4"/>
      <c r="U558" s="4"/>
      <c r="V558" s="4"/>
      <c r="W558" s="4"/>
      <c r="X558" s="4"/>
      <c r="Y558" s="4"/>
      <c r="Z558" s="4"/>
    </row>
    <row r="559" spans="1:26">
      <c r="A559" s="10"/>
      <c r="B559" s="10"/>
      <c r="C559" s="4"/>
      <c r="D559" s="10"/>
      <c r="E559" s="10"/>
      <c r="F559" s="4"/>
      <c r="G559" s="4"/>
      <c r="H559" s="4"/>
      <c r="I559" s="4"/>
      <c r="J559" s="4"/>
      <c r="K559" s="4"/>
      <c r="L559" s="4"/>
      <c r="M559" s="4"/>
      <c r="N559" s="4"/>
      <c r="O559" s="4"/>
      <c r="P559" s="4"/>
      <c r="Q559" s="4"/>
      <c r="R559" s="4"/>
      <c r="S559" s="4"/>
      <c r="T559" s="4"/>
      <c r="U559" s="4"/>
      <c r="V559" s="4"/>
      <c r="W559" s="4"/>
      <c r="X559" s="4"/>
      <c r="Y559" s="4"/>
      <c r="Z559" s="4"/>
    </row>
    <row r="560" spans="1:26">
      <c r="A560" s="10"/>
      <c r="B560" s="10"/>
      <c r="C560" s="4"/>
      <c r="D560" s="10"/>
      <c r="E560" s="10"/>
      <c r="F560" s="4"/>
      <c r="G560" s="4"/>
      <c r="H560" s="4"/>
      <c r="I560" s="4"/>
      <c r="J560" s="4"/>
      <c r="K560" s="4"/>
      <c r="L560" s="4"/>
      <c r="M560" s="4"/>
      <c r="N560" s="4"/>
      <c r="O560" s="4"/>
      <c r="P560" s="4"/>
      <c r="Q560" s="4"/>
      <c r="R560" s="4"/>
      <c r="S560" s="4"/>
      <c r="T560" s="4"/>
      <c r="U560" s="4"/>
      <c r="V560" s="4"/>
      <c r="W560" s="4"/>
      <c r="X560" s="4"/>
      <c r="Y560" s="4"/>
      <c r="Z560" s="4"/>
    </row>
    <row r="561" spans="1:26">
      <c r="A561" s="10"/>
      <c r="B561" s="10"/>
      <c r="C561" s="4"/>
      <c r="D561" s="10"/>
      <c r="E561" s="10"/>
      <c r="F561" s="4"/>
      <c r="G561" s="4"/>
      <c r="H561" s="4"/>
      <c r="I561" s="4"/>
      <c r="J561" s="4"/>
      <c r="K561" s="4"/>
      <c r="L561" s="4"/>
      <c r="M561" s="4"/>
      <c r="N561" s="4"/>
      <c r="O561" s="4"/>
      <c r="P561" s="4"/>
      <c r="Q561" s="4"/>
      <c r="R561" s="4"/>
      <c r="S561" s="4"/>
      <c r="T561" s="4"/>
      <c r="U561" s="4"/>
      <c r="V561" s="4"/>
      <c r="W561" s="4"/>
      <c r="X561" s="4"/>
      <c r="Y561" s="4"/>
      <c r="Z561" s="4"/>
    </row>
    <row r="562" spans="1:26">
      <c r="A562" s="10"/>
      <c r="B562" s="10"/>
      <c r="C562" s="4"/>
      <c r="D562" s="10"/>
      <c r="E562" s="10"/>
      <c r="F562" s="4"/>
      <c r="G562" s="4"/>
      <c r="H562" s="4"/>
      <c r="I562" s="4"/>
      <c r="J562" s="4"/>
      <c r="K562" s="4"/>
      <c r="L562" s="4"/>
      <c r="M562" s="4"/>
      <c r="N562" s="4"/>
      <c r="O562" s="4"/>
      <c r="P562" s="4"/>
      <c r="Q562" s="4"/>
      <c r="R562" s="4"/>
      <c r="S562" s="4"/>
      <c r="T562" s="4"/>
      <c r="U562" s="4"/>
      <c r="V562" s="4"/>
      <c r="W562" s="4"/>
      <c r="X562" s="4"/>
      <c r="Y562" s="4"/>
      <c r="Z562" s="4"/>
    </row>
    <row r="563" spans="1:26">
      <c r="A563" s="10"/>
      <c r="B563" s="10"/>
      <c r="C563" s="4"/>
      <c r="D563" s="10"/>
      <c r="E563" s="10"/>
      <c r="F563" s="4"/>
      <c r="G563" s="4"/>
      <c r="H563" s="4"/>
      <c r="I563" s="4"/>
      <c r="J563" s="4"/>
      <c r="K563" s="4"/>
      <c r="L563" s="4"/>
      <c r="M563" s="4"/>
      <c r="N563" s="4"/>
      <c r="O563" s="4"/>
      <c r="P563" s="4"/>
      <c r="Q563" s="4"/>
      <c r="R563" s="4"/>
      <c r="S563" s="4"/>
      <c r="T563" s="4"/>
      <c r="U563" s="4"/>
      <c r="V563" s="4"/>
      <c r="W563" s="4"/>
      <c r="X563" s="4"/>
      <c r="Y563" s="4"/>
      <c r="Z563" s="4"/>
    </row>
    <row r="564" spans="1:26">
      <c r="A564" s="10"/>
      <c r="B564" s="10"/>
      <c r="C564" s="4"/>
      <c r="D564" s="10"/>
      <c r="E564" s="10"/>
      <c r="F564" s="4"/>
      <c r="G564" s="4"/>
      <c r="H564" s="4"/>
      <c r="I564" s="4"/>
      <c r="J564" s="4"/>
      <c r="K564" s="4"/>
      <c r="L564" s="4"/>
      <c r="M564" s="4"/>
      <c r="N564" s="4"/>
      <c r="O564" s="4"/>
      <c r="P564" s="4"/>
      <c r="Q564" s="4"/>
      <c r="R564" s="4"/>
      <c r="S564" s="4"/>
      <c r="T564" s="4"/>
      <c r="U564" s="4"/>
      <c r="V564" s="4"/>
      <c r="W564" s="4"/>
      <c r="X564" s="4"/>
      <c r="Y564" s="4"/>
      <c r="Z564" s="4"/>
    </row>
    <row r="565" spans="1:26">
      <c r="A565" s="10"/>
      <c r="B565" s="10"/>
      <c r="C565" s="4"/>
      <c r="D565" s="10"/>
      <c r="E565" s="10"/>
      <c r="F565" s="4"/>
      <c r="G565" s="4"/>
      <c r="H565" s="4"/>
      <c r="I565" s="4"/>
      <c r="J565" s="4"/>
      <c r="K565" s="4"/>
      <c r="L565" s="4"/>
      <c r="M565" s="4"/>
      <c r="N565" s="4"/>
      <c r="O565" s="4"/>
      <c r="P565" s="4"/>
      <c r="Q565" s="4"/>
      <c r="R565" s="4"/>
      <c r="S565" s="4"/>
      <c r="T565" s="4"/>
      <c r="U565" s="4"/>
      <c r="V565" s="4"/>
      <c r="W565" s="4"/>
      <c r="X565" s="4"/>
      <c r="Y565" s="4"/>
      <c r="Z565" s="4"/>
    </row>
    <row r="566" spans="1:26">
      <c r="A566" s="10"/>
      <c r="B566" s="10"/>
      <c r="C566" s="4"/>
      <c r="D566" s="10"/>
      <c r="E566" s="10"/>
      <c r="F566" s="4"/>
      <c r="G566" s="4"/>
      <c r="H566" s="4"/>
      <c r="I566" s="4"/>
      <c r="J566" s="4"/>
      <c r="K566" s="4"/>
      <c r="L566" s="4"/>
      <c r="M566" s="4"/>
      <c r="N566" s="4"/>
      <c r="O566" s="4"/>
      <c r="P566" s="4"/>
      <c r="Q566" s="4"/>
      <c r="R566" s="4"/>
      <c r="S566" s="4"/>
      <c r="T566" s="4"/>
      <c r="U566" s="4"/>
      <c r="V566" s="4"/>
      <c r="W566" s="4"/>
      <c r="X566" s="4"/>
      <c r="Y566" s="4"/>
      <c r="Z566" s="4"/>
    </row>
    <row r="567" spans="1:26">
      <c r="A567" s="10"/>
      <c r="B567" s="10"/>
      <c r="C567" s="4"/>
      <c r="D567" s="10"/>
      <c r="E567" s="10"/>
      <c r="F567" s="4"/>
      <c r="G567" s="4"/>
      <c r="H567" s="4"/>
      <c r="I567" s="4"/>
      <c r="J567" s="4"/>
      <c r="K567" s="4"/>
      <c r="L567" s="4"/>
      <c r="M567" s="4"/>
      <c r="N567" s="4"/>
      <c r="O567" s="4"/>
      <c r="P567" s="4"/>
      <c r="Q567" s="4"/>
      <c r="R567" s="4"/>
      <c r="S567" s="4"/>
      <c r="T567" s="4"/>
      <c r="U567" s="4"/>
      <c r="V567" s="4"/>
      <c r="W567" s="4"/>
      <c r="X567" s="4"/>
      <c r="Y567" s="4"/>
      <c r="Z567" s="4"/>
    </row>
    <row r="568" spans="1:26">
      <c r="A568" s="10"/>
      <c r="B568" s="10"/>
      <c r="C568" s="4"/>
      <c r="D568" s="10"/>
      <c r="E568" s="10"/>
      <c r="F568" s="4"/>
      <c r="G568" s="4"/>
      <c r="H568" s="4"/>
      <c r="I568" s="4"/>
      <c r="J568" s="4"/>
      <c r="K568" s="4"/>
      <c r="L568" s="4"/>
      <c r="M568" s="4"/>
      <c r="N568" s="4"/>
      <c r="O568" s="4"/>
      <c r="P568" s="4"/>
      <c r="Q568" s="4"/>
      <c r="R568" s="4"/>
      <c r="S568" s="4"/>
      <c r="T568" s="4"/>
      <c r="U568" s="4"/>
      <c r="V568" s="4"/>
      <c r="W568" s="4"/>
      <c r="X568" s="4"/>
      <c r="Y568" s="4"/>
      <c r="Z568" s="4"/>
    </row>
    <row r="569" spans="1:26">
      <c r="A569" s="10"/>
      <c r="B569" s="10"/>
      <c r="C569" s="4"/>
      <c r="D569" s="10"/>
      <c r="E569" s="10"/>
      <c r="F569" s="4"/>
      <c r="G569" s="4"/>
      <c r="H569" s="4"/>
      <c r="I569" s="4"/>
      <c r="J569" s="4"/>
      <c r="K569" s="4"/>
      <c r="L569" s="4"/>
      <c r="M569" s="4"/>
      <c r="N569" s="4"/>
      <c r="O569" s="4"/>
      <c r="P569" s="4"/>
      <c r="Q569" s="4"/>
      <c r="R569" s="4"/>
      <c r="S569" s="4"/>
      <c r="T569" s="4"/>
      <c r="U569" s="4"/>
      <c r="V569" s="4"/>
      <c r="W569" s="4"/>
      <c r="X569" s="4"/>
      <c r="Y569" s="4"/>
      <c r="Z569" s="4"/>
    </row>
    <row r="570" spans="1:26">
      <c r="A570" s="10"/>
      <c r="B570" s="10"/>
      <c r="C570" s="4"/>
      <c r="D570" s="10"/>
      <c r="E570" s="10"/>
      <c r="F570" s="4"/>
      <c r="G570" s="4"/>
      <c r="H570" s="4"/>
      <c r="I570" s="4"/>
      <c r="J570" s="4"/>
      <c r="K570" s="4"/>
      <c r="L570" s="4"/>
      <c r="M570" s="4"/>
      <c r="N570" s="4"/>
      <c r="O570" s="4"/>
      <c r="P570" s="4"/>
      <c r="Q570" s="4"/>
      <c r="R570" s="4"/>
      <c r="S570" s="4"/>
      <c r="T570" s="4"/>
      <c r="U570" s="4"/>
      <c r="V570" s="4"/>
      <c r="W570" s="4"/>
      <c r="X570" s="4"/>
      <c r="Y570" s="4"/>
      <c r="Z570" s="4"/>
    </row>
    <row r="571" spans="1:26">
      <c r="A571" s="10"/>
      <c r="B571" s="10"/>
      <c r="C571" s="4"/>
      <c r="D571" s="10"/>
      <c r="E571" s="10"/>
      <c r="F571" s="4"/>
      <c r="G571" s="4"/>
      <c r="H571" s="4"/>
      <c r="I571" s="4"/>
      <c r="J571" s="4"/>
      <c r="K571" s="4"/>
      <c r="L571" s="4"/>
      <c r="M571" s="4"/>
      <c r="N571" s="4"/>
      <c r="O571" s="4"/>
      <c r="P571" s="4"/>
      <c r="Q571" s="4"/>
      <c r="R571" s="4"/>
      <c r="S571" s="4"/>
      <c r="T571" s="4"/>
      <c r="U571" s="4"/>
      <c r="V571" s="4"/>
      <c r="W571" s="4"/>
      <c r="X571" s="4"/>
      <c r="Y571" s="4"/>
      <c r="Z571" s="4"/>
    </row>
    <row r="572" spans="1:26">
      <c r="A572" s="10"/>
      <c r="B572" s="10"/>
      <c r="C572" s="4"/>
      <c r="D572" s="10"/>
      <c r="E572" s="10"/>
      <c r="F572" s="4"/>
      <c r="G572" s="4"/>
      <c r="H572" s="4"/>
      <c r="I572" s="4"/>
      <c r="J572" s="4"/>
      <c r="K572" s="4"/>
      <c r="L572" s="4"/>
      <c r="M572" s="4"/>
      <c r="N572" s="4"/>
      <c r="O572" s="4"/>
      <c r="P572" s="4"/>
      <c r="Q572" s="4"/>
      <c r="R572" s="4"/>
      <c r="S572" s="4"/>
      <c r="T572" s="4"/>
      <c r="U572" s="4"/>
      <c r="V572" s="4"/>
      <c r="W572" s="4"/>
      <c r="X572" s="4"/>
      <c r="Y572" s="4"/>
      <c r="Z572" s="4"/>
    </row>
    <row r="573" spans="1:26">
      <c r="A573" s="10"/>
      <c r="B573" s="10"/>
      <c r="C573" s="4"/>
      <c r="D573" s="10"/>
      <c r="E573" s="10"/>
      <c r="F573" s="4"/>
      <c r="G573" s="4"/>
      <c r="H573" s="4"/>
      <c r="I573" s="4"/>
      <c r="J573" s="4"/>
      <c r="K573" s="4"/>
      <c r="L573" s="4"/>
      <c r="M573" s="4"/>
      <c r="N573" s="4"/>
      <c r="O573" s="4"/>
      <c r="P573" s="4"/>
      <c r="Q573" s="4"/>
      <c r="R573" s="4"/>
      <c r="S573" s="4"/>
      <c r="T573" s="4"/>
      <c r="U573" s="4"/>
      <c r="V573" s="4"/>
      <c r="W573" s="4"/>
      <c r="X573" s="4"/>
      <c r="Y573" s="4"/>
      <c r="Z573" s="4"/>
    </row>
    <row r="574" spans="1:26">
      <c r="A574" s="10"/>
      <c r="B574" s="10"/>
      <c r="C574" s="4"/>
      <c r="D574" s="10"/>
      <c r="E574" s="10"/>
      <c r="F574" s="4"/>
      <c r="G574" s="4"/>
      <c r="H574" s="4"/>
      <c r="I574" s="4"/>
      <c r="J574" s="4"/>
      <c r="K574" s="4"/>
      <c r="L574" s="4"/>
      <c r="M574" s="4"/>
      <c r="N574" s="4"/>
      <c r="O574" s="4"/>
      <c r="P574" s="4"/>
      <c r="Q574" s="4"/>
      <c r="R574" s="4"/>
      <c r="S574" s="4"/>
      <c r="T574" s="4"/>
      <c r="U574" s="4"/>
      <c r="V574" s="4"/>
      <c r="W574" s="4"/>
      <c r="X574" s="4"/>
      <c r="Y574" s="4"/>
      <c r="Z574" s="4"/>
    </row>
    <row r="575" spans="1:26">
      <c r="A575" s="10"/>
      <c r="B575" s="10"/>
      <c r="C575" s="4"/>
      <c r="D575" s="10"/>
      <c r="E575" s="10"/>
      <c r="F575" s="4"/>
      <c r="G575" s="4"/>
      <c r="H575" s="4"/>
      <c r="I575" s="4"/>
      <c r="J575" s="4"/>
      <c r="K575" s="4"/>
      <c r="L575" s="4"/>
      <c r="M575" s="4"/>
      <c r="N575" s="4"/>
      <c r="O575" s="4"/>
      <c r="P575" s="4"/>
      <c r="Q575" s="4"/>
      <c r="R575" s="4"/>
      <c r="S575" s="4"/>
      <c r="T575" s="4"/>
      <c r="U575" s="4"/>
      <c r="V575" s="4"/>
      <c r="W575" s="4"/>
      <c r="X575" s="4"/>
      <c r="Y575" s="4"/>
      <c r="Z575" s="4"/>
    </row>
    <row r="576" spans="1:26">
      <c r="A576" s="10"/>
      <c r="B576" s="10"/>
      <c r="C576" s="4"/>
      <c r="D576" s="10"/>
      <c r="E576" s="10"/>
      <c r="F576" s="4"/>
      <c r="G576" s="4"/>
      <c r="H576" s="4"/>
      <c r="I576" s="4"/>
      <c r="J576" s="4"/>
      <c r="K576" s="4"/>
      <c r="L576" s="4"/>
      <c r="M576" s="4"/>
      <c r="N576" s="4"/>
      <c r="O576" s="4"/>
      <c r="P576" s="4"/>
      <c r="Q576" s="4"/>
      <c r="R576" s="4"/>
      <c r="S576" s="4"/>
      <c r="T576" s="4"/>
      <c r="U576" s="4"/>
      <c r="V576" s="4"/>
      <c r="W576" s="4"/>
      <c r="X576" s="4"/>
      <c r="Y576" s="4"/>
      <c r="Z576" s="4"/>
    </row>
    <row r="577" spans="1:26">
      <c r="A577" s="10"/>
      <c r="B577" s="10"/>
      <c r="C577" s="4"/>
      <c r="D577" s="10"/>
      <c r="E577" s="10"/>
      <c r="F577" s="4"/>
      <c r="G577" s="4"/>
      <c r="H577" s="4"/>
      <c r="I577" s="4"/>
      <c r="J577" s="4"/>
      <c r="K577" s="4"/>
      <c r="L577" s="4"/>
      <c r="M577" s="4"/>
      <c r="N577" s="4"/>
      <c r="O577" s="4"/>
      <c r="P577" s="4"/>
      <c r="Q577" s="4"/>
      <c r="R577" s="4"/>
      <c r="S577" s="4"/>
      <c r="T577" s="4"/>
      <c r="U577" s="4"/>
      <c r="V577" s="4"/>
      <c r="W577" s="4"/>
      <c r="X577" s="4"/>
      <c r="Y577" s="4"/>
      <c r="Z577" s="4"/>
    </row>
    <row r="578" spans="1:26">
      <c r="A578" s="10"/>
      <c r="B578" s="10"/>
      <c r="C578" s="4"/>
      <c r="D578" s="10"/>
      <c r="E578" s="10"/>
      <c r="F578" s="4"/>
      <c r="G578" s="4"/>
      <c r="H578" s="4"/>
      <c r="I578" s="4"/>
      <c r="J578" s="4"/>
      <c r="K578" s="4"/>
      <c r="L578" s="4"/>
      <c r="M578" s="4"/>
      <c r="N578" s="4"/>
      <c r="O578" s="4"/>
      <c r="P578" s="4"/>
      <c r="Q578" s="4"/>
      <c r="R578" s="4"/>
      <c r="S578" s="4"/>
      <c r="T578" s="4"/>
      <c r="U578" s="4"/>
      <c r="V578" s="4"/>
      <c r="W578" s="4"/>
      <c r="X578" s="4"/>
      <c r="Y578" s="4"/>
      <c r="Z578" s="4"/>
    </row>
    <row r="579" spans="1:26">
      <c r="A579" s="10"/>
      <c r="B579" s="10"/>
      <c r="C579" s="4"/>
      <c r="D579" s="10"/>
      <c r="E579" s="10"/>
      <c r="F579" s="4"/>
      <c r="G579" s="4"/>
      <c r="H579" s="4"/>
      <c r="I579" s="4"/>
      <c r="J579" s="4"/>
      <c r="K579" s="4"/>
      <c r="L579" s="4"/>
      <c r="M579" s="4"/>
      <c r="N579" s="4"/>
      <c r="O579" s="4"/>
      <c r="P579" s="4"/>
      <c r="Q579" s="4"/>
      <c r="R579" s="4"/>
      <c r="S579" s="4"/>
      <c r="T579" s="4"/>
      <c r="U579" s="4"/>
      <c r="V579" s="4"/>
      <c r="W579" s="4"/>
      <c r="X579" s="4"/>
      <c r="Y579" s="4"/>
      <c r="Z579" s="4"/>
    </row>
    <row r="580" spans="1:26">
      <c r="A580" s="10"/>
      <c r="B580" s="10"/>
      <c r="C580" s="4"/>
      <c r="D580" s="10"/>
      <c r="E580" s="10"/>
      <c r="F580" s="4"/>
      <c r="G580" s="4"/>
      <c r="H580" s="4"/>
      <c r="I580" s="4"/>
      <c r="J580" s="4"/>
      <c r="K580" s="4"/>
      <c r="L580" s="4"/>
      <c r="M580" s="4"/>
      <c r="N580" s="4"/>
      <c r="O580" s="4"/>
      <c r="P580" s="4"/>
      <c r="Q580" s="4"/>
      <c r="R580" s="4"/>
      <c r="S580" s="4"/>
      <c r="T580" s="4"/>
      <c r="U580" s="4"/>
      <c r="V580" s="4"/>
      <c r="W580" s="4"/>
      <c r="X580" s="4"/>
      <c r="Y580" s="4"/>
      <c r="Z580" s="4"/>
    </row>
    <row r="581" spans="1:26">
      <c r="A581" s="10"/>
      <c r="B581" s="10"/>
      <c r="C581" s="4"/>
      <c r="D581" s="10"/>
      <c r="E581" s="10"/>
      <c r="F581" s="4"/>
      <c r="G581" s="4"/>
      <c r="H581" s="4"/>
      <c r="I581" s="4"/>
      <c r="J581" s="4"/>
      <c r="K581" s="4"/>
      <c r="L581" s="4"/>
      <c r="M581" s="4"/>
      <c r="N581" s="4"/>
      <c r="O581" s="4"/>
      <c r="P581" s="4"/>
      <c r="Q581" s="4"/>
      <c r="R581" s="4"/>
      <c r="S581" s="4"/>
      <c r="T581" s="4"/>
      <c r="U581" s="4"/>
      <c r="V581" s="4"/>
      <c r="W581" s="4"/>
      <c r="X581" s="4"/>
      <c r="Y581" s="4"/>
      <c r="Z581" s="4"/>
    </row>
    <row r="582" spans="1:26">
      <c r="A582" s="10"/>
      <c r="B582" s="10"/>
      <c r="C582" s="4"/>
      <c r="D582" s="10"/>
      <c r="E582" s="10"/>
      <c r="F582" s="4"/>
      <c r="G582" s="4"/>
      <c r="H582" s="4"/>
      <c r="I582" s="4"/>
      <c r="J582" s="4"/>
      <c r="K582" s="4"/>
      <c r="L582" s="4"/>
      <c r="M582" s="4"/>
      <c r="N582" s="4"/>
      <c r="O582" s="4"/>
      <c r="P582" s="4"/>
      <c r="Q582" s="4"/>
      <c r="R582" s="4"/>
      <c r="S582" s="4"/>
      <c r="T582" s="4"/>
      <c r="U582" s="4"/>
      <c r="V582" s="4"/>
      <c r="W582" s="4"/>
      <c r="X582" s="4"/>
      <c r="Y582" s="4"/>
      <c r="Z582" s="4"/>
    </row>
    <row r="583" spans="1:26">
      <c r="A583" s="10"/>
      <c r="B583" s="10"/>
      <c r="C583" s="4"/>
      <c r="D583" s="10"/>
      <c r="E583" s="10"/>
      <c r="F583" s="4"/>
      <c r="G583" s="4"/>
      <c r="H583" s="4"/>
      <c r="I583" s="4"/>
      <c r="J583" s="4"/>
      <c r="K583" s="4"/>
      <c r="L583" s="4"/>
      <c r="M583" s="4"/>
      <c r="N583" s="4"/>
      <c r="O583" s="4"/>
      <c r="P583" s="4"/>
      <c r="Q583" s="4"/>
      <c r="R583" s="4"/>
      <c r="S583" s="4"/>
      <c r="T583" s="4"/>
      <c r="U583" s="4"/>
      <c r="V583" s="4"/>
      <c r="W583" s="4"/>
      <c r="X583" s="4"/>
      <c r="Y583" s="4"/>
      <c r="Z583" s="4"/>
    </row>
    <row r="584" spans="1:26">
      <c r="A584" s="10"/>
      <c r="B584" s="10"/>
      <c r="C584" s="4"/>
      <c r="D584" s="10"/>
      <c r="E584" s="10"/>
      <c r="F584" s="4"/>
      <c r="G584" s="4"/>
      <c r="H584" s="4"/>
      <c r="I584" s="4"/>
      <c r="J584" s="4"/>
      <c r="K584" s="4"/>
      <c r="L584" s="4"/>
      <c r="M584" s="4"/>
      <c r="N584" s="4"/>
      <c r="O584" s="4"/>
      <c r="P584" s="4"/>
      <c r="Q584" s="4"/>
      <c r="R584" s="4"/>
      <c r="S584" s="4"/>
      <c r="T584" s="4"/>
      <c r="U584" s="4"/>
      <c r="V584" s="4"/>
      <c r="W584" s="4"/>
      <c r="X584" s="4"/>
      <c r="Y584" s="4"/>
      <c r="Z584" s="4"/>
    </row>
    <row r="585" spans="1:26">
      <c r="A585" s="10"/>
      <c r="B585" s="10"/>
      <c r="C585" s="4"/>
      <c r="D585" s="10"/>
      <c r="E585" s="10"/>
      <c r="F585" s="4"/>
      <c r="G585" s="4"/>
      <c r="H585" s="4"/>
      <c r="I585" s="4"/>
      <c r="J585" s="4"/>
      <c r="K585" s="4"/>
      <c r="L585" s="4"/>
      <c r="M585" s="4"/>
      <c r="N585" s="4"/>
      <c r="O585" s="4"/>
      <c r="P585" s="4"/>
      <c r="Q585" s="4"/>
      <c r="R585" s="4"/>
      <c r="S585" s="4"/>
      <c r="T585" s="4"/>
      <c r="U585" s="4"/>
      <c r="V585" s="4"/>
      <c r="W585" s="4"/>
      <c r="X585" s="4"/>
      <c r="Y585" s="4"/>
      <c r="Z585" s="4"/>
    </row>
    <row r="586" spans="1:26">
      <c r="A586" s="10"/>
      <c r="B586" s="10"/>
      <c r="C586" s="4"/>
      <c r="D586" s="10"/>
      <c r="E586" s="10"/>
      <c r="F586" s="4"/>
      <c r="G586" s="4"/>
      <c r="H586" s="4"/>
      <c r="I586" s="4"/>
      <c r="J586" s="4"/>
      <c r="K586" s="4"/>
      <c r="L586" s="4"/>
      <c r="M586" s="4"/>
      <c r="N586" s="4"/>
      <c r="O586" s="4"/>
      <c r="P586" s="4"/>
      <c r="Q586" s="4"/>
      <c r="R586" s="4"/>
      <c r="S586" s="4"/>
      <c r="T586" s="4"/>
      <c r="U586" s="4"/>
      <c r="V586" s="4"/>
      <c r="W586" s="4"/>
      <c r="X586" s="4"/>
      <c r="Y586" s="4"/>
      <c r="Z586" s="4"/>
    </row>
    <row r="587" spans="1:26">
      <c r="A587" s="10"/>
      <c r="B587" s="10"/>
      <c r="C587" s="4"/>
      <c r="D587" s="10"/>
      <c r="E587" s="10"/>
      <c r="F587" s="4"/>
      <c r="G587" s="4"/>
      <c r="H587" s="4"/>
      <c r="I587" s="4"/>
      <c r="J587" s="4"/>
      <c r="K587" s="4"/>
      <c r="L587" s="4"/>
      <c r="M587" s="4"/>
      <c r="N587" s="4"/>
      <c r="O587" s="4"/>
      <c r="P587" s="4"/>
      <c r="Q587" s="4"/>
      <c r="R587" s="4"/>
      <c r="S587" s="4"/>
      <c r="T587" s="4"/>
      <c r="U587" s="4"/>
      <c r="V587" s="4"/>
      <c r="W587" s="4"/>
      <c r="X587" s="4"/>
      <c r="Y587" s="4"/>
      <c r="Z587" s="4"/>
    </row>
    <row r="588" spans="1:26">
      <c r="A588" s="10"/>
      <c r="B588" s="10"/>
      <c r="C588" s="4"/>
      <c r="D588" s="10"/>
      <c r="E588" s="10"/>
      <c r="F588" s="4"/>
      <c r="G588" s="4"/>
      <c r="H588" s="4"/>
      <c r="I588" s="4"/>
      <c r="J588" s="4"/>
      <c r="K588" s="4"/>
      <c r="L588" s="4"/>
      <c r="M588" s="4"/>
      <c r="N588" s="4"/>
      <c r="O588" s="4"/>
      <c r="P588" s="4"/>
      <c r="Q588" s="4"/>
      <c r="R588" s="4"/>
      <c r="S588" s="4"/>
      <c r="T588" s="4"/>
      <c r="U588" s="4"/>
      <c r="V588" s="4"/>
      <c r="W588" s="4"/>
      <c r="X588" s="4"/>
      <c r="Y588" s="4"/>
      <c r="Z588" s="4"/>
    </row>
    <row r="589" spans="1:26">
      <c r="A589" s="10"/>
      <c r="B589" s="10"/>
      <c r="C589" s="4"/>
      <c r="D589" s="10"/>
      <c r="E589" s="10"/>
      <c r="F589" s="4"/>
      <c r="G589" s="4"/>
      <c r="H589" s="4"/>
      <c r="I589" s="4"/>
      <c r="J589" s="4"/>
      <c r="K589" s="4"/>
      <c r="L589" s="4"/>
      <c r="M589" s="4"/>
      <c r="N589" s="4"/>
      <c r="O589" s="4"/>
      <c r="P589" s="4"/>
      <c r="Q589" s="4"/>
      <c r="R589" s="4"/>
      <c r="S589" s="4"/>
      <c r="T589" s="4"/>
      <c r="U589" s="4"/>
      <c r="V589" s="4"/>
      <c r="W589" s="4"/>
      <c r="X589" s="4"/>
      <c r="Y589" s="4"/>
      <c r="Z589" s="4"/>
    </row>
    <row r="590" spans="1:26">
      <c r="A590" s="10"/>
      <c r="B590" s="10"/>
      <c r="C590" s="4"/>
      <c r="D590" s="10"/>
      <c r="E590" s="10"/>
      <c r="F590" s="4"/>
      <c r="G590" s="4"/>
      <c r="H590" s="4"/>
      <c r="I590" s="4"/>
      <c r="J590" s="4"/>
      <c r="K590" s="4"/>
      <c r="L590" s="4"/>
      <c r="M590" s="4"/>
      <c r="N590" s="4"/>
      <c r="O590" s="4"/>
      <c r="P590" s="4"/>
      <c r="Q590" s="4"/>
      <c r="R590" s="4"/>
      <c r="S590" s="4"/>
      <c r="T590" s="4"/>
      <c r="U590" s="4"/>
      <c r="V590" s="4"/>
      <c r="W590" s="4"/>
      <c r="X590" s="4"/>
      <c r="Y590" s="4"/>
      <c r="Z590" s="4"/>
    </row>
    <row r="591" spans="1:26">
      <c r="A591" s="10"/>
      <c r="B591" s="10"/>
      <c r="C591" s="4"/>
      <c r="D591" s="10"/>
      <c r="E591" s="10"/>
      <c r="F591" s="4"/>
      <c r="G591" s="4"/>
      <c r="H591" s="4"/>
      <c r="I591" s="4"/>
      <c r="J591" s="4"/>
      <c r="K591" s="4"/>
      <c r="L591" s="4"/>
      <c r="M591" s="4"/>
      <c r="N591" s="4"/>
      <c r="O591" s="4"/>
      <c r="P591" s="4"/>
      <c r="Q591" s="4"/>
      <c r="R591" s="4"/>
      <c r="S591" s="4"/>
      <c r="T591" s="4"/>
      <c r="U591" s="4"/>
      <c r="V591" s="4"/>
      <c r="W591" s="4"/>
      <c r="X591" s="4"/>
      <c r="Y591" s="4"/>
      <c r="Z591" s="4"/>
    </row>
    <row r="592" spans="1:26">
      <c r="A592" s="10"/>
      <c r="B592" s="10"/>
      <c r="C592" s="4"/>
      <c r="D592" s="10"/>
      <c r="E592" s="10"/>
      <c r="F592" s="4"/>
      <c r="G592" s="4"/>
      <c r="H592" s="4"/>
      <c r="I592" s="4"/>
      <c r="J592" s="4"/>
      <c r="K592" s="4"/>
      <c r="L592" s="4"/>
      <c r="M592" s="4"/>
      <c r="N592" s="4"/>
      <c r="O592" s="4"/>
      <c r="P592" s="4"/>
      <c r="Q592" s="4"/>
      <c r="R592" s="4"/>
      <c r="S592" s="4"/>
      <c r="T592" s="4"/>
      <c r="U592" s="4"/>
      <c r="V592" s="4"/>
      <c r="W592" s="4"/>
      <c r="X592" s="4"/>
      <c r="Y592" s="4"/>
      <c r="Z592" s="4"/>
    </row>
    <row r="593" spans="1:26">
      <c r="A593" s="10"/>
      <c r="B593" s="10"/>
      <c r="C593" s="4"/>
      <c r="D593" s="10"/>
      <c r="E593" s="10"/>
      <c r="F593" s="4"/>
      <c r="G593" s="4"/>
      <c r="H593" s="4"/>
      <c r="I593" s="4"/>
      <c r="J593" s="4"/>
      <c r="K593" s="4"/>
      <c r="L593" s="4"/>
      <c r="M593" s="4"/>
      <c r="N593" s="4"/>
      <c r="O593" s="4"/>
      <c r="P593" s="4"/>
      <c r="Q593" s="4"/>
      <c r="R593" s="4"/>
      <c r="S593" s="4"/>
      <c r="T593" s="4"/>
      <c r="U593" s="4"/>
      <c r="V593" s="4"/>
      <c r="W593" s="4"/>
      <c r="X593" s="4"/>
      <c r="Y593" s="4"/>
      <c r="Z593" s="4"/>
    </row>
    <row r="594" spans="1:26">
      <c r="A594" s="10"/>
      <c r="B594" s="10"/>
      <c r="C594" s="4"/>
      <c r="D594" s="10"/>
      <c r="E594" s="10"/>
      <c r="F594" s="4"/>
      <c r="G594" s="4"/>
      <c r="H594" s="4"/>
      <c r="I594" s="4"/>
      <c r="J594" s="4"/>
      <c r="K594" s="4"/>
      <c r="L594" s="4"/>
      <c r="M594" s="4"/>
      <c r="N594" s="4"/>
      <c r="O594" s="4"/>
      <c r="P594" s="4"/>
      <c r="Q594" s="4"/>
      <c r="R594" s="4"/>
      <c r="S594" s="4"/>
      <c r="T594" s="4"/>
      <c r="U594" s="4"/>
      <c r="V594" s="4"/>
      <c r="W594" s="4"/>
      <c r="X594" s="4"/>
      <c r="Y594" s="4"/>
      <c r="Z594" s="4"/>
    </row>
    <row r="595" spans="1:26">
      <c r="A595" s="10"/>
      <c r="B595" s="10"/>
      <c r="C595" s="4"/>
      <c r="D595" s="10"/>
      <c r="E595" s="10"/>
      <c r="F595" s="4"/>
      <c r="G595" s="4"/>
      <c r="H595" s="4"/>
      <c r="I595" s="4"/>
      <c r="J595" s="4"/>
      <c r="K595" s="4"/>
      <c r="L595" s="4"/>
      <c r="M595" s="4"/>
      <c r="N595" s="4"/>
      <c r="O595" s="4"/>
      <c r="P595" s="4"/>
      <c r="Q595" s="4"/>
      <c r="R595" s="4"/>
      <c r="S595" s="4"/>
      <c r="T595" s="4"/>
      <c r="U595" s="4"/>
      <c r="V595" s="4"/>
      <c r="W595" s="4"/>
      <c r="X595" s="4"/>
      <c r="Y595" s="4"/>
      <c r="Z595" s="4"/>
    </row>
    <row r="596" spans="1:26">
      <c r="A596" s="10"/>
      <c r="B596" s="10"/>
      <c r="C596" s="4"/>
      <c r="D596" s="10"/>
      <c r="E596" s="10"/>
      <c r="F596" s="4"/>
      <c r="G596" s="4"/>
      <c r="H596" s="4"/>
      <c r="I596" s="4"/>
      <c r="J596" s="4"/>
      <c r="K596" s="4"/>
      <c r="L596" s="4"/>
      <c r="M596" s="4"/>
      <c r="N596" s="4"/>
      <c r="O596" s="4"/>
      <c r="P596" s="4"/>
      <c r="Q596" s="4"/>
      <c r="R596" s="4"/>
      <c r="S596" s="4"/>
      <c r="T596" s="4"/>
      <c r="U596" s="4"/>
      <c r="V596" s="4"/>
      <c r="W596" s="4"/>
      <c r="X596" s="4"/>
      <c r="Y596" s="4"/>
      <c r="Z596" s="4"/>
    </row>
    <row r="597" spans="1:26">
      <c r="A597" s="10"/>
      <c r="B597" s="10"/>
      <c r="C597" s="4"/>
      <c r="D597" s="10"/>
      <c r="E597" s="10"/>
      <c r="F597" s="4"/>
      <c r="G597" s="4"/>
      <c r="H597" s="4"/>
      <c r="I597" s="4"/>
      <c r="J597" s="4"/>
      <c r="K597" s="4"/>
      <c r="L597" s="4"/>
      <c r="M597" s="4"/>
      <c r="N597" s="4"/>
      <c r="O597" s="4"/>
      <c r="P597" s="4"/>
      <c r="Q597" s="4"/>
      <c r="R597" s="4"/>
      <c r="S597" s="4"/>
      <c r="T597" s="4"/>
      <c r="U597" s="4"/>
      <c r="V597" s="4"/>
      <c r="W597" s="4"/>
      <c r="X597" s="4"/>
      <c r="Y597" s="4"/>
      <c r="Z597" s="4"/>
    </row>
    <row r="598" spans="1:26">
      <c r="A598" s="10"/>
      <c r="B598" s="10"/>
      <c r="C598" s="4"/>
      <c r="D598" s="10"/>
      <c r="E598" s="10"/>
      <c r="F598" s="4"/>
      <c r="G598" s="4"/>
      <c r="H598" s="4"/>
      <c r="I598" s="4"/>
      <c r="J598" s="4"/>
      <c r="K598" s="4"/>
      <c r="L598" s="4"/>
      <c r="M598" s="4"/>
      <c r="N598" s="4"/>
      <c r="O598" s="4"/>
      <c r="P598" s="4"/>
      <c r="Q598" s="4"/>
      <c r="R598" s="4"/>
      <c r="S598" s="4"/>
      <c r="T598" s="4"/>
      <c r="U598" s="4"/>
      <c r="V598" s="4"/>
      <c r="W598" s="4"/>
      <c r="X598" s="4"/>
      <c r="Y598" s="4"/>
      <c r="Z598" s="4"/>
    </row>
    <row r="599" spans="1:26">
      <c r="A599" s="10"/>
      <c r="B599" s="10"/>
      <c r="C599" s="4"/>
      <c r="D599" s="10"/>
      <c r="E599" s="10"/>
      <c r="F599" s="4"/>
      <c r="G599" s="4"/>
      <c r="H599" s="4"/>
      <c r="I599" s="4"/>
      <c r="J599" s="4"/>
      <c r="K599" s="4"/>
      <c r="L599" s="4"/>
      <c r="M599" s="4"/>
      <c r="N599" s="4"/>
      <c r="O599" s="4"/>
      <c r="P599" s="4"/>
      <c r="Q599" s="4"/>
      <c r="R599" s="4"/>
      <c r="S599" s="4"/>
      <c r="T599" s="4"/>
      <c r="U599" s="4"/>
      <c r="V599" s="4"/>
      <c r="W599" s="4"/>
      <c r="X599" s="4"/>
      <c r="Y599" s="4"/>
      <c r="Z599" s="4"/>
    </row>
    <row r="600" spans="1:26">
      <c r="A600" s="10"/>
      <c r="B600" s="10"/>
      <c r="C600" s="4"/>
      <c r="D600" s="10"/>
      <c r="E600" s="10"/>
      <c r="F600" s="4"/>
      <c r="G600" s="4"/>
      <c r="H600" s="4"/>
      <c r="I600" s="4"/>
      <c r="J600" s="4"/>
      <c r="K600" s="4"/>
      <c r="L600" s="4"/>
      <c r="M600" s="4"/>
      <c r="N600" s="4"/>
      <c r="O600" s="4"/>
      <c r="P600" s="4"/>
      <c r="Q600" s="4"/>
      <c r="R600" s="4"/>
      <c r="S600" s="4"/>
      <c r="T600" s="4"/>
      <c r="U600" s="4"/>
      <c r="V600" s="4"/>
      <c r="W600" s="4"/>
      <c r="X600" s="4"/>
      <c r="Y600" s="4"/>
      <c r="Z600" s="4"/>
    </row>
    <row r="601" spans="1:26">
      <c r="A601" s="10"/>
      <c r="B601" s="10"/>
      <c r="C601" s="4"/>
      <c r="D601" s="10"/>
      <c r="E601" s="10"/>
      <c r="F601" s="4"/>
      <c r="G601" s="4"/>
      <c r="H601" s="4"/>
      <c r="I601" s="4"/>
      <c r="J601" s="4"/>
      <c r="K601" s="4"/>
      <c r="L601" s="4"/>
      <c r="M601" s="4"/>
      <c r="N601" s="4"/>
      <c r="O601" s="4"/>
      <c r="P601" s="4"/>
      <c r="Q601" s="4"/>
      <c r="R601" s="4"/>
      <c r="S601" s="4"/>
      <c r="T601" s="4"/>
      <c r="U601" s="4"/>
      <c r="V601" s="4"/>
      <c r="W601" s="4"/>
      <c r="X601" s="4"/>
      <c r="Y601" s="4"/>
      <c r="Z601" s="4"/>
    </row>
    <row r="602" spans="1:26">
      <c r="A602" s="10"/>
      <c r="B602" s="10"/>
      <c r="C602" s="4"/>
      <c r="D602" s="10"/>
      <c r="E602" s="10"/>
      <c r="F602" s="4"/>
      <c r="G602" s="4"/>
      <c r="H602" s="4"/>
      <c r="I602" s="4"/>
      <c r="J602" s="4"/>
      <c r="K602" s="4"/>
      <c r="L602" s="4"/>
      <c r="M602" s="4"/>
      <c r="N602" s="4"/>
      <c r="O602" s="4"/>
      <c r="P602" s="4"/>
      <c r="Q602" s="4"/>
      <c r="R602" s="4"/>
      <c r="S602" s="4"/>
      <c r="T602" s="4"/>
      <c r="U602" s="4"/>
      <c r="V602" s="4"/>
      <c r="W602" s="4"/>
      <c r="X602" s="4"/>
      <c r="Y602" s="4"/>
      <c r="Z602" s="4"/>
    </row>
    <row r="603" spans="1:26">
      <c r="A603" s="10"/>
      <c r="B603" s="10"/>
      <c r="C603" s="4"/>
      <c r="D603" s="10"/>
      <c r="E603" s="10"/>
      <c r="F603" s="4"/>
      <c r="G603" s="4"/>
      <c r="H603" s="4"/>
      <c r="I603" s="4"/>
      <c r="J603" s="4"/>
      <c r="K603" s="4"/>
      <c r="L603" s="4"/>
      <c r="M603" s="4"/>
      <c r="N603" s="4"/>
      <c r="O603" s="4"/>
      <c r="P603" s="4"/>
      <c r="Q603" s="4"/>
      <c r="R603" s="4"/>
      <c r="S603" s="4"/>
      <c r="T603" s="4"/>
      <c r="U603" s="4"/>
      <c r="V603" s="4"/>
      <c r="W603" s="4"/>
      <c r="X603" s="4"/>
      <c r="Y603" s="4"/>
      <c r="Z603" s="4"/>
    </row>
    <row r="604" spans="1:26">
      <c r="A604" s="10"/>
      <c r="B604" s="10"/>
      <c r="C604" s="4"/>
      <c r="D604" s="10"/>
      <c r="E604" s="10"/>
      <c r="F604" s="4"/>
      <c r="G604" s="4"/>
      <c r="H604" s="4"/>
      <c r="I604" s="4"/>
      <c r="J604" s="4"/>
      <c r="K604" s="4"/>
      <c r="L604" s="4"/>
      <c r="M604" s="4"/>
      <c r="N604" s="4"/>
      <c r="O604" s="4"/>
      <c r="P604" s="4"/>
      <c r="Q604" s="4"/>
      <c r="R604" s="4"/>
      <c r="S604" s="4"/>
      <c r="T604" s="4"/>
      <c r="U604" s="4"/>
      <c r="V604" s="4"/>
      <c r="W604" s="4"/>
      <c r="X604" s="4"/>
      <c r="Y604" s="4"/>
      <c r="Z604" s="4"/>
    </row>
    <row r="605" spans="1:26">
      <c r="A605" s="10"/>
      <c r="B605" s="10"/>
      <c r="C605" s="4"/>
      <c r="D605" s="10"/>
      <c r="E605" s="10"/>
      <c r="F605" s="4"/>
      <c r="G605" s="4"/>
      <c r="H605" s="4"/>
      <c r="I605" s="4"/>
      <c r="J605" s="4"/>
      <c r="K605" s="4"/>
      <c r="L605" s="4"/>
      <c r="M605" s="4"/>
      <c r="N605" s="4"/>
      <c r="O605" s="4"/>
      <c r="P605" s="4"/>
      <c r="Q605" s="4"/>
      <c r="R605" s="4"/>
      <c r="S605" s="4"/>
      <c r="T605" s="4"/>
      <c r="U605" s="4"/>
      <c r="V605" s="4"/>
      <c r="W605" s="4"/>
      <c r="X605" s="4"/>
      <c r="Y605" s="4"/>
      <c r="Z605" s="4"/>
    </row>
    <row r="606" spans="1:26">
      <c r="A606" s="10"/>
      <c r="B606" s="10"/>
      <c r="C606" s="4"/>
      <c r="D606" s="10"/>
      <c r="E606" s="10"/>
      <c r="F606" s="4"/>
      <c r="G606" s="4"/>
      <c r="H606" s="4"/>
      <c r="I606" s="4"/>
      <c r="J606" s="4"/>
      <c r="K606" s="4"/>
      <c r="L606" s="4"/>
      <c r="M606" s="4"/>
      <c r="N606" s="4"/>
      <c r="O606" s="4"/>
      <c r="P606" s="4"/>
      <c r="Q606" s="4"/>
      <c r="R606" s="4"/>
      <c r="S606" s="4"/>
      <c r="T606" s="4"/>
      <c r="U606" s="4"/>
      <c r="V606" s="4"/>
      <c r="W606" s="4"/>
      <c r="X606" s="4"/>
      <c r="Y606" s="4"/>
      <c r="Z606" s="4"/>
    </row>
    <row r="607" spans="1:26">
      <c r="A607" s="10"/>
      <c r="B607" s="10"/>
      <c r="C607" s="4"/>
      <c r="D607" s="10"/>
      <c r="E607" s="10"/>
      <c r="F607" s="4"/>
      <c r="G607" s="4"/>
      <c r="H607" s="4"/>
      <c r="I607" s="4"/>
      <c r="J607" s="4"/>
      <c r="K607" s="4"/>
      <c r="L607" s="4"/>
      <c r="M607" s="4"/>
      <c r="N607" s="4"/>
      <c r="O607" s="4"/>
      <c r="P607" s="4"/>
      <c r="Q607" s="4"/>
      <c r="R607" s="4"/>
      <c r="S607" s="4"/>
      <c r="T607" s="4"/>
      <c r="U607" s="4"/>
      <c r="V607" s="4"/>
      <c r="W607" s="4"/>
      <c r="X607" s="4"/>
      <c r="Y607" s="4"/>
      <c r="Z607" s="4"/>
    </row>
    <row r="608" spans="1:26">
      <c r="A608" s="10"/>
      <c r="B608" s="10"/>
      <c r="C608" s="4"/>
      <c r="D608" s="10"/>
      <c r="E608" s="10"/>
      <c r="F608" s="4"/>
      <c r="G608" s="4"/>
      <c r="H608" s="4"/>
      <c r="I608" s="4"/>
      <c r="J608" s="4"/>
      <c r="K608" s="4"/>
      <c r="L608" s="4"/>
      <c r="M608" s="4"/>
      <c r="N608" s="4"/>
      <c r="O608" s="4"/>
      <c r="P608" s="4"/>
      <c r="Q608" s="4"/>
      <c r="R608" s="4"/>
      <c r="S608" s="4"/>
      <c r="T608" s="4"/>
      <c r="U608" s="4"/>
      <c r="V608" s="4"/>
      <c r="W608" s="4"/>
      <c r="X608" s="4"/>
      <c r="Y608" s="4"/>
      <c r="Z608" s="4"/>
    </row>
    <row r="609" spans="1:26">
      <c r="A609" s="10"/>
      <c r="B609" s="10"/>
      <c r="C609" s="4"/>
      <c r="D609" s="10"/>
      <c r="E609" s="10"/>
      <c r="F609" s="4"/>
      <c r="G609" s="4"/>
      <c r="H609" s="4"/>
      <c r="I609" s="4"/>
      <c r="J609" s="4"/>
      <c r="K609" s="4"/>
      <c r="L609" s="4"/>
      <c r="M609" s="4"/>
      <c r="N609" s="4"/>
      <c r="O609" s="4"/>
      <c r="P609" s="4"/>
      <c r="Q609" s="4"/>
      <c r="R609" s="4"/>
      <c r="S609" s="4"/>
      <c r="T609" s="4"/>
      <c r="U609" s="4"/>
      <c r="V609" s="4"/>
      <c r="W609" s="4"/>
      <c r="X609" s="4"/>
      <c r="Y609" s="4"/>
      <c r="Z609" s="4"/>
    </row>
    <row r="610" spans="1:26">
      <c r="A610" s="10"/>
      <c r="B610" s="10"/>
      <c r="C610" s="4"/>
      <c r="D610" s="10"/>
      <c r="E610" s="10"/>
      <c r="F610" s="4"/>
      <c r="G610" s="4"/>
      <c r="H610" s="4"/>
      <c r="I610" s="4"/>
      <c r="J610" s="4"/>
      <c r="K610" s="4"/>
      <c r="L610" s="4"/>
      <c r="M610" s="4"/>
      <c r="N610" s="4"/>
      <c r="O610" s="4"/>
      <c r="P610" s="4"/>
      <c r="Q610" s="4"/>
      <c r="R610" s="4"/>
      <c r="S610" s="4"/>
      <c r="T610" s="4"/>
      <c r="U610" s="4"/>
      <c r="V610" s="4"/>
      <c r="W610" s="4"/>
      <c r="X610" s="4"/>
      <c r="Y610" s="4"/>
      <c r="Z610" s="4"/>
    </row>
    <row r="611" spans="1:26">
      <c r="A611" s="10"/>
      <c r="B611" s="10"/>
      <c r="C611" s="4"/>
      <c r="D611" s="10"/>
      <c r="E611" s="10"/>
      <c r="F611" s="4"/>
      <c r="G611" s="4"/>
      <c r="H611" s="4"/>
      <c r="I611" s="4"/>
      <c r="J611" s="4"/>
      <c r="K611" s="4"/>
      <c r="L611" s="4"/>
      <c r="M611" s="4"/>
      <c r="N611" s="4"/>
      <c r="O611" s="4"/>
      <c r="P611" s="4"/>
      <c r="Q611" s="4"/>
      <c r="R611" s="4"/>
      <c r="S611" s="4"/>
      <c r="T611" s="4"/>
      <c r="U611" s="4"/>
      <c r="V611" s="4"/>
      <c r="W611" s="4"/>
      <c r="X611" s="4"/>
      <c r="Y611" s="4"/>
      <c r="Z611" s="4"/>
    </row>
    <row r="612" spans="1:26">
      <c r="A612" s="10"/>
      <c r="B612" s="10"/>
      <c r="C612" s="4"/>
      <c r="D612" s="10"/>
      <c r="E612" s="10"/>
      <c r="F612" s="4"/>
      <c r="G612" s="4"/>
      <c r="H612" s="4"/>
      <c r="I612" s="4"/>
      <c r="J612" s="4"/>
      <c r="K612" s="4"/>
      <c r="L612" s="4"/>
      <c r="M612" s="4"/>
      <c r="N612" s="4"/>
      <c r="O612" s="4"/>
      <c r="P612" s="4"/>
      <c r="Q612" s="4"/>
      <c r="R612" s="4"/>
      <c r="S612" s="4"/>
      <c r="T612" s="4"/>
      <c r="U612" s="4"/>
      <c r="V612" s="4"/>
      <c r="W612" s="4"/>
      <c r="X612" s="4"/>
      <c r="Y612" s="4"/>
      <c r="Z612" s="4"/>
    </row>
    <row r="613" spans="1:26">
      <c r="A613" s="10"/>
      <c r="B613" s="10"/>
      <c r="C613" s="4"/>
      <c r="D613" s="10"/>
      <c r="E613" s="10"/>
      <c r="F613" s="4"/>
      <c r="G613" s="4"/>
      <c r="H613" s="4"/>
      <c r="I613" s="4"/>
      <c r="J613" s="4"/>
      <c r="K613" s="4"/>
      <c r="L613" s="4"/>
      <c r="M613" s="4"/>
      <c r="N613" s="4"/>
      <c r="O613" s="4"/>
      <c r="P613" s="4"/>
      <c r="Q613" s="4"/>
      <c r="R613" s="4"/>
      <c r="S613" s="4"/>
      <c r="T613" s="4"/>
      <c r="U613" s="4"/>
      <c r="V613" s="4"/>
      <c r="W613" s="4"/>
      <c r="X613" s="4"/>
      <c r="Y613" s="4"/>
      <c r="Z613" s="4"/>
    </row>
    <row r="614" spans="1:26">
      <c r="A614" s="10"/>
      <c r="B614" s="10"/>
      <c r="C614" s="4"/>
      <c r="D614" s="10"/>
      <c r="E614" s="10"/>
      <c r="F614" s="4"/>
      <c r="G614" s="4"/>
      <c r="H614" s="4"/>
      <c r="I614" s="4"/>
      <c r="J614" s="4"/>
      <c r="K614" s="4"/>
      <c r="L614" s="4"/>
      <c r="M614" s="4"/>
      <c r="N614" s="4"/>
      <c r="O614" s="4"/>
      <c r="P614" s="4"/>
      <c r="Q614" s="4"/>
      <c r="R614" s="4"/>
      <c r="S614" s="4"/>
      <c r="T614" s="4"/>
      <c r="U614" s="4"/>
      <c r="V614" s="4"/>
      <c r="W614" s="4"/>
      <c r="X614" s="4"/>
      <c r="Y614" s="4"/>
      <c r="Z614" s="4"/>
    </row>
    <row r="615" spans="1:26">
      <c r="A615" s="10"/>
      <c r="B615" s="10"/>
      <c r="C615" s="4"/>
      <c r="D615" s="10"/>
      <c r="E615" s="10"/>
      <c r="F615" s="4"/>
      <c r="G615" s="4"/>
      <c r="H615" s="4"/>
      <c r="I615" s="4"/>
      <c r="J615" s="4"/>
      <c r="K615" s="4"/>
      <c r="L615" s="4"/>
      <c r="M615" s="4"/>
      <c r="N615" s="4"/>
      <c r="O615" s="4"/>
      <c r="P615" s="4"/>
      <c r="Q615" s="4"/>
      <c r="R615" s="4"/>
      <c r="S615" s="4"/>
      <c r="T615" s="4"/>
      <c r="U615" s="4"/>
      <c r="V615" s="4"/>
      <c r="W615" s="4"/>
      <c r="X615" s="4"/>
      <c r="Y615" s="4"/>
      <c r="Z615" s="4"/>
    </row>
    <row r="616" spans="1:26">
      <c r="A616" s="10"/>
      <c r="B616" s="10"/>
      <c r="C616" s="4"/>
      <c r="D616" s="10"/>
      <c r="E616" s="10"/>
      <c r="F616" s="4"/>
      <c r="G616" s="4"/>
      <c r="H616" s="4"/>
      <c r="I616" s="4"/>
      <c r="J616" s="4"/>
      <c r="K616" s="4"/>
      <c r="L616" s="4"/>
      <c r="M616" s="4"/>
      <c r="N616" s="4"/>
      <c r="O616" s="4"/>
      <c r="P616" s="4"/>
      <c r="Q616" s="4"/>
      <c r="R616" s="4"/>
      <c r="S616" s="4"/>
      <c r="T616" s="4"/>
      <c r="U616" s="4"/>
      <c r="V616" s="4"/>
      <c r="W616" s="4"/>
      <c r="X616" s="4"/>
      <c r="Y616" s="4"/>
      <c r="Z616" s="4"/>
    </row>
    <row r="617" spans="1:26">
      <c r="A617" s="10"/>
      <c r="B617" s="10"/>
      <c r="C617" s="4"/>
      <c r="D617" s="10"/>
      <c r="E617" s="10"/>
      <c r="F617" s="4"/>
      <c r="G617" s="4"/>
      <c r="H617" s="4"/>
      <c r="I617" s="4"/>
      <c r="J617" s="4"/>
      <c r="K617" s="4"/>
      <c r="L617" s="4"/>
      <c r="M617" s="4"/>
      <c r="N617" s="4"/>
      <c r="O617" s="4"/>
      <c r="P617" s="4"/>
      <c r="Q617" s="4"/>
      <c r="R617" s="4"/>
      <c r="S617" s="4"/>
      <c r="T617" s="4"/>
      <c r="U617" s="4"/>
      <c r="V617" s="4"/>
      <c r="W617" s="4"/>
      <c r="X617" s="4"/>
      <c r="Y617" s="4"/>
      <c r="Z617" s="4"/>
    </row>
    <row r="618" spans="1:26">
      <c r="A618" s="10"/>
      <c r="B618" s="10"/>
      <c r="C618" s="4"/>
      <c r="D618" s="10"/>
      <c r="E618" s="10"/>
      <c r="F618" s="4"/>
      <c r="G618" s="4"/>
      <c r="H618" s="4"/>
      <c r="I618" s="4"/>
      <c r="J618" s="4"/>
      <c r="K618" s="4"/>
      <c r="L618" s="4"/>
      <c r="M618" s="4"/>
      <c r="N618" s="4"/>
      <c r="O618" s="4"/>
      <c r="P618" s="4"/>
      <c r="Q618" s="4"/>
      <c r="R618" s="4"/>
      <c r="S618" s="4"/>
      <c r="T618" s="4"/>
      <c r="U618" s="4"/>
      <c r="V618" s="4"/>
      <c r="W618" s="4"/>
      <c r="X618" s="4"/>
      <c r="Y618" s="4"/>
      <c r="Z618" s="4"/>
    </row>
    <row r="619" spans="1:26">
      <c r="A619" s="10"/>
      <c r="B619" s="10"/>
      <c r="C619" s="4"/>
      <c r="D619" s="10"/>
      <c r="E619" s="10"/>
      <c r="F619" s="4"/>
      <c r="G619" s="4"/>
      <c r="H619" s="4"/>
      <c r="I619" s="4"/>
      <c r="J619" s="4"/>
      <c r="K619" s="4"/>
      <c r="L619" s="4"/>
      <c r="M619" s="4"/>
      <c r="N619" s="4"/>
      <c r="O619" s="4"/>
      <c r="P619" s="4"/>
      <c r="Q619" s="4"/>
      <c r="R619" s="4"/>
      <c r="S619" s="4"/>
      <c r="T619" s="4"/>
      <c r="U619" s="4"/>
      <c r="V619" s="4"/>
      <c r="W619" s="4"/>
      <c r="X619" s="4"/>
      <c r="Y619" s="4"/>
      <c r="Z619" s="4"/>
    </row>
    <row r="620" spans="1:26">
      <c r="A620" s="10"/>
      <c r="B620" s="10"/>
      <c r="C620" s="4"/>
      <c r="D620" s="10"/>
      <c r="E620" s="10"/>
      <c r="F620" s="4"/>
      <c r="G620" s="4"/>
      <c r="H620" s="4"/>
      <c r="I620" s="4"/>
      <c r="J620" s="4"/>
      <c r="K620" s="4"/>
      <c r="L620" s="4"/>
      <c r="M620" s="4"/>
      <c r="N620" s="4"/>
      <c r="O620" s="4"/>
      <c r="P620" s="4"/>
      <c r="Q620" s="4"/>
      <c r="R620" s="4"/>
      <c r="S620" s="4"/>
      <c r="T620" s="4"/>
      <c r="U620" s="4"/>
      <c r="V620" s="4"/>
      <c r="W620" s="4"/>
      <c r="X620" s="4"/>
      <c r="Y620" s="4"/>
      <c r="Z620" s="4"/>
    </row>
    <row r="621" spans="1:26">
      <c r="A621" s="10"/>
      <c r="B621" s="10"/>
      <c r="C621" s="4"/>
      <c r="D621" s="10"/>
      <c r="E621" s="10"/>
      <c r="F621" s="4"/>
      <c r="G621" s="4"/>
      <c r="H621" s="4"/>
      <c r="I621" s="4"/>
      <c r="J621" s="4"/>
      <c r="K621" s="4"/>
      <c r="L621" s="4"/>
      <c r="M621" s="4"/>
      <c r="N621" s="4"/>
      <c r="O621" s="4"/>
      <c r="P621" s="4"/>
      <c r="Q621" s="4"/>
      <c r="R621" s="4"/>
      <c r="S621" s="4"/>
      <c r="T621" s="4"/>
      <c r="U621" s="4"/>
      <c r="V621" s="4"/>
      <c r="W621" s="4"/>
      <c r="X621" s="4"/>
      <c r="Y621" s="4"/>
      <c r="Z621" s="4"/>
    </row>
    <row r="622" spans="1:26">
      <c r="A622" s="10"/>
      <c r="B622" s="10"/>
      <c r="C622" s="4"/>
      <c r="D622" s="10"/>
      <c r="E622" s="10"/>
      <c r="F622" s="4"/>
      <c r="G622" s="4"/>
      <c r="H622" s="4"/>
      <c r="I622" s="4"/>
      <c r="J622" s="4"/>
      <c r="K622" s="4"/>
      <c r="L622" s="4"/>
      <c r="M622" s="4"/>
      <c r="N622" s="4"/>
      <c r="O622" s="4"/>
      <c r="P622" s="4"/>
      <c r="Q622" s="4"/>
      <c r="R622" s="4"/>
      <c r="S622" s="4"/>
      <c r="T622" s="4"/>
      <c r="U622" s="4"/>
      <c r="V622" s="4"/>
      <c r="W622" s="4"/>
      <c r="X622" s="4"/>
      <c r="Y622" s="4"/>
      <c r="Z622" s="4"/>
    </row>
    <row r="623" spans="1:26">
      <c r="A623" s="10"/>
      <c r="B623" s="10"/>
      <c r="C623" s="4"/>
      <c r="D623" s="10"/>
      <c r="E623" s="10"/>
      <c r="F623" s="4"/>
      <c r="G623" s="4"/>
      <c r="H623" s="4"/>
      <c r="I623" s="4"/>
      <c r="J623" s="4"/>
      <c r="K623" s="4"/>
      <c r="L623" s="4"/>
      <c r="M623" s="4"/>
      <c r="N623" s="4"/>
      <c r="O623" s="4"/>
      <c r="P623" s="4"/>
      <c r="Q623" s="4"/>
      <c r="R623" s="4"/>
      <c r="S623" s="4"/>
      <c r="T623" s="4"/>
      <c r="U623" s="4"/>
      <c r="V623" s="4"/>
      <c r="W623" s="4"/>
      <c r="X623" s="4"/>
      <c r="Y623" s="4"/>
      <c r="Z623" s="4"/>
    </row>
    <row r="624" spans="1:26">
      <c r="A624" s="10"/>
      <c r="B624" s="10"/>
      <c r="C624" s="4"/>
      <c r="D624" s="10"/>
      <c r="E624" s="10"/>
      <c r="F624" s="4"/>
      <c r="G624" s="4"/>
      <c r="H624" s="4"/>
      <c r="I624" s="4"/>
      <c r="J624" s="4"/>
      <c r="K624" s="4"/>
      <c r="L624" s="4"/>
      <c r="M624" s="4"/>
      <c r="N624" s="4"/>
      <c r="O624" s="4"/>
      <c r="P624" s="4"/>
      <c r="Q624" s="4"/>
      <c r="R624" s="4"/>
      <c r="S624" s="4"/>
      <c r="T624" s="4"/>
      <c r="U624" s="4"/>
      <c r="V624" s="4"/>
      <c r="W624" s="4"/>
      <c r="X624" s="4"/>
      <c r="Y624" s="4"/>
      <c r="Z624" s="4"/>
    </row>
    <row r="625" spans="1:26">
      <c r="A625" s="10"/>
      <c r="B625" s="10"/>
      <c r="C625" s="4"/>
      <c r="D625" s="10"/>
      <c r="E625" s="10"/>
      <c r="F625" s="4"/>
      <c r="G625" s="4"/>
      <c r="H625" s="4"/>
      <c r="I625" s="4"/>
      <c r="J625" s="4"/>
      <c r="K625" s="4"/>
      <c r="L625" s="4"/>
      <c r="M625" s="4"/>
      <c r="N625" s="4"/>
      <c r="O625" s="4"/>
      <c r="P625" s="4"/>
      <c r="Q625" s="4"/>
      <c r="R625" s="4"/>
      <c r="S625" s="4"/>
      <c r="T625" s="4"/>
      <c r="U625" s="4"/>
      <c r="V625" s="4"/>
      <c r="W625" s="4"/>
      <c r="X625" s="4"/>
      <c r="Y625" s="4"/>
      <c r="Z625" s="4"/>
    </row>
    <row r="626" spans="1:26">
      <c r="A626" s="10"/>
      <c r="B626" s="10"/>
      <c r="C626" s="4"/>
      <c r="D626" s="10"/>
      <c r="E626" s="10"/>
      <c r="F626" s="4"/>
      <c r="G626" s="4"/>
      <c r="H626" s="4"/>
      <c r="I626" s="4"/>
      <c r="J626" s="4"/>
      <c r="K626" s="4"/>
      <c r="L626" s="4"/>
      <c r="M626" s="4"/>
      <c r="N626" s="4"/>
      <c r="O626" s="4"/>
      <c r="P626" s="4"/>
      <c r="Q626" s="4"/>
      <c r="R626" s="4"/>
      <c r="S626" s="4"/>
      <c r="T626" s="4"/>
      <c r="U626" s="4"/>
      <c r="V626" s="4"/>
      <c r="W626" s="4"/>
      <c r="X626" s="4"/>
      <c r="Y626" s="4"/>
      <c r="Z626" s="4"/>
    </row>
    <row r="627" spans="1:26">
      <c r="A627" s="10"/>
      <c r="B627" s="10"/>
      <c r="C627" s="4"/>
      <c r="D627" s="10"/>
      <c r="E627" s="10"/>
      <c r="F627" s="4"/>
      <c r="G627" s="4"/>
      <c r="H627" s="4"/>
      <c r="I627" s="4"/>
      <c r="J627" s="4"/>
      <c r="K627" s="4"/>
      <c r="L627" s="4"/>
      <c r="M627" s="4"/>
      <c r="N627" s="4"/>
      <c r="O627" s="4"/>
      <c r="P627" s="4"/>
      <c r="Q627" s="4"/>
      <c r="R627" s="4"/>
      <c r="S627" s="4"/>
      <c r="T627" s="4"/>
      <c r="U627" s="4"/>
      <c r="V627" s="4"/>
      <c r="W627" s="4"/>
      <c r="X627" s="4"/>
      <c r="Y627" s="4"/>
      <c r="Z627" s="4"/>
    </row>
    <row r="628" spans="1:26">
      <c r="A628" s="10"/>
      <c r="B628" s="10"/>
      <c r="C628" s="4"/>
      <c r="D628" s="10"/>
      <c r="E628" s="10"/>
      <c r="F628" s="4"/>
      <c r="G628" s="4"/>
      <c r="H628" s="4"/>
      <c r="I628" s="4"/>
      <c r="J628" s="4"/>
      <c r="K628" s="4"/>
      <c r="L628" s="4"/>
      <c r="M628" s="4"/>
      <c r="N628" s="4"/>
      <c r="O628" s="4"/>
      <c r="P628" s="4"/>
      <c r="Q628" s="4"/>
      <c r="R628" s="4"/>
      <c r="S628" s="4"/>
      <c r="T628" s="4"/>
      <c r="U628" s="4"/>
      <c r="V628" s="4"/>
      <c r="W628" s="4"/>
      <c r="X628" s="4"/>
      <c r="Y628" s="4"/>
      <c r="Z628" s="4"/>
    </row>
    <row r="629" spans="1:26">
      <c r="A629" s="10"/>
      <c r="B629" s="10"/>
      <c r="C629" s="4"/>
      <c r="D629" s="10"/>
      <c r="E629" s="10"/>
      <c r="F629" s="4"/>
      <c r="G629" s="4"/>
      <c r="H629" s="4"/>
      <c r="I629" s="4"/>
      <c r="J629" s="4"/>
      <c r="K629" s="4"/>
      <c r="L629" s="4"/>
      <c r="M629" s="4"/>
      <c r="N629" s="4"/>
      <c r="O629" s="4"/>
      <c r="P629" s="4"/>
      <c r="Q629" s="4"/>
      <c r="R629" s="4"/>
      <c r="S629" s="4"/>
      <c r="T629" s="4"/>
      <c r="U629" s="4"/>
      <c r="V629" s="4"/>
      <c r="W629" s="4"/>
      <c r="X629" s="4"/>
      <c r="Y629" s="4"/>
      <c r="Z629" s="4"/>
    </row>
    <row r="630" spans="1:26">
      <c r="A630" s="10"/>
      <c r="B630" s="10"/>
      <c r="C630" s="4"/>
      <c r="D630" s="10"/>
      <c r="E630" s="10"/>
      <c r="F630" s="4"/>
      <c r="G630" s="4"/>
      <c r="H630" s="4"/>
      <c r="I630" s="4"/>
      <c r="J630" s="4"/>
      <c r="K630" s="4"/>
      <c r="L630" s="4"/>
      <c r="M630" s="4"/>
      <c r="N630" s="4"/>
      <c r="O630" s="4"/>
      <c r="P630" s="4"/>
      <c r="Q630" s="4"/>
      <c r="R630" s="4"/>
      <c r="S630" s="4"/>
      <c r="T630" s="4"/>
      <c r="U630" s="4"/>
      <c r="V630" s="4"/>
      <c r="W630" s="4"/>
      <c r="X630" s="4"/>
      <c r="Y630" s="4"/>
      <c r="Z630" s="4"/>
    </row>
    <row r="631" spans="1:26">
      <c r="A631" s="10"/>
      <c r="B631" s="10"/>
      <c r="C631" s="4"/>
      <c r="D631" s="10"/>
      <c r="E631" s="10"/>
      <c r="F631" s="4"/>
      <c r="G631" s="4"/>
      <c r="H631" s="4"/>
      <c r="I631" s="4"/>
      <c r="J631" s="4"/>
      <c r="K631" s="4"/>
      <c r="L631" s="4"/>
      <c r="M631" s="4"/>
      <c r="N631" s="4"/>
      <c r="O631" s="4"/>
      <c r="P631" s="4"/>
      <c r="Q631" s="4"/>
      <c r="R631" s="4"/>
      <c r="S631" s="4"/>
      <c r="T631" s="4"/>
      <c r="U631" s="4"/>
      <c r="V631" s="4"/>
      <c r="W631" s="4"/>
      <c r="X631" s="4"/>
      <c r="Y631" s="4"/>
      <c r="Z631" s="4"/>
    </row>
    <row r="632" spans="1:26">
      <c r="A632" s="10"/>
      <c r="B632" s="10"/>
      <c r="C632" s="4"/>
      <c r="D632" s="10"/>
      <c r="E632" s="10"/>
      <c r="F632" s="4"/>
      <c r="G632" s="4"/>
      <c r="H632" s="4"/>
      <c r="I632" s="4"/>
      <c r="J632" s="4"/>
      <c r="K632" s="4"/>
      <c r="L632" s="4"/>
      <c r="M632" s="4"/>
      <c r="N632" s="4"/>
      <c r="O632" s="4"/>
      <c r="P632" s="4"/>
      <c r="Q632" s="4"/>
      <c r="R632" s="4"/>
      <c r="S632" s="4"/>
      <c r="T632" s="4"/>
      <c r="U632" s="4"/>
      <c r="V632" s="4"/>
      <c r="W632" s="4"/>
      <c r="X632" s="4"/>
      <c r="Y632" s="4"/>
      <c r="Z632" s="4"/>
    </row>
    <row r="633" spans="1:26">
      <c r="A633" s="10"/>
      <c r="B633" s="10"/>
      <c r="C633" s="4"/>
      <c r="D633" s="10"/>
      <c r="E633" s="10"/>
      <c r="F633" s="4"/>
      <c r="G633" s="4"/>
      <c r="H633" s="4"/>
      <c r="I633" s="4"/>
      <c r="J633" s="4"/>
      <c r="K633" s="4"/>
      <c r="L633" s="4"/>
      <c r="M633" s="4"/>
      <c r="N633" s="4"/>
      <c r="O633" s="4"/>
      <c r="P633" s="4"/>
      <c r="Q633" s="4"/>
      <c r="R633" s="4"/>
      <c r="S633" s="4"/>
      <c r="T633" s="4"/>
      <c r="U633" s="4"/>
      <c r="V633" s="4"/>
      <c r="W633" s="4"/>
      <c r="X633" s="4"/>
      <c r="Y633" s="4"/>
      <c r="Z633" s="4"/>
    </row>
    <row r="634" spans="1:26">
      <c r="A634" s="10"/>
      <c r="B634" s="10"/>
      <c r="C634" s="4"/>
      <c r="D634" s="10"/>
      <c r="E634" s="10"/>
      <c r="F634" s="4"/>
      <c r="G634" s="4"/>
      <c r="H634" s="4"/>
      <c r="I634" s="4"/>
      <c r="J634" s="4"/>
      <c r="K634" s="4"/>
      <c r="L634" s="4"/>
      <c r="M634" s="4"/>
      <c r="N634" s="4"/>
      <c r="O634" s="4"/>
      <c r="P634" s="4"/>
      <c r="Q634" s="4"/>
      <c r="R634" s="4"/>
      <c r="S634" s="4"/>
      <c r="T634" s="4"/>
      <c r="U634" s="4"/>
      <c r="V634" s="4"/>
      <c r="W634" s="4"/>
      <c r="X634" s="4"/>
      <c r="Y634" s="4"/>
      <c r="Z634" s="4"/>
    </row>
    <row r="635" spans="1:26">
      <c r="A635" s="10"/>
      <c r="B635" s="10"/>
      <c r="C635" s="4"/>
      <c r="D635" s="10"/>
      <c r="E635" s="10"/>
      <c r="F635" s="4"/>
      <c r="G635" s="4"/>
      <c r="H635" s="4"/>
      <c r="I635" s="4"/>
      <c r="J635" s="4"/>
      <c r="K635" s="4"/>
      <c r="L635" s="4"/>
      <c r="M635" s="4"/>
      <c r="N635" s="4"/>
      <c r="O635" s="4"/>
      <c r="P635" s="4"/>
      <c r="Q635" s="4"/>
      <c r="R635" s="4"/>
      <c r="S635" s="4"/>
      <c r="T635" s="4"/>
      <c r="U635" s="4"/>
      <c r="V635" s="4"/>
      <c r="W635" s="4"/>
      <c r="X635" s="4"/>
      <c r="Y635" s="4"/>
      <c r="Z635" s="4"/>
    </row>
    <row r="636" spans="1:26">
      <c r="A636" s="10"/>
      <c r="B636" s="10"/>
      <c r="C636" s="4"/>
      <c r="D636" s="10"/>
      <c r="E636" s="10"/>
      <c r="F636" s="4"/>
      <c r="G636" s="4"/>
      <c r="H636" s="4"/>
      <c r="I636" s="4"/>
      <c r="J636" s="4"/>
      <c r="K636" s="4"/>
      <c r="L636" s="4"/>
      <c r="M636" s="4"/>
      <c r="N636" s="4"/>
      <c r="O636" s="4"/>
      <c r="P636" s="4"/>
      <c r="Q636" s="4"/>
      <c r="R636" s="4"/>
      <c r="S636" s="4"/>
      <c r="T636" s="4"/>
      <c r="U636" s="4"/>
      <c r="V636" s="4"/>
      <c r="W636" s="4"/>
      <c r="X636" s="4"/>
      <c r="Y636" s="4"/>
      <c r="Z636" s="4"/>
    </row>
    <row r="637" spans="1:26">
      <c r="A637" s="10"/>
      <c r="B637" s="10"/>
      <c r="C637" s="4"/>
      <c r="D637" s="10"/>
      <c r="E637" s="10"/>
      <c r="F637" s="4"/>
      <c r="G637" s="4"/>
      <c r="H637" s="4"/>
      <c r="I637" s="4"/>
      <c r="J637" s="4"/>
      <c r="K637" s="4"/>
      <c r="L637" s="4"/>
      <c r="M637" s="4"/>
      <c r="N637" s="4"/>
      <c r="O637" s="4"/>
      <c r="P637" s="4"/>
      <c r="Q637" s="4"/>
      <c r="R637" s="4"/>
      <c r="S637" s="4"/>
      <c r="T637" s="4"/>
      <c r="U637" s="4"/>
      <c r="V637" s="4"/>
      <c r="W637" s="4"/>
      <c r="X637" s="4"/>
      <c r="Y637" s="4"/>
      <c r="Z637" s="4"/>
    </row>
    <row r="638" spans="1:26">
      <c r="A638" s="10"/>
      <c r="B638" s="10"/>
      <c r="C638" s="4"/>
      <c r="D638" s="10"/>
      <c r="E638" s="10"/>
      <c r="F638" s="4"/>
      <c r="G638" s="4"/>
      <c r="H638" s="4"/>
      <c r="I638" s="4"/>
      <c r="J638" s="4"/>
      <c r="K638" s="4"/>
      <c r="L638" s="4"/>
      <c r="M638" s="4"/>
      <c r="N638" s="4"/>
      <c r="O638" s="4"/>
      <c r="P638" s="4"/>
      <c r="Q638" s="4"/>
      <c r="R638" s="4"/>
      <c r="S638" s="4"/>
      <c r="T638" s="4"/>
      <c r="U638" s="4"/>
      <c r="V638" s="4"/>
      <c r="W638" s="4"/>
      <c r="X638" s="4"/>
      <c r="Y638" s="4"/>
      <c r="Z638" s="4"/>
    </row>
    <row r="639" spans="1:26">
      <c r="A639" s="10"/>
      <c r="B639" s="10"/>
      <c r="C639" s="4"/>
      <c r="D639" s="10"/>
      <c r="E639" s="10"/>
      <c r="F639" s="4"/>
      <c r="G639" s="4"/>
      <c r="H639" s="4"/>
      <c r="I639" s="4"/>
      <c r="J639" s="4"/>
      <c r="K639" s="4"/>
      <c r="L639" s="4"/>
      <c r="M639" s="4"/>
      <c r="N639" s="4"/>
      <c r="O639" s="4"/>
      <c r="P639" s="4"/>
      <c r="Q639" s="4"/>
      <c r="R639" s="4"/>
      <c r="S639" s="4"/>
      <c r="T639" s="4"/>
      <c r="U639" s="4"/>
      <c r="V639" s="4"/>
      <c r="W639" s="4"/>
      <c r="X639" s="4"/>
      <c r="Y639" s="4"/>
      <c r="Z639" s="4"/>
    </row>
    <row r="640" spans="1:26">
      <c r="A640" s="10"/>
      <c r="B640" s="10"/>
      <c r="C640" s="4"/>
      <c r="D640" s="10"/>
      <c r="E640" s="10"/>
      <c r="F640" s="4"/>
      <c r="G640" s="4"/>
      <c r="H640" s="4"/>
      <c r="I640" s="4"/>
      <c r="J640" s="4"/>
      <c r="K640" s="4"/>
      <c r="L640" s="4"/>
      <c r="M640" s="4"/>
      <c r="N640" s="4"/>
      <c r="O640" s="4"/>
      <c r="P640" s="4"/>
      <c r="Q640" s="4"/>
      <c r="R640" s="4"/>
      <c r="S640" s="4"/>
      <c r="T640" s="4"/>
      <c r="U640" s="4"/>
      <c r="V640" s="4"/>
      <c r="W640" s="4"/>
      <c r="X640" s="4"/>
      <c r="Y640" s="4"/>
      <c r="Z640" s="4"/>
    </row>
    <row r="641" spans="1:26">
      <c r="A641" s="10"/>
      <c r="B641" s="10"/>
      <c r="C641" s="4"/>
      <c r="D641" s="10"/>
      <c r="E641" s="10"/>
      <c r="F641" s="4"/>
      <c r="G641" s="4"/>
      <c r="H641" s="4"/>
      <c r="I641" s="4"/>
      <c r="J641" s="4"/>
      <c r="K641" s="4"/>
      <c r="L641" s="4"/>
      <c r="M641" s="4"/>
      <c r="N641" s="4"/>
      <c r="O641" s="4"/>
      <c r="P641" s="4"/>
      <c r="Q641" s="4"/>
      <c r="R641" s="4"/>
      <c r="S641" s="4"/>
      <c r="T641" s="4"/>
      <c r="U641" s="4"/>
      <c r="V641" s="4"/>
      <c r="W641" s="4"/>
      <c r="X641" s="4"/>
      <c r="Y641" s="4"/>
      <c r="Z641" s="4"/>
    </row>
    <row r="642" spans="1:26">
      <c r="A642" s="10"/>
      <c r="B642" s="10"/>
      <c r="C642" s="4"/>
      <c r="D642" s="10"/>
      <c r="E642" s="10"/>
      <c r="F642" s="4"/>
      <c r="G642" s="4"/>
      <c r="H642" s="4"/>
      <c r="I642" s="4"/>
      <c r="J642" s="4"/>
      <c r="K642" s="4"/>
      <c r="L642" s="4"/>
      <c r="M642" s="4"/>
      <c r="N642" s="4"/>
      <c r="O642" s="4"/>
      <c r="P642" s="4"/>
      <c r="Q642" s="4"/>
      <c r="R642" s="4"/>
      <c r="S642" s="4"/>
      <c r="T642" s="4"/>
      <c r="U642" s="4"/>
      <c r="V642" s="4"/>
      <c r="W642" s="4"/>
      <c r="X642" s="4"/>
      <c r="Y642" s="4"/>
      <c r="Z642" s="4"/>
    </row>
    <row r="643" spans="1:26">
      <c r="A643" s="10"/>
      <c r="B643" s="10"/>
      <c r="C643" s="4"/>
      <c r="D643" s="10"/>
      <c r="E643" s="10"/>
      <c r="F643" s="4"/>
      <c r="G643" s="4"/>
      <c r="H643" s="4"/>
      <c r="I643" s="4"/>
      <c r="J643" s="4"/>
      <c r="K643" s="4"/>
      <c r="L643" s="4"/>
      <c r="M643" s="4"/>
      <c r="N643" s="4"/>
      <c r="O643" s="4"/>
      <c r="P643" s="4"/>
      <c r="Q643" s="4"/>
      <c r="R643" s="4"/>
      <c r="S643" s="4"/>
      <c r="T643" s="4"/>
      <c r="U643" s="4"/>
      <c r="V643" s="4"/>
      <c r="W643" s="4"/>
      <c r="X643" s="4"/>
      <c r="Y643" s="4"/>
      <c r="Z643" s="4"/>
    </row>
    <row r="644" spans="1:26">
      <c r="A644" s="10"/>
      <c r="B644" s="10"/>
      <c r="C644" s="4"/>
      <c r="D644" s="10"/>
      <c r="E644" s="10"/>
      <c r="F644" s="4"/>
      <c r="G644" s="4"/>
      <c r="H644" s="4"/>
      <c r="I644" s="4"/>
      <c r="J644" s="4"/>
      <c r="K644" s="4"/>
      <c r="L644" s="4"/>
      <c r="M644" s="4"/>
      <c r="N644" s="4"/>
      <c r="O644" s="4"/>
      <c r="P644" s="4"/>
      <c r="Q644" s="4"/>
      <c r="R644" s="4"/>
      <c r="S644" s="4"/>
      <c r="T644" s="4"/>
      <c r="U644" s="4"/>
      <c r="V644" s="4"/>
      <c r="W644" s="4"/>
      <c r="X644" s="4"/>
      <c r="Y644" s="4"/>
      <c r="Z644" s="4"/>
    </row>
    <row r="645" spans="1:26">
      <c r="A645" s="10"/>
      <c r="B645" s="10"/>
      <c r="C645" s="4"/>
      <c r="D645" s="10"/>
      <c r="E645" s="10"/>
      <c r="F645" s="4"/>
      <c r="G645" s="4"/>
      <c r="H645" s="4"/>
      <c r="I645" s="4"/>
      <c r="J645" s="4"/>
      <c r="K645" s="4"/>
      <c r="L645" s="4"/>
      <c r="M645" s="4"/>
      <c r="N645" s="4"/>
      <c r="O645" s="4"/>
      <c r="P645" s="4"/>
      <c r="Q645" s="4"/>
      <c r="R645" s="4"/>
      <c r="S645" s="4"/>
      <c r="T645" s="4"/>
      <c r="U645" s="4"/>
      <c r="V645" s="4"/>
      <c r="W645" s="4"/>
      <c r="X645" s="4"/>
      <c r="Y645" s="4"/>
      <c r="Z645" s="4"/>
    </row>
    <row r="646" spans="1:26">
      <c r="A646" s="10"/>
      <c r="B646" s="10"/>
      <c r="C646" s="4"/>
      <c r="D646" s="10"/>
      <c r="E646" s="10"/>
      <c r="F646" s="4"/>
      <c r="G646" s="4"/>
      <c r="H646" s="4"/>
      <c r="I646" s="4"/>
      <c r="J646" s="4"/>
      <c r="K646" s="4"/>
      <c r="L646" s="4"/>
      <c r="M646" s="4"/>
      <c r="N646" s="4"/>
      <c r="O646" s="4"/>
      <c r="P646" s="4"/>
      <c r="Q646" s="4"/>
      <c r="R646" s="4"/>
      <c r="S646" s="4"/>
      <c r="T646" s="4"/>
      <c r="U646" s="4"/>
      <c r="V646" s="4"/>
      <c r="W646" s="4"/>
      <c r="X646" s="4"/>
      <c r="Y646" s="4"/>
      <c r="Z646" s="4"/>
    </row>
    <row r="647" spans="1:26">
      <c r="A647" s="10"/>
      <c r="B647" s="10"/>
      <c r="C647" s="4"/>
      <c r="D647" s="10"/>
      <c r="E647" s="10"/>
      <c r="F647" s="4"/>
      <c r="G647" s="4"/>
      <c r="H647" s="4"/>
      <c r="I647" s="4"/>
      <c r="J647" s="4"/>
      <c r="K647" s="4"/>
      <c r="L647" s="4"/>
      <c r="M647" s="4"/>
      <c r="N647" s="4"/>
      <c r="O647" s="4"/>
      <c r="P647" s="4"/>
      <c r="Q647" s="4"/>
      <c r="R647" s="4"/>
      <c r="S647" s="4"/>
      <c r="T647" s="4"/>
      <c r="U647" s="4"/>
      <c r="V647" s="4"/>
      <c r="W647" s="4"/>
      <c r="X647" s="4"/>
      <c r="Y647" s="4"/>
      <c r="Z647" s="4"/>
    </row>
    <row r="648" spans="1:26">
      <c r="A648" s="10"/>
      <c r="B648" s="10"/>
      <c r="C648" s="4"/>
      <c r="D648" s="10"/>
      <c r="E648" s="10"/>
      <c r="F648" s="4"/>
      <c r="G648" s="4"/>
      <c r="H648" s="4"/>
      <c r="I648" s="4"/>
      <c r="J648" s="4"/>
      <c r="K648" s="4"/>
      <c r="L648" s="4"/>
      <c r="M648" s="4"/>
      <c r="N648" s="4"/>
      <c r="O648" s="4"/>
      <c r="P648" s="4"/>
      <c r="Q648" s="4"/>
      <c r="R648" s="4"/>
      <c r="S648" s="4"/>
      <c r="T648" s="4"/>
      <c r="U648" s="4"/>
      <c r="V648" s="4"/>
      <c r="W648" s="4"/>
      <c r="X648" s="4"/>
      <c r="Y648" s="4"/>
      <c r="Z648" s="4"/>
    </row>
    <row r="649" spans="1:26">
      <c r="A649" s="10"/>
      <c r="B649" s="10"/>
      <c r="C649" s="4"/>
      <c r="D649" s="10"/>
      <c r="E649" s="10"/>
      <c r="F649" s="4"/>
      <c r="G649" s="4"/>
      <c r="H649" s="4"/>
      <c r="I649" s="4"/>
      <c r="J649" s="4"/>
      <c r="K649" s="4"/>
      <c r="L649" s="4"/>
      <c r="M649" s="4"/>
      <c r="N649" s="4"/>
      <c r="O649" s="4"/>
      <c r="P649" s="4"/>
      <c r="Q649" s="4"/>
      <c r="R649" s="4"/>
      <c r="S649" s="4"/>
      <c r="T649" s="4"/>
      <c r="U649" s="4"/>
      <c r="V649" s="4"/>
      <c r="W649" s="4"/>
      <c r="X649" s="4"/>
      <c r="Y649" s="4"/>
      <c r="Z649" s="4"/>
    </row>
    <row r="650" spans="1:26">
      <c r="A650" s="10"/>
      <c r="B650" s="10"/>
      <c r="C650" s="4"/>
      <c r="D650" s="10"/>
      <c r="E650" s="10"/>
      <c r="F650" s="4"/>
      <c r="G650" s="4"/>
      <c r="H650" s="4"/>
      <c r="I650" s="4"/>
      <c r="J650" s="4"/>
      <c r="K650" s="4"/>
      <c r="L650" s="4"/>
      <c r="M650" s="4"/>
      <c r="N650" s="4"/>
      <c r="O650" s="4"/>
      <c r="P650" s="4"/>
      <c r="Q650" s="4"/>
      <c r="R650" s="4"/>
      <c r="S650" s="4"/>
      <c r="T650" s="4"/>
      <c r="U650" s="4"/>
      <c r="V650" s="4"/>
      <c r="W650" s="4"/>
      <c r="X650" s="4"/>
      <c r="Y650" s="4"/>
      <c r="Z650" s="4"/>
    </row>
    <row r="651" spans="1:26">
      <c r="A651" s="10"/>
      <c r="B651" s="10"/>
      <c r="C651" s="4"/>
      <c r="D651" s="10"/>
      <c r="E651" s="10"/>
      <c r="F651" s="4"/>
      <c r="G651" s="4"/>
      <c r="H651" s="4"/>
      <c r="I651" s="4"/>
      <c r="J651" s="4"/>
      <c r="K651" s="4"/>
      <c r="L651" s="4"/>
      <c r="M651" s="4"/>
      <c r="N651" s="4"/>
      <c r="O651" s="4"/>
      <c r="P651" s="4"/>
      <c r="Q651" s="4"/>
      <c r="R651" s="4"/>
      <c r="S651" s="4"/>
      <c r="T651" s="4"/>
      <c r="U651" s="4"/>
      <c r="V651" s="4"/>
      <c r="W651" s="4"/>
      <c r="X651" s="4"/>
      <c r="Y651" s="4"/>
      <c r="Z651" s="4"/>
    </row>
    <row r="652" spans="1:26">
      <c r="A652" s="10"/>
      <c r="B652" s="10"/>
      <c r="C652" s="4"/>
      <c r="D652" s="10"/>
      <c r="E652" s="10"/>
      <c r="F652" s="4"/>
      <c r="G652" s="4"/>
      <c r="H652" s="4"/>
      <c r="I652" s="4"/>
      <c r="J652" s="4"/>
      <c r="K652" s="4"/>
      <c r="L652" s="4"/>
      <c r="M652" s="4"/>
      <c r="N652" s="4"/>
      <c r="O652" s="4"/>
      <c r="P652" s="4"/>
      <c r="Q652" s="4"/>
      <c r="R652" s="4"/>
      <c r="S652" s="4"/>
      <c r="T652" s="4"/>
      <c r="U652" s="4"/>
      <c r="V652" s="4"/>
      <c r="W652" s="4"/>
      <c r="X652" s="4"/>
      <c r="Y652" s="4"/>
      <c r="Z652" s="4"/>
    </row>
    <row r="653" spans="1:26">
      <c r="A653" s="10"/>
      <c r="B653" s="10"/>
      <c r="C653" s="4"/>
      <c r="D653" s="10"/>
      <c r="E653" s="10"/>
      <c r="F653" s="4"/>
      <c r="G653" s="4"/>
      <c r="H653" s="4"/>
      <c r="I653" s="4"/>
      <c r="J653" s="4"/>
      <c r="K653" s="4"/>
      <c r="L653" s="4"/>
      <c r="M653" s="4"/>
      <c r="N653" s="4"/>
      <c r="O653" s="4"/>
      <c r="P653" s="4"/>
      <c r="Q653" s="4"/>
      <c r="R653" s="4"/>
      <c r="S653" s="4"/>
      <c r="T653" s="4"/>
      <c r="U653" s="4"/>
      <c r="V653" s="4"/>
      <c r="W653" s="4"/>
      <c r="X653" s="4"/>
      <c r="Y653" s="4"/>
      <c r="Z653" s="4"/>
    </row>
    <row r="654" spans="1:26">
      <c r="A654" s="10"/>
      <c r="B654" s="10"/>
      <c r="C654" s="4"/>
      <c r="D654" s="10"/>
      <c r="E654" s="10"/>
      <c r="F654" s="4"/>
      <c r="G654" s="4"/>
      <c r="H654" s="4"/>
      <c r="I654" s="4"/>
      <c r="J654" s="4"/>
      <c r="K654" s="4"/>
      <c r="L654" s="4"/>
      <c r="M654" s="4"/>
      <c r="N654" s="4"/>
      <c r="O654" s="4"/>
      <c r="P654" s="4"/>
      <c r="Q654" s="4"/>
      <c r="R654" s="4"/>
      <c r="S654" s="4"/>
      <c r="T654" s="4"/>
      <c r="U654" s="4"/>
      <c r="V654" s="4"/>
      <c r="W654" s="4"/>
      <c r="X654" s="4"/>
      <c r="Y654" s="4"/>
      <c r="Z654" s="4"/>
    </row>
    <row r="655" spans="1:26">
      <c r="A655" s="10"/>
      <c r="B655" s="10"/>
      <c r="C655" s="4"/>
      <c r="D655" s="10"/>
      <c r="E655" s="10"/>
      <c r="F655" s="4"/>
      <c r="G655" s="4"/>
      <c r="H655" s="4"/>
      <c r="I655" s="4"/>
      <c r="J655" s="4"/>
      <c r="K655" s="4"/>
      <c r="L655" s="4"/>
      <c r="M655" s="4"/>
      <c r="N655" s="4"/>
      <c r="O655" s="4"/>
      <c r="P655" s="4"/>
      <c r="Q655" s="4"/>
      <c r="R655" s="4"/>
      <c r="S655" s="4"/>
      <c r="T655" s="4"/>
      <c r="U655" s="4"/>
      <c r="V655" s="4"/>
      <c r="W655" s="4"/>
      <c r="X655" s="4"/>
      <c r="Y655" s="4"/>
      <c r="Z655" s="4"/>
    </row>
    <row r="656" spans="1:26">
      <c r="A656" s="10"/>
      <c r="B656" s="10"/>
      <c r="C656" s="4"/>
      <c r="D656" s="10"/>
      <c r="E656" s="10"/>
      <c r="F656" s="4"/>
      <c r="G656" s="4"/>
      <c r="H656" s="4"/>
      <c r="I656" s="4"/>
      <c r="J656" s="4"/>
      <c r="K656" s="4"/>
      <c r="L656" s="4"/>
      <c r="M656" s="4"/>
      <c r="N656" s="4"/>
      <c r="O656" s="4"/>
      <c r="P656" s="4"/>
      <c r="Q656" s="4"/>
      <c r="R656" s="4"/>
      <c r="S656" s="4"/>
      <c r="T656" s="4"/>
      <c r="U656" s="4"/>
      <c r="V656" s="4"/>
      <c r="W656" s="4"/>
      <c r="X656" s="4"/>
      <c r="Y656" s="4"/>
      <c r="Z656" s="4"/>
    </row>
    <row r="657" spans="1:26">
      <c r="A657" s="10"/>
      <c r="B657" s="10"/>
      <c r="C657" s="4"/>
      <c r="D657" s="10"/>
      <c r="E657" s="10"/>
      <c r="F657" s="4"/>
      <c r="G657" s="4"/>
      <c r="H657" s="4"/>
      <c r="I657" s="4"/>
      <c r="J657" s="4"/>
      <c r="K657" s="4"/>
      <c r="L657" s="4"/>
      <c r="M657" s="4"/>
      <c r="N657" s="4"/>
      <c r="O657" s="4"/>
      <c r="P657" s="4"/>
      <c r="Q657" s="4"/>
      <c r="R657" s="4"/>
      <c r="S657" s="4"/>
      <c r="T657" s="4"/>
      <c r="U657" s="4"/>
      <c r="V657" s="4"/>
      <c r="W657" s="4"/>
      <c r="X657" s="4"/>
      <c r="Y657" s="4"/>
      <c r="Z657" s="4"/>
    </row>
    <row r="658" spans="1:26">
      <c r="A658" s="10"/>
      <c r="B658" s="10"/>
      <c r="C658" s="4"/>
      <c r="D658" s="10"/>
      <c r="E658" s="10"/>
      <c r="F658" s="4"/>
      <c r="G658" s="4"/>
      <c r="H658" s="4"/>
      <c r="I658" s="4"/>
      <c r="J658" s="4"/>
      <c r="K658" s="4"/>
      <c r="L658" s="4"/>
      <c r="M658" s="4"/>
      <c r="N658" s="4"/>
      <c r="O658" s="4"/>
      <c r="P658" s="4"/>
      <c r="Q658" s="4"/>
      <c r="R658" s="4"/>
      <c r="S658" s="4"/>
      <c r="T658" s="4"/>
      <c r="U658" s="4"/>
      <c r="V658" s="4"/>
      <c r="W658" s="4"/>
      <c r="X658" s="4"/>
      <c r="Y658" s="4"/>
      <c r="Z658" s="4"/>
    </row>
    <row r="659" spans="1:26">
      <c r="A659" s="10"/>
      <c r="B659" s="10"/>
      <c r="C659" s="4"/>
      <c r="D659" s="10"/>
      <c r="E659" s="10"/>
      <c r="F659" s="4"/>
      <c r="G659" s="4"/>
      <c r="H659" s="4"/>
      <c r="I659" s="4"/>
      <c r="J659" s="4"/>
      <c r="K659" s="4"/>
      <c r="L659" s="4"/>
      <c r="M659" s="4"/>
      <c r="N659" s="4"/>
      <c r="O659" s="4"/>
      <c r="P659" s="4"/>
      <c r="Q659" s="4"/>
      <c r="R659" s="4"/>
      <c r="S659" s="4"/>
      <c r="T659" s="4"/>
      <c r="U659" s="4"/>
      <c r="V659" s="4"/>
      <c r="W659" s="4"/>
      <c r="X659" s="4"/>
      <c r="Y659" s="4"/>
      <c r="Z659" s="4"/>
    </row>
    <row r="660" spans="1:26">
      <c r="A660" s="10"/>
      <c r="B660" s="10"/>
      <c r="C660" s="4"/>
      <c r="D660" s="10"/>
      <c r="E660" s="10"/>
      <c r="F660" s="4"/>
      <c r="G660" s="4"/>
      <c r="H660" s="4"/>
      <c r="I660" s="4"/>
      <c r="J660" s="4"/>
      <c r="K660" s="4"/>
      <c r="L660" s="4"/>
      <c r="M660" s="4"/>
      <c r="N660" s="4"/>
      <c r="O660" s="4"/>
      <c r="P660" s="4"/>
      <c r="Q660" s="4"/>
      <c r="R660" s="4"/>
      <c r="S660" s="4"/>
      <c r="T660" s="4"/>
      <c r="U660" s="4"/>
      <c r="V660" s="4"/>
      <c r="W660" s="4"/>
      <c r="X660" s="4"/>
      <c r="Y660" s="4"/>
      <c r="Z660" s="4"/>
    </row>
    <row r="661" spans="1:26">
      <c r="A661" s="10"/>
      <c r="B661" s="10"/>
      <c r="C661" s="4"/>
      <c r="D661" s="10"/>
      <c r="E661" s="10"/>
      <c r="F661" s="4"/>
      <c r="G661" s="4"/>
      <c r="H661" s="4"/>
      <c r="I661" s="4"/>
      <c r="J661" s="4"/>
      <c r="K661" s="4"/>
      <c r="L661" s="4"/>
      <c r="M661" s="4"/>
      <c r="N661" s="4"/>
      <c r="O661" s="4"/>
      <c r="P661" s="4"/>
      <c r="Q661" s="4"/>
      <c r="R661" s="4"/>
      <c r="S661" s="4"/>
      <c r="T661" s="4"/>
      <c r="U661" s="4"/>
      <c r="V661" s="4"/>
      <c r="W661" s="4"/>
      <c r="X661" s="4"/>
      <c r="Y661" s="4"/>
      <c r="Z661" s="4"/>
    </row>
    <row r="662" spans="1:26">
      <c r="A662" s="10"/>
      <c r="B662" s="10"/>
      <c r="C662" s="4"/>
      <c r="D662" s="10"/>
      <c r="E662" s="10"/>
      <c r="F662" s="4"/>
      <c r="G662" s="4"/>
      <c r="H662" s="4"/>
      <c r="I662" s="4"/>
      <c r="J662" s="4"/>
      <c r="K662" s="4"/>
      <c r="L662" s="4"/>
      <c r="M662" s="4"/>
      <c r="N662" s="4"/>
      <c r="O662" s="4"/>
      <c r="P662" s="4"/>
      <c r="Q662" s="4"/>
      <c r="R662" s="4"/>
      <c r="S662" s="4"/>
      <c r="T662" s="4"/>
      <c r="U662" s="4"/>
      <c r="V662" s="4"/>
      <c r="W662" s="4"/>
      <c r="X662" s="4"/>
      <c r="Y662" s="4"/>
      <c r="Z662" s="4"/>
    </row>
    <row r="663" spans="1:26">
      <c r="A663" s="10"/>
      <c r="B663" s="10"/>
      <c r="C663" s="4"/>
      <c r="D663" s="10"/>
      <c r="E663" s="10"/>
      <c r="F663" s="4"/>
      <c r="G663" s="4"/>
      <c r="H663" s="4"/>
      <c r="I663" s="4"/>
      <c r="J663" s="4"/>
      <c r="K663" s="4"/>
      <c r="L663" s="4"/>
      <c r="M663" s="4"/>
      <c r="N663" s="4"/>
      <c r="O663" s="4"/>
      <c r="P663" s="4"/>
      <c r="Q663" s="4"/>
      <c r="R663" s="4"/>
      <c r="S663" s="4"/>
      <c r="T663" s="4"/>
      <c r="U663" s="4"/>
      <c r="V663" s="4"/>
      <c r="W663" s="4"/>
      <c r="X663" s="4"/>
      <c r="Y663" s="4"/>
      <c r="Z663" s="4"/>
    </row>
    <row r="664" spans="1:26">
      <c r="A664" s="10"/>
      <c r="B664" s="10"/>
      <c r="C664" s="4"/>
      <c r="D664" s="10"/>
      <c r="E664" s="10"/>
      <c r="F664" s="4"/>
      <c r="G664" s="4"/>
      <c r="H664" s="4"/>
      <c r="I664" s="4"/>
      <c r="J664" s="4"/>
      <c r="K664" s="4"/>
      <c r="L664" s="4"/>
      <c r="M664" s="4"/>
      <c r="N664" s="4"/>
      <c r="O664" s="4"/>
      <c r="P664" s="4"/>
      <c r="Q664" s="4"/>
      <c r="R664" s="4"/>
      <c r="S664" s="4"/>
      <c r="T664" s="4"/>
      <c r="U664" s="4"/>
      <c r="V664" s="4"/>
      <c r="W664" s="4"/>
      <c r="X664" s="4"/>
      <c r="Y664" s="4"/>
      <c r="Z664" s="4"/>
    </row>
    <row r="665" spans="1:26">
      <c r="A665" s="10"/>
      <c r="B665" s="10"/>
      <c r="C665" s="4"/>
      <c r="D665" s="10"/>
      <c r="E665" s="10"/>
      <c r="F665" s="4"/>
      <c r="G665" s="4"/>
      <c r="H665" s="4"/>
      <c r="I665" s="4"/>
      <c r="J665" s="4"/>
      <c r="K665" s="4"/>
      <c r="L665" s="4"/>
      <c r="M665" s="4"/>
      <c r="N665" s="4"/>
      <c r="O665" s="4"/>
      <c r="P665" s="4"/>
      <c r="Q665" s="4"/>
      <c r="R665" s="4"/>
      <c r="S665" s="4"/>
      <c r="T665" s="4"/>
      <c r="U665" s="4"/>
      <c r="V665" s="4"/>
      <c r="W665" s="4"/>
      <c r="X665" s="4"/>
      <c r="Y665" s="4"/>
      <c r="Z665" s="4"/>
    </row>
    <row r="666" spans="1:26">
      <c r="A666" s="10"/>
      <c r="B666" s="10"/>
      <c r="C666" s="4"/>
      <c r="D666" s="10"/>
      <c r="E666" s="10"/>
      <c r="F666" s="4"/>
      <c r="G666" s="4"/>
      <c r="H666" s="4"/>
      <c r="I666" s="4"/>
      <c r="J666" s="4"/>
      <c r="K666" s="4"/>
      <c r="L666" s="4"/>
      <c r="M666" s="4"/>
      <c r="N666" s="4"/>
      <c r="O666" s="4"/>
      <c r="P666" s="4"/>
      <c r="Q666" s="4"/>
      <c r="R666" s="4"/>
      <c r="S666" s="4"/>
      <c r="T666" s="4"/>
      <c r="U666" s="4"/>
      <c r="V666" s="4"/>
      <c r="W666" s="4"/>
      <c r="X666" s="4"/>
      <c r="Y666" s="4"/>
      <c r="Z666" s="4"/>
    </row>
    <row r="667" spans="1:26">
      <c r="A667" s="10"/>
      <c r="B667" s="10"/>
      <c r="C667" s="4"/>
      <c r="D667" s="10"/>
      <c r="E667" s="10"/>
      <c r="F667" s="4"/>
      <c r="G667" s="4"/>
      <c r="H667" s="4"/>
      <c r="I667" s="4"/>
      <c r="J667" s="4"/>
      <c r="K667" s="4"/>
      <c r="L667" s="4"/>
      <c r="M667" s="4"/>
      <c r="N667" s="4"/>
      <c r="O667" s="4"/>
      <c r="P667" s="4"/>
      <c r="Q667" s="4"/>
      <c r="R667" s="4"/>
      <c r="S667" s="4"/>
      <c r="T667" s="4"/>
      <c r="U667" s="4"/>
      <c r="V667" s="4"/>
      <c r="W667" s="4"/>
      <c r="X667" s="4"/>
      <c r="Y667" s="4"/>
      <c r="Z667" s="4"/>
    </row>
    <row r="668" spans="1:26">
      <c r="A668" s="10"/>
      <c r="B668" s="10"/>
      <c r="C668" s="4"/>
      <c r="D668" s="10"/>
      <c r="E668" s="10"/>
      <c r="F668" s="4"/>
      <c r="G668" s="4"/>
      <c r="H668" s="4"/>
      <c r="I668" s="4"/>
      <c r="J668" s="4"/>
      <c r="K668" s="4"/>
      <c r="L668" s="4"/>
      <c r="M668" s="4"/>
      <c r="N668" s="4"/>
      <c r="O668" s="4"/>
      <c r="P668" s="4"/>
      <c r="Q668" s="4"/>
      <c r="R668" s="4"/>
      <c r="S668" s="4"/>
      <c r="T668" s="4"/>
      <c r="U668" s="4"/>
      <c r="V668" s="4"/>
      <c r="W668" s="4"/>
      <c r="X668" s="4"/>
      <c r="Y668" s="4"/>
      <c r="Z668" s="4"/>
    </row>
    <row r="669" spans="1:26">
      <c r="A669" s="10"/>
      <c r="B669" s="10"/>
      <c r="C669" s="4"/>
      <c r="D669" s="10"/>
      <c r="E669" s="10"/>
      <c r="F669" s="4"/>
      <c r="G669" s="4"/>
      <c r="H669" s="4"/>
      <c r="I669" s="4"/>
      <c r="J669" s="4"/>
      <c r="K669" s="4"/>
      <c r="L669" s="4"/>
      <c r="M669" s="4"/>
      <c r="N669" s="4"/>
      <c r="O669" s="4"/>
      <c r="P669" s="4"/>
      <c r="Q669" s="4"/>
      <c r="R669" s="4"/>
      <c r="S669" s="4"/>
      <c r="T669" s="4"/>
      <c r="U669" s="4"/>
      <c r="V669" s="4"/>
      <c r="W669" s="4"/>
      <c r="X669" s="4"/>
      <c r="Y669" s="4"/>
      <c r="Z669" s="4"/>
    </row>
    <row r="670" spans="1:26">
      <c r="A670" s="10"/>
      <c r="B670" s="10"/>
      <c r="C670" s="4"/>
      <c r="D670" s="10"/>
      <c r="E670" s="10"/>
      <c r="F670" s="4"/>
      <c r="G670" s="4"/>
      <c r="H670" s="4"/>
      <c r="I670" s="4"/>
      <c r="J670" s="4"/>
      <c r="K670" s="4"/>
      <c r="L670" s="4"/>
      <c r="M670" s="4"/>
      <c r="N670" s="4"/>
      <c r="O670" s="4"/>
      <c r="P670" s="4"/>
      <c r="Q670" s="4"/>
      <c r="R670" s="4"/>
      <c r="S670" s="4"/>
      <c r="T670" s="4"/>
      <c r="U670" s="4"/>
      <c r="V670" s="4"/>
      <c r="W670" s="4"/>
      <c r="X670" s="4"/>
      <c r="Y670" s="4"/>
      <c r="Z670" s="4"/>
    </row>
    <row r="671" spans="1:26">
      <c r="A671" s="10"/>
      <c r="B671" s="10"/>
      <c r="C671" s="4"/>
      <c r="D671" s="10"/>
      <c r="E671" s="10"/>
      <c r="F671" s="4"/>
      <c r="G671" s="4"/>
      <c r="H671" s="4"/>
      <c r="I671" s="4"/>
      <c r="J671" s="4"/>
      <c r="K671" s="4"/>
      <c r="L671" s="4"/>
      <c r="M671" s="4"/>
      <c r="N671" s="4"/>
      <c r="O671" s="4"/>
      <c r="P671" s="4"/>
      <c r="Q671" s="4"/>
      <c r="R671" s="4"/>
      <c r="S671" s="4"/>
      <c r="T671" s="4"/>
      <c r="U671" s="4"/>
      <c r="V671" s="4"/>
      <c r="W671" s="4"/>
      <c r="X671" s="4"/>
      <c r="Y671" s="4"/>
      <c r="Z671" s="4"/>
    </row>
    <row r="672" spans="1:26">
      <c r="A672" s="10"/>
      <c r="B672" s="10"/>
      <c r="C672" s="4"/>
      <c r="D672" s="10"/>
      <c r="E672" s="10"/>
      <c r="F672" s="4"/>
      <c r="G672" s="4"/>
      <c r="H672" s="4"/>
      <c r="I672" s="4"/>
      <c r="J672" s="4"/>
      <c r="K672" s="4"/>
      <c r="L672" s="4"/>
      <c r="M672" s="4"/>
      <c r="N672" s="4"/>
      <c r="O672" s="4"/>
      <c r="P672" s="4"/>
      <c r="Q672" s="4"/>
      <c r="R672" s="4"/>
      <c r="S672" s="4"/>
      <c r="T672" s="4"/>
      <c r="U672" s="4"/>
      <c r="V672" s="4"/>
      <c r="W672" s="4"/>
      <c r="X672" s="4"/>
      <c r="Y672" s="4"/>
      <c r="Z672" s="4"/>
    </row>
    <row r="673" spans="1:26">
      <c r="A673" s="10"/>
      <c r="B673" s="10"/>
      <c r="C673" s="4"/>
      <c r="D673" s="10"/>
      <c r="E673" s="10"/>
      <c r="F673" s="4"/>
      <c r="G673" s="4"/>
      <c r="H673" s="4"/>
      <c r="I673" s="4"/>
      <c r="J673" s="4"/>
      <c r="K673" s="4"/>
      <c r="L673" s="4"/>
      <c r="M673" s="4"/>
      <c r="N673" s="4"/>
      <c r="O673" s="4"/>
      <c r="P673" s="4"/>
      <c r="Q673" s="4"/>
      <c r="R673" s="4"/>
      <c r="S673" s="4"/>
      <c r="T673" s="4"/>
      <c r="U673" s="4"/>
      <c r="V673" s="4"/>
      <c r="W673" s="4"/>
      <c r="X673" s="4"/>
      <c r="Y673" s="4"/>
      <c r="Z673" s="4"/>
    </row>
    <row r="674" spans="1:26">
      <c r="A674" s="10"/>
      <c r="B674" s="10"/>
      <c r="C674" s="4"/>
      <c r="D674" s="10"/>
      <c r="E674" s="10"/>
      <c r="F674" s="4"/>
      <c r="G674" s="4"/>
      <c r="H674" s="4"/>
      <c r="I674" s="4"/>
      <c r="J674" s="4"/>
      <c r="K674" s="4"/>
      <c r="L674" s="4"/>
      <c r="M674" s="4"/>
      <c r="N674" s="4"/>
      <c r="O674" s="4"/>
      <c r="P674" s="4"/>
      <c r="Q674" s="4"/>
      <c r="R674" s="4"/>
      <c r="S674" s="4"/>
      <c r="T674" s="4"/>
      <c r="U674" s="4"/>
      <c r="V674" s="4"/>
      <c r="W674" s="4"/>
      <c r="X674" s="4"/>
      <c r="Y674" s="4"/>
      <c r="Z674" s="4"/>
    </row>
    <row r="675" spans="1:26">
      <c r="A675" s="10"/>
      <c r="B675" s="10"/>
      <c r="C675" s="4"/>
      <c r="D675" s="10"/>
      <c r="E675" s="10"/>
      <c r="F675" s="4"/>
      <c r="G675" s="4"/>
      <c r="H675" s="4"/>
      <c r="I675" s="4"/>
      <c r="J675" s="4"/>
      <c r="K675" s="4"/>
      <c r="L675" s="4"/>
      <c r="M675" s="4"/>
      <c r="N675" s="4"/>
      <c r="O675" s="4"/>
      <c r="P675" s="4"/>
      <c r="Q675" s="4"/>
      <c r="R675" s="4"/>
      <c r="S675" s="4"/>
      <c r="T675" s="4"/>
      <c r="U675" s="4"/>
      <c r="V675" s="4"/>
      <c r="W675" s="4"/>
      <c r="X675" s="4"/>
      <c r="Y675" s="4"/>
      <c r="Z675" s="4"/>
    </row>
    <row r="676" spans="1:26">
      <c r="A676" s="10"/>
      <c r="B676" s="10"/>
      <c r="C676" s="4"/>
      <c r="D676" s="10"/>
      <c r="E676" s="10"/>
      <c r="F676" s="4"/>
      <c r="G676" s="4"/>
      <c r="H676" s="4"/>
      <c r="I676" s="4"/>
      <c r="J676" s="4"/>
      <c r="K676" s="4"/>
      <c r="L676" s="4"/>
      <c r="M676" s="4"/>
      <c r="N676" s="4"/>
      <c r="O676" s="4"/>
      <c r="P676" s="4"/>
      <c r="Q676" s="4"/>
      <c r="R676" s="4"/>
      <c r="S676" s="4"/>
      <c r="T676" s="4"/>
      <c r="U676" s="4"/>
      <c r="V676" s="4"/>
      <c r="W676" s="4"/>
      <c r="X676" s="4"/>
      <c r="Y676" s="4"/>
      <c r="Z676" s="4"/>
    </row>
    <row r="677" spans="1:26">
      <c r="A677" s="10"/>
      <c r="B677" s="10"/>
      <c r="C677" s="4"/>
      <c r="D677" s="10"/>
      <c r="E677" s="10"/>
      <c r="F677" s="4"/>
      <c r="G677" s="4"/>
      <c r="H677" s="4"/>
      <c r="I677" s="4"/>
      <c r="J677" s="4"/>
      <c r="K677" s="4"/>
      <c r="L677" s="4"/>
      <c r="M677" s="4"/>
      <c r="N677" s="4"/>
      <c r="O677" s="4"/>
      <c r="P677" s="4"/>
      <c r="Q677" s="4"/>
      <c r="R677" s="4"/>
      <c r="S677" s="4"/>
      <c r="T677" s="4"/>
      <c r="U677" s="4"/>
      <c r="V677" s="4"/>
      <c r="W677" s="4"/>
      <c r="X677" s="4"/>
      <c r="Y677" s="4"/>
      <c r="Z677" s="4"/>
    </row>
    <row r="678" spans="1:26">
      <c r="A678" s="10"/>
      <c r="B678" s="10"/>
      <c r="C678" s="4"/>
      <c r="D678" s="10"/>
      <c r="E678" s="10"/>
      <c r="F678" s="4"/>
      <c r="G678" s="4"/>
      <c r="H678" s="4"/>
      <c r="I678" s="4"/>
      <c r="J678" s="4"/>
      <c r="K678" s="4"/>
      <c r="L678" s="4"/>
      <c r="M678" s="4"/>
      <c r="N678" s="4"/>
      <c r="O678" s="4"/>
      <c r="P678" s="4"/>
      <c r="Q678" s="4"/>
      <c r="R678" s="4"/>
      <c r="S678" s="4"/>
      <c r="T678" s="4"/>
      <c r="U678" s="4"/>
      <c r="V678" s="4"/>
      <c r="W678" s="4"/>
      <c r="X678" s="4"/>
      <c r="Y678" s="4"/>
      <c r="Z678" s="4"/>
    </row>
    <row r="679" spans="1:26">
      <c r="A679" s="10"/>
      <c r="B679" s="10"/>
      <c r="C679" s="4"/>
      <c r="D679" s="10"/>
      <c r="E679" s="10"/>
      <c r="F679" s="4"/>
      <c r="G679" s="4"/>
      <c r="H679" s="4"/>
      <c r="I679" s="4"/>
      <c r="J679" s="4"/>
      <c r="K679" s="4"/>
      <c r="L679" s="4"/>
      <c r="M679" s="4"/>
      <c r="N679" s="4"/>
      <c r="O679" s="4"/>
      <c r="P679" s="4"/>
      <c r="Q679" s="4"/>
      <c r="R679" s="4"/>
      <c r="S679" s="4"/>
      <c r="T679" s="4"/>
      <c r="U679" s="4"/>
      <c r="V679" s="4"/>
      <c r="W679" s="4"/>
      <c r="X679" s="4"/>
      <c r="Y679" s="4"/>
      <c r="Z679" s="4"/>
    </row>
    <row r="680" spans="1:26">
      <c r="A680" s="10"/>
      <c r="B680" s="10"/>
      <c r="C680" s="4"/>
      <c r="D680" s="10"/>
      <c r="E680" s="10"/>
      <c r="F680" s="4"/>
      <c r="G680" s="4"/>
      <c r="H680" s="4"/>
      <c r="I680" s="4"/>
      <c r="J680" s="4"/>
      <c r="K680" s="4"/>
      <c r="L680" s="4"/>
      <c r="M680" s="4"/>
      <c r="N680" s="4"/>
      <c r="O680" s="4"/>
      <c r="P680" s="4"/>
      <c r="Q680" s="4"/>
      <c r="R680" s="4"/>
      <c r="S680" s="4"/>
      <c r="T680" s="4"/>
      <c r="U680" s="4"/>
      <c r="V680" s="4"/>
      <c r="W680" s="4"/>
      <c r="X680" s="4"/>
      <c r="Y680" s="4"/>
      <c r="Z680" s="4"/>
    </row>
    <row r="681" spans="1:26">
      <c r="A681" s="10"/>
      <c r="B681" s="10"/>
      <c r="C681" s="4"/>
      <c r="D681" s="10"/>
      <c r="E681" s="10"/>
      <c r="F681" s="4"/>
      <c r="G681" s="4"/>
      <c r="H681" s="4"/>
      <c r="I681" s="4"/>
      <c r="J681" s="4"/>
      <c r="K681" s="4"/>
      <c r="L681" s="4"/>
      <c r="M681" s="4"/>
      <c r="N681" s="4"/>
      <c r="O681" s="4"/>
      <c r="P681" s="4"/>
      <c r="Q681" s="4"/>
      <c r="R681" s="4"/>
      <c r="S681" s="4"/>
      <c r="T681" s="4"/>
      <c r="U681" s="4"/>
      <c r="V681" s="4"/>
      <c r="W681" s="4"/>
      <c r="X681" s="4"/>
      <c r="Y681" s="4"/>
      <c r="Z681" s="4"/>
    </row>
    <row r="682" spans="1:26">
      <c r="A682" s="10"/>
      <c r="B682" s="10"/>
      <c r="C682" s="4"/>
      <c r="D682" s="10"/>
      <c r="E682" s="10"/>
      <c r="F682" s="4"/>
      <c r="G682" s="4"/>
      <c r="H682" s="4"/>
      <c r="I682" s="4"/>
      <c r="J682" s="4"/>
      <c r="K682" s="4"/>
      <c r="L682" s="4"/>
      <c r="M682" s="4"/>
      <c r="N682" s="4"/>
      <c r="O682" s="4"/>
      <c r="P682" s="4"/>
      <c r="Q682" s="4"/>
      <c r="R682" s="4"/>
      <c r="S682" s="4"/>
      <c r="T682" s="4"/>
      <c r="U682" s="4"/>
      <c r="V682" s="4"/>
      <c r="W682" s="4"/>
      <c r="X682" s="4"/>
      <c r="Y682" s="4"/>
      <c r="Z682" s="4"/>
    </row>
    <row r="683" spans="1:26">
      <c r="A683" s="10"/>
      <c r="B683" s="10"/>
      <c r="C683" s="4"/>
      <c r="D683" s="10"/>
      <c r="E683" s="10"/>
      <c r="F683" s="4"/>
      <c r="G683" s="4"/>
      <c r="H683" s="4"/>
      <c r="I683" s="4"/>
      <c r="J683" s="4"/>
      <c r="K683" s="4"/>
      <c r="L683" s="4"/>
      <c r="M683" s="4"/>
      <c r="N683" s="4"/>
      <c r="O683" s="4"/>
      <c r="P683" s="4"/>
      <c r="Q683" s="4"/>
      <c r="R683" s="4"/>
      <c r="S683" s="4"/>
      <c r="T683" s="4"/>
      <c r="U683" s="4"/>
      <c r="V683" s="4"/>
      <c r="W683" s="4"/>
      <c r="X683" s="4"/>
      <c r="Y683" s="4"/>
      <c r="Z683" s="4"/>
    </row>
    <row r="684" spans="1:26">
      <c r="A684" s="10"/>
      <c r="B684" s="10"/>
      <c r="C684" s="4"/>
      <c r="D684" s="10"/>
      <c r="E684" s="10"/>
      <c r="F684" s="4"/>
      <c r="G684" s="4"/>
      <c r="H684" s="4"/>
      <c r="I684" s="4"/>
      <c r="J684" s="4"/>
      <c r="K684" s="4"/>
      <c r="L684" s="4"/>
      <c r="M684" s="4"/>
      <c r="N684" s="4"/>
      <c r="O684" s="4"/>
      <c r="P684" s="4"/>
      <c r="Q684" s="4"/>
      <c r="R684" s="4"/>
      <c r="S684" s="4"/>
      <c r="T684" s="4"/>
      <c r="U684" s="4"/>
      <c r="V684" s="4"/>
      <c r="W684" s="4"/>
      <c r="X684" s="4"/>
      <c r="Y684" s="4"/>
      <c r="Z684" s="4"/>
    </row>
    <row r="685" spans="1:26">
      <c r="A685" s="10"/>
      <c r="B685" s="10"/>
      <c r="C685" s="4"/>
      <c r="D685" s="10"/>
      <c r="E685" s="10"/>
      <c r="F685" s="4"/>
      <c r="G685" s="4"/>
      <c r="H685" s="4"/>
      <c r="I685" s="4"/>
      <c r="J685" s="4"/>
      <c r="K685" s="4"/>
      <c r="L685" s="4"/>
      <c r="M685" s="4"/>
      <c r="N685" s="4"/>
      <c r="O685" s="4"/>
      <c r="P685" s="4"/>
      <c r="Q685" s="4"/>
      <c r="R685" s="4"/>
      <c r="S685" s="4"/>
      <c r="T685" s="4"/>
      <c r="U685" s="4"/>
      <c r="V685" s="4"/>
      <c r="W685" s="4"/>
      <c r="X685" s="4"/>
      <c r="Y685" s="4"/>
      <c r="Z685" s="4"/>
    </row>
    <row r="686" spans="1:26">
      <c r="A686" s="10"/>
      <c r="B686" s="10"/>
      <c r="C686" s="4"/>
      <c r="D686" s="10"/>
      <c r="E686" s="10"/>
      <c r="F686" s="4"/>
      <c r="G686" s="4"/>
      <c r="H686" s="4"/>
      <c r="I686" s="4"/>
      <c r="J686" s="4"/>
      <c r="K686" s="4"/>
      <c r="L686" s="4"/>
      <c r="M686" s="4"/>
      <c r="N686" s="4"/>
      <c r="O686" s="4"/>
      <c r="P686" s="4"/>
      <c r="Q686" s="4"/>
      <c r="R686" s="4"/>
      <c r="S686" s="4"/>
      <c r="T686" s="4"/>
      <c r="U686" s="4"/>
      <c r="V686" s="4"/>
      <c r="W686" s="4"/>
      <c r="X686" s="4"/>
      <c r="Y686" s="4"/>
      <c r="Z686" s="4"/>
    </row>
    <row r="687" spans="1:26">
      <c r="A687" s="10"/>
      <c r="B687" s="10"/>
      <c r="C687" s="4"/>
      <c r="D687" s="10"/>
      <c r="E687" s="10"/>
      <c r="F687" s="4"/>
      <c r="G687" s="4"/>
      <c r="H687" s="4"/>
      <c r="I687" s="4"/>
      <c r="J687" s="4"/>
      <c r="K687" s="4"/>
      <c r="L687" s="4"/>
      <c r="M687" s="4"/>
      <c r="N687" s="4"/>
      <c r="O687" s="4"/>
      <c r="P687" s="4"/>
      <c r="Q687" s="4"/>
      <c r="R687" s="4"/>
      <c r="S687" s="4"/>
      <c r="T687" s="4"/>
      <c r="U687" s="4"/>
      <c r="V687" s="4"/>
      <c r="W687" s="4"/>
      <c r="X687" s="4"/>
      <c r="Y687" s="4"/>
      <c r="Z687" s="4"/>
    </row>
    <row r="688" spans="1:26">
      <c r="A688" s="10"/>
      <c r="B688" s="10"/>
      <c r="C688" s="4"/>
      <c r="D688" s="10"/>
      <c r="E688" s="10"/>
      <c r="F688" s="4"/>
      <c r="G688" s="4"/>
      <c r="H688" s="4"/>
      <c r="I688" s="4"/>
      <c r="J688" s="4"/>
      <c r="K688" s="4"/>
      <c r="L688" s="4"/>
      <c r="M688" s="4"/>
      <c r="N688" s="4"/>
      <c r="O688" s="4"/>
      <c r="P688" s="4"/>
      <c r="Q688" s="4"/>
      <c r="R688" s="4"/>
      <c r="S688" s="4"/>
      <c r="T688" s="4"/>
      <c r="U688" s="4"/>
      <c r="V688" s="4"/>
      <c r="W688" s="4"/>
      <c r="X688" s="4"/>
      <c r="Y688" s="4"/>
      <c r="Z688" s="4"/>
    </row>
    <row r="689" spans="1:26">
      <c r="A689" s="10"/>
      <c r="B689" s="10"/>
      <c r="C689" s="4"/>
      <c r="D689" s="10"/>
      <c r="E689" s="10"/>
      <c r="F689" s="4"/>
      <c r="G689" s="4"/>
      <c r="H689" s="4"/>
      <c r="I689" s="4"/>
      <c r="J689" s="4"/>
      <c r="K689" s="4"/>
      <c r="L689" s="4"/>
      <c r="M689" s="4"/>
      <c r="N689" s="4"/>
      <c r="O689" s="4"/>
      <c r="P689" s="4"/>
      <c r="Q689" s="4"/>
      <c r="R689" s="4"/>
      <c r="S689" s="4"/>
      <c r="T689" s="4"/>
      <c r="U689" s="4"/>
      <c r="V689" s="4"/>
      <c r="W689" s="4"/>
      <c r="X689" s="4"/>
      <c r="Y689" s="4"/>
      <c r="Z689" s="4"/>
    </row>
    <row r="690" spans="1:26">
      <c r="A690" s="10"/>
      <c r="B690" s="10"/>
      <c r="C690" s="4"/>
      <c r="D690" s="10"/>
      <c r="E690" s="10"/>
      <c r="F690" s="4"/>
      <c r="G690" s="4"/>
      <c r="H690" s="4"/>
      <c r="I690" s="4"/>
      <c r="J690" s="4"/>
      <c r="K690" s="4"/>
      <c r="L690" s="4"/>
      <c r="M690" s="4"/>
      <c r="N690" s="4"/>
      <c r="O690" s="4"/>
      <c r="P690" s="4"/>
      <c r="Q690" s="4"/>
      <c r="R690" s="4"/>
      <c r="S690" s="4"/>
      <c r="T690" s="4"/>
      <c r="U690" s="4"/>
      <c r="V690" s="4"/>
      <c r="W690" s="4"/>
      <c r="X690" s="4"/>
      <c r="Y690" s="4"/>
      <c r="Z690" s="4"/>
    </row>
    <row r="691" spans="1:26">
      <c r="A691" s="10"/>
      <c r="B691" s="10"/>
      <c r="C691" s="4"/>
      <c r="D691" s="10"/>
      <c r="E691" s="10"/>
      <c r="F691" s="4"/>
      <c r="G691" s="4"/>
      <c r="H691" s="4"/>
      <c r="I691" s="4"/>
      <c r="J691" s="4"/>
      <c r="K691" s="4"/>
      <c r="L691" s="4"/>
      <c r="M691" s="4"/>
      <c r="N691" s="4"/>
      <c r="O691" s="4"/>
      <c r="P691" s="4"/>
      <c r="Q691" s="4"/>
      <c r="R691" s="4"/>
      <c r="S691" s="4"/>
      <c r="T691" s="4"/>
      <c r="U691" s="4"/>
      <c r="V691" s="4"/>
      <c r="W691" s="4"/>
      <c r="X691" s="4"/>
      <c r="Y691" s="4"/>
      <c r="Z691" s="4"/>
    </row>
    <row r="692" spans="1:26">
      <c r="A692" s="10"/>
      <c r="B692" s="10"/>
      <c r="C692" s="4"/>
      <c r="D692" s="10"/>
      <c r="E692" s="10"/>
      <c r="F692" s="4"/>
      <c r="G692" s="4"/>
      <c r="H692" s="4"/>
      <c r="I692" s="4"/>
      <c r="J692" s="4"/>
      <c r="K692" s="4"/>
      <c r="L692" s="4"/>
      <c r="M692" s="4"/>
      <c r="N692" s="4"/>
      <c r="O692" s="4"/>
      <c r="P692" s="4"/>
      <c r="Q692" s="4"/>
      <c r="R692" s="4"/>
      <c r="S692" s="4"/>
      <c r="T692" s="4"/>
      <c r="U692" s="4"/>
      <c r="V692" s="4"/>
      <c r="W692" s="4"/>
      <c r="X692" s="4"/>
      <c r="Y692" s="4"/>
      <c r="Z692" s="4"/>
    </row>
    <row r="693" spans="1:26">
      <c r="A693" s="10"/>
      <c r="B693" s="10"/>
      <c r="C693" s="4"/>
      <c r="D693" s="10"/>
      <c r="E693" s="10"/>
      <c r="F693" s="4"/>
      <c r="G693" s="4"/>
      <c r="H693" s="4"/>
      <c r="I693" s="4"/>
      <c r="J693" s="4"/>
      <c r="K693" s="4"/>
      <c r="L693" s="4"/>
      <c r="M693" s="4"/>
      <c r="N693" s="4"/>
      <c r="O693" s="4"/>
      <c r="P693" s="4"/>
      <c r="Q693" s="4"/>
      <c r="R693" s="4"/>
      <c r="S693" s="4"/>
      <c r="T693" s="4"/>
      <c r="U693" s="4"/>
      <c r="V693" s="4"/>
      <c r="W693" s="4"/>
      <c r="X693" s="4"/>
      <c r="Y693" s="4"/>
      <c r="Z693" s="4"/>
    </row>
    <row r="694" spans="1:26">
      <c r="A694" s="10"/>
      <c r="B694" s="10"/>
      <c r="C694" s="4"/>
      <c r="D694" s="10"/>
      <c r="E694" s="10"/>
      <c r="F694" s="4"/>
      <c r="G694" s="4"/>
      <c r="H694" s="4"/>
      <c r="I694" s="4"/>
      <c r="J694" s="4"/>
      <c r="K694" s="4"/>
      <c r="L694" s="4"/>
      <c r="M694" s="4"/>
      <c r="N694" s="4"/>
      <c r="O694" s="4"/>
      <c r="P694" s="4"/>
      <c r="Q694" s="4"/>
      <c r="R694" s="4"/>
      <c r="S694" s="4"/>
      <c r="T694" s="4"/>
      <c r="U694" s="4"/>
      <c r="V694" s="4"/>
      <c r="W694" s="4"/>
      <c r="X694" s="4"/>
      <c r="Y694" s="4"/>
      <c r="Z694" s="4"/>
    </row>
    <row r="695" spans="1:26">
      <c r="A695" s="10"/>
      <c r="B695" s="10"/>
      <c r="C695" s="4"/>
      <c r="D695" s="10"/>
      <c r="E695" s="10"/>
      <c r="F695" s="4"/>
      <c r="G695" s="4"/>
      <c r="H695" s="4"/>
      <c r="I695" s="4"/>
      <c r="J695" s="4"/>
      <c r="K695" s="4"/>
      <c r="L695" s="4"/>
      <c r="M695" s="4"/>
      <c r="N695" s="4"/>
      <c r="O695" s="4"/>
      <c r="P695" s="4"/>
      <c r="Q695" s="4"/>
      <c r="R695" s="4"/>
      <c r="S695" s="4"/>
      <c r="T695" s="4"/>
      <c r="U695" s="4"/>
      <c r="V695" s="4"/>
      <c r="W695" s="4"/>
      <c r="X695" s="4"/>
      <c r="Y695" s="4"/>
      <c r="Z695" s="4"/>
    </row>
    <row r="696" spans="1:26">
      <c r="A696" s="10"/>
      <c r="B696" s="10"/>
      <c r="C696" s="4"/>
      <c r="D696" s="10"/>
      <c r="E696" s="10"/>
      <c r="F696" s="4"/>
      <c r="G696" s="4"/>
      <c r="H696" s="4"/>
      <c r="I696" s="4"/>
      <c r="J696" s="4"/>
      <c r="K696" s="4"/>
      <c r="L696" s="4"/>
      <c r="M696" s="4"/>
      <c r="N696" s="4"/>
      <c r="O696" s="4"/>
      <c r="P696" s="4"/>
      <c r="Q696" s="4"/>
      <c r="R696" s="4"/>
      <c r="S696" s="4"/>
      <c r="T696" s="4"/>
      <c r="U696" s="4"/>
      <c r="V696" s="4"/>
      <c r="W696" s="4"/>
      <c r="X696" s="4"/>
      <c r="Y696" s="4"/>
      <c r="Z696" s="4"/>
    </row>
    <row r="697" spans="1:26">
      <c r="A697" s="10"/>
      <c r="B697" s="10"/>
      <c r="C697" s="4"/>
      <c r="D697" s="10"/>
      <c r="E697" s="10"/>
      <c r="F697" s="4"/>
      <c r="G697" s="4"/>
      <c r="H697" s="4"/>
      <c r="I697" s="4"/>
      <c r="J697" s="4"/>
      <c r="K697" s="4"/>
      <c r="L697" s="4"/>
      <c r="M697" s="4"/>
      <c r="N697" s="4"/>
      <c r="O697" s="4"/>
      <c r="P697" s="4"/>
      <c r="Q697" s="4"/>
      <c r="R697" s="4"/>
      <c r="S697" s="4"/>
      <c r="T697" s="4"/>
      <c r="U697" s="4"/>
      <c r="V697" s="4"/>
      <c r="W697" s="4"/>
      <c r="X697" s="4"/>
      <c r="Y697" s="4"/>
      <c r="Z697" s="4"/>
    </row>
    <row r="698" spans="1:26">
      <c r="A698" s="10"/>
      <c r="B698" s="10"/>
      <c r="C698" s="4"/>
      <c r="D698" s="10"/>
      <c r="E698" s="10"/>
      <c r="F698" s="4"/>
      <c r="G698" s="4"/>
      <c r="H698" s="4"/>
      <c r="I698" s="4"/>
      <c r="J698" s="4"/>
      <c r="K698" s="4"/>
      <c r="L698" s="4"/>
      <c r="M698" s="4"/>
      <c r="N698" s="4"/>
      <c r="O698" s="4"/>
      <c r="P698" s="4"/>
      <c r="Q698" s="4"/>
      <c r="R698" s="4"/>
      <c r="S698" s="4"/>
      <c r="T698" s="4"/>
      <c r="U698" s="4"/>
      <c r="V698" s="4"/>
      <c r="W698" s="4"/>
      <c r="X698" s="4"/>
      <c r="Y698" s="4"/>
      <c r="Z698" s="4"/>
    </row>
    <row r="699" spans="1:26">
      <c r="A699" s="10"/>
      <c r="B699" s="10"/>
      <c r="C699" s="4"/>
      <c r="D699" s="10"/>
      <c r="E699" s="10"/>
      <c r="F699" s="4"/>
      <c r="G699" s="4"/>
      <c r="H699" s="4"/>
      <c r="I699" s="4"/>
      <c r="J699" s="4"/>
      <c r="K699" s="4"/>
      <c r="L699" s="4"/>
      <c r="M699" s="4"/>
      <c r="N699" s="4"/>
      <c r="O699" s="4"/>
      <c r="P699" s="4"/>
      <c r="Q699" s="4"/>
      <c r="R699" s="4"/>
      <c r="S699" s="4"/>
      <c r="T699" s="4"/>
      <c r="U699" s="4"/>
      <c r="V699" s="4"/>
      <c r="W699" s="4"/>
      <c r="X699" s="4"/>
      <c r="Y699" s="4"/>
      <c r="Z699" s="4"/>
    </row>
    <row r="700" spans="1:26">
      <c r="A700" s="10"/>
      <c r="B700" s="10"/>
      <c r="C700" s="4"/>
      <c r="D700" s="10"/>
      <c r="E700" s="10"/>
      <c r="F700" s="4"/>
      <c r="G700" s="4"/>
      <c r="H700" s="4"/>
      <c r="I700" s="4"/>
      <c r="J700" s="4"/>
      <c r="K700" s="4"/>
      <c r="L700" s="4"/>
      <c r="M700" s="4"/>
      <c r="N700" s="4"/>
      <c r="O700" s="4"/>
      <c r="P700" s="4"/>
      <c r="Q700" s="4"/>
      <c r="R700" s="4"/>
      <c r="S700" s="4"/>
      <c r="T700" s="4"/>
      <c r="U700" s="4"/>
      <c r="V700" s="4"/>
      <c r="W700" s="4"/>
      <c r="X700" s="4"/>
      <c r="Y700" s="4"/>
      <c r="Z700" s="4"/>
    </row>
    <row r="701" spans="1:26">
      <c r="A701" s="10"/>
      <c r="B701" s="10"/>
      <c r="C701" s="4"/>
      <c r="D701" s="10"/>
      <c r="E701" s="10"/>
      <c r="F701" s="4"/>
      <c r="G701" s="4"/>
      <c r="H701" s="4"/>
      <c r="I701" s="4"/>
      <c r="J701" s="4"/>
      <c r="K701" s="4"/>
      <c r="L701" s="4"/>
      <c r="M701" s="4"/>
      <c r="N701" s="4"/>
      <c r="O701" s="4"/>
      <c r="P701" s="4"/>
      <c r="Q701" s="4"/>
      <c r="R701" s="4"/>
      <c r="S701" s="4"/>
      <c r="T701" s="4"/>
      <c r="U701" s="4"/>
      <c r="V701" s="4"/>
      <c r="W701" s="4"/>
      <c r="X701" s="4"/>
      <c r="Y701" s="4"/>
      <c r="Z701" s="4"/>
    </row>
    <row r="702" spans="1:26">
      <c r="A702" s="10"/>
      <c r="B702" s="10"/>
      <c r="C702" s="4"/>
      <c r="D702" s="10"/>
      <c r="E702" s="10"/>
      <c r="F702" s="4"/>
      <c r="G702" s="4"/>
      <c r="H702" s="4"/>
      <c r="I702" s="4"/>
      <c r="J702" s="4"/>
      <c r="K702" s="4"/>
      <c r="L702" s="4"/>
      <c r="M702" s="4"/>
      <c r="N702" s="4"/>
      <c r="O702" s="4"/>
      <c r="P702" s="4"/>
      <c r="Q702" s="4"/>
      <c r="R702" s="4"/>
      <c r="S702" s="4"/>
      <c r="T702" s="4"/>
      <c r="U702" s="4"/>
      <c r="V702" s="4"/>
      <c r="W702" s="4"/>
      <c r="X702" s="4"/>
      <c r="Y702" s="4"/>
      <c r="Z702" s="4"/>
    </row>
    <row r="703" spans="1:26">
      <c r="A703" s="10"/>
      <c r="B703" s="10"/>
      <c r="C703" s="4"/>
      <c r="D703" s="10"/>
      <c r="E703" s="10"/>
      <c r="F703" s="4"/>
      <c r="G703" s="4"/>
      <c r="H703" s="4"/>
      <c r="I703" s="4"/>
      <c r="J703" s="4"/>
      <c r="K703" s="4"/>
      <c r="L703" s="4"/>
      <c r="M703" s="4"/>
      <c r="N703" s="4"/>
      <c r="O703" s="4"/>
      <c r="P703" s="4"/>
      <c r="Q703" s="4"/>
      <c r="R703" s="4"/>
      <c r="S703" s="4"/>
      <c r="T703" s="4"/>
      <c r="U703" s="4"/>
      <c r="V703" s="4"/>
      <c r="W703" s="4"/>
      <c r="X703" s="4"/>
      <c r="Y703" s="4"/>
      <c r="Z703" s="4"/>
    </row>
    <row r="704" spans="1:26">
      <c r="A704" s="10"/>
      <c r="B704" s="10"/>
      <c r="C704" s="4"/>
      <c r="D704" s="10"/>
      <c r="E704" s="10"/>
      <c r="F704" s="4"/>
      <c r="G704" s="4"/>
      <c r="H704" s="4"/>
      <c r="I704" s="4"/>
      <c r="J704" s="4"/>
      <c r="K704" s="4"/>
      <c r="L704" s="4"/>
      <c r="M704" s="4"/>
      <c r="N704" s="4"/>
      <c r="O704" s="4"/>
      <c r="P704" s="4"/>
      <c r="Q704" s="4"/>
      <c r="R704" s="4"/>
      <c r="S704" s="4"/>
      <c r="T704" s="4"/>
      <c r="U704" s="4"/>
      <c r="V704" s="4"/>
      <c r="W704" s="4"/>
      <c r="X704" s="4"/>
      <c r="Y704" s="4"/>
      <c r="Z704" s="4"/>
    </row>
    <row r="705" spans="1:26">
      <c r="A705" s="10"/>
      <c r="B705" s="10"/>
      <c r="C705" s="4"/>
      <c r="D705" s="10"/>
      <c r="E705" s="10"/>
      <c r="F705" s="4"/>
      <c r="G705" s="4"/>
      <c r="H705" s="4"/>
      <c r="I705" s="4"/>
      <c r="J705" s="4"/>
      <c r="K705" s="4"/>
      <c r="L705" s="4"/>
      <c r="M705" s="4"/>
      <c r="N705" s="4"/>
      <c r="O705" s="4"/>
      <c r="P705" s="4"/>
      <c r="Q705" s="4"/>
      <c r="R705" s="4"/>
      <c r="S705" s="4"/>
      <c r="T705" s="4"/>
      <c r="U705" s="4"/>
      <c r="V705" s="4"/>
      <c r="W705" s="4"/>
      <c r="X705" s="4"/>
      <c r="Y705" s="4"/>
      <c r="Z705" s="4"/>
    </row>
    <row r="706" spans="1:26">
      <c r="A706" s="10"/>
      <c r="B706" s="10"/>
      <c r="C706" s="4"/>
      <c r="D706" s="10"/>
      <c r="E706" s="10"/>
      <c r="F706" s="4"/>
      <c r="G706" s="4"/>
      <c r="H706" s="4"/>
      <c r="I706" s="4"/>
      <c r="J706" s="4"/>
      <c r="K706" s="4"/>
      <c r="L706" s="4"/>
      <c r="M706" s="4"/>
      <c r="N706" s="4"/>
      <c r="O706" s="4"/>
      <c r="P706" s="4"/>
      <c r="Q706" s="4"/>
      <c r="R706" s="4"/>
      <c r="S706" s="4"/>
      <c r="T706" s="4"/>
      <c r="U706" s="4"/>
      <c r="V706" s="4"/>
      <c r="W706" s="4"/>
      <c r="X706" s="4"/>
      <c r="Y706" s="4"/>
      <c r="Z706" s="4"/>
    </row>
    <row r="707" spans="1:26">
      <c r="A707" s="10"/>
      <c r="B707" s="10"/>
      <c r="C707" s="4"/>
      <c r="D707" s="10"/>
      <c r="E707" s="10"/>
      <c r="F707" s="4"/>
      <c r="G707" s="4"/>
      <c r="H707" s="4"/>
      <c r="I707" s="4"/>
      <c r="J707" s="4"/>
      <c r="K707" s="4"/>
      <c r="L707" s="4"/>
      <c r="M707" s="4"/>
      <c r="N707" s="4"/>
      <c r="O707" s="4"/>
      <c r="P707" s="4"/>
      <c r="Q707" s="4"/>
      <c r="R707" s="4"/>
      <c r="S707" s="4"/>
      <c r="T707" s="4"/>
      <c r="U707" s="4"/>
      <c r="V707" s="4"/>
      <c r="W707" s="4"/>
      <c r="X707" s="4"/>
      <c r="Y707" s="4"/>
      <c r="Z707" s="4"/>
    </row>
    <row r="708" spans="1:26">
      <c r="A708" s="10"/>
      <c r="B708" s="10"/>
      <c r="C708" s="4"/>
      <c r="D708" s="10"/>
      <c r="E708" s="10"/>
      <c r="F708" s="4"/>
      <c r="G708" s="4"/>
      <c r="H708" s="4"/>
      <c r="I708" s="4"/>
      <c r="J708" s="4"/>
      <c r="K708" s="4"/>
      <c r="L708" s="4"/>
      <c r="M708" s="4"/>
      <c r="N708" s="4"/>
      <c r="O708" s="4"/>
      <c r="P708" s="4"/>
      <c r="Q708" s="4"/>
      <c r="R708" s="4"/>
      <c r="S708" s="4"/>
      <c r="T708" s="4"/>
      <c r="U708" s="4"/>
      <c r="V708" s="4"/>
      <c r="W708" s="4"/>
      <c r="X708" s="4"/>
      <c r="Y708" s="4"/>
      <c r="Z708" s="4"/>
    </row>
    <row r="709" spans="1:26">
      <c r="A709" s="10"/>
      <c r="B709" s="10"/>
      <c r="C709" s="4"/>
      <c r="D709" s="10"/>
      <c r="E709" s="10"/>
      <c r="F709" s="4"/>
      <c r="G709" s="4"/>
      <c r="H709" s="4"/>
      <c r="I709" s="4"/>
      <c r="J709" s="4"/>
      <c r="K709" s="4"/>
      <c r="L709" s="4"/>
      <c r="M709" s="4"/>
      <c r="N709" s="4"/>
      <c r="O709" s="4"/>
      <c r="P709" s="4"/>
      <c r="Q709" s="4"/>
      <c r="R709" s="4"/>
      <c r="S709" s="4"/>
      <c r="T709" s="4"/>
      <c r="U709" s="4"/>
      <c r="V709" s="4"/>
      <c r="W709" s="4"/>
      <c r="X709" s="4"/>
      <c r="Y709" s="4"/>
      <c r="Z709" s="4"/>
    </row>
    <row r="710" spans="1:26">
      <c r="A710" s="10"/>
      <c r="B710" s="10"/>
      <c r="C710" s="4"/>
      <c r="D710" s="10"/>
      <c r="E710" s="10"/>
      <c r="F710" s="4"/>
      <c r="G710" s="4"/>
      <c r="H710" s="4"/>
      <c r="I710" s="4"/>
      <c r="J710" s="4"/>
      <c r="K710" s="4"/>
      <c r="L710" s="4"/>
      <c r="M710" s="4"/>
      <c r="N710" s="4"/>
      <c r="O710" s="4"/>
      <c r="P710" s="4"/>
      <c r="Q710" s="4"/>
      <c r="R710" s="4"/>
      <c r="S710" s="4"/>
      <c r="T710" s="4"/>
      <c r="U710" s="4"/>
      <c r="V710" s="4"/>
      <c r="W710" s="4"/>
      <c r="X710" s="4"/>
      <c r="Y710" s="4"/>
      <c r="Z710" s="4"/>
    </row>
    <row r="711" spans="1:26">
      <c r="A711" s="10"/>
      <c r="B711" s="10"/>
      <c r="C711" s="4"/>
      <c r="D711" s="10"/>
      <c r="E711" s="10"/>
      <c r="F711" s="4"/>
      <c r="G711" s="4"/>
      <c r="H711" s="4"/>
      <c r="I711" s="4"/>
      <c r="J711" s="4"/>
      <c r="K711" s="4"/>
      <c r="L711" s="4"/>
      <c r="M711" s="4"/>
      <c r="N711" s="4"/>
      <c r="O711" s="4"/>
      <c r="P711" s="4"/>
      <c r="Q711" s="4"/>
      <c r="R711" s="4"/>
      <c r="S711" s="4"/>
      <c r="T711" s="4"/>
      <c r="U711" s="4"/>
      <c r="V711" s="4"/>
      <c r="W711" s="4"/>
      <c r="X711" s="4"/>
      <c r="Y711" s="4"/>
      <c r="Z711" s="4"/>
    </row>
    <row r="712" spans="1:26">
      <c r="A712" s="10"/>
      <c r="B712" s="10"/>
      <c r="C712" s="4"/>
      <c r="D712" s="10"/>
      <c r="E712" s="10"/>
      <c r="F712" s="4"/>
      <c r="G712" s="4"/>
      <c r="H712" s="4"/>
      <c r="I712" s="4"/>
      <c r="J712" s="4"/>
      <c r="K712" s="4"/>
      <c r="L712" s="4"/>
      <c r="M712" s="4"/>
      <c r="N712" s="4"/>
      <c r="O712" s="4"/>
      <c r="P712" s="4"/>
      <c r="Q712" s="4"/>
      <c r="R712" s="4"/>
      <c r="S712" s="4"/>
      <c r="T712" s="4"/>
      <c r="U712" s="4"/>
      <c r="V712" s="4"/>
      <c r="W712" s="4"/>
      <c r="X712" s="4"/>
      <c r="Y712" s="4"/>
      <c r="Z712" s="4"/>
    </row>
    <row r="713" spans="1:26">
      <c r="A713" s="10"/>
      <c r="B713" s="10"/>
      <c r="C713" s="4"/>
      <c r="D713" s="10"/>
      <c r="E713" s="10"/>
      <c r="F713" s="4"/>
      <c r="G713" s="4"/>
      <c r="H713" s="4"/>
      <c r="I713" s="4"/>
      <c r="J713" s="4"/>
      <c r="K713" s="4"/>
      <c r="L713" s="4"/>
      <c r="M713" s="4"/>
      <c r="N713" s="4"/>
      <c r="O713" s="4"/>
      <c r="P713" s="4"/>
      <c r="Q713" s="4"/>
      <c r="R713" s="4"/>
      <c r="S713" s="4"/>
      <c r="T713" s="4"/>
      <c r="U713" s="4"/>
      <c r="V713" s="4"/>
      <c r="W713" s="4"/>
      <c r="X713" s="4"/>
      <c r="Y713" s="4"/>
      <c r="Z713" s="4"/>
    </row>
    <row r="714" spans="1:26">
      <c r="A714" s="10"/>
      <c r="B714" s="10"/>
      <c r="C714" s="4"/>
      <c r="D714" s="10"/>
      <c r="E714" s="10"/>
      <c r="F714" s="4"/>
      <c r="G714" s="4"/>
      <c r="H714" s="4"/>
      <c r="I714" s="4"/>
      <c r="J714" s="4"/>
      <c r="K714" s="4"/>
      <c r="L714" s="4"/>
      <c r="M714" s="4"/>
      <c r="N714" s="4"/>
      <c r="O714" s="4"/>
      <c r="P714" s="4"/>
      <c r="Q714" s="4"/>
      <c r="R714" s="4"/>
      <c r="S714" s="4"/>
      <c r="T714" s="4"/>
      <c r="U714" s="4"/>
      <c r="V714" s="4"/>
      <c r="W714" s="4"/>
      <c r="X714" s="4"/>
      <c r="Y714" s="4"/>
      <c r="Z714" s="4"/>
    </row>
    <row r="715" spans="1:26">
      <c r="A715" s="10"/>
      <c r="B715" s="10"/>
      <c r="C715" s="4"/>
      <c r="D715" s="10"/>
      <c r="E715" s="10"/>
      <c r="F715" s="4"/>
      <c r="G715" s="4"/>
      <c r="H715" s="4"/>
      <c r="I715" s="4"/>
      <c r="J715" s="4"/>
      <c r="K715" s="4"/>
      <c r="L715" s="4"/>
      <c r="M715" s="4"/>
      <c r="N715" s="4"/>
      <c r="O715" s="4"/>
      <c r="P715" s="4"/>
      <c r="Q715" s="4"/>
      <c r="R715" s="4"/>
      <c r="S715" s="4"/>
      <c r="T715" s="4"/>
      <c r="U715" s="4"/>
      <c r="V715" s="4"/>
      <c r="W715" s="4"/>
      <c r="X715" s="4"/>
      <c r="Y715" s="4"/>
      <c r="Z715" s="4"/>
    </row>
    <row r="716" spans="1:26">
      <c r="A716" s="10"/>
      <c r="B716" s="10"/>
      <c r="C716" s="4"/>
      <c r="D716" s="10"/>
      <c r="E716" s="10"/>
      <c r="F716" s="4"/>
      <c r="G716" s="4"/>
      <c r="H716" s="4"/>
      <c r="I716" s="4"/>
      <c r="J716" s="4"/>
      <c r="K716" s="4"/>
      <c r="L716" s="4"/>
      <c r="M716" s="4"/>
      <c r="N716" s="4"/>
      <c r="O716" s="4"/>
      <c r="P716" s="4"/>
      <c r="Q716" s="4"/>
      <c r="R716" s="4"/>
      <c r="S716" s="4"/>
      <c r="T716" s="4"/>
      <c r="U716" s="4"/>
      <c r="V716" s="4"/>
      <c r="W716" s="4"/>
      <c r="X716" s="4"/>
      <c r="Y716" s="4"/>
      <c r="Z716" s="4"/>
    </row>
    <row r="717" spans="1:26">
      <c r="A717" s="10"/>
      <c r="B717" s="10"/>
      <c r="C717" s="4"/>
      <c r="D717" s="10"/>
      <c r="E717" s="10"/>
      <c r="F717" s="4"/>
      <c r="G717" s="4"/>
      <c r="H717" s="4"/>
      <c r="I717" s="4"/>
      <c r="J717" s="4"/>
      <c r="K717" s="4"/>
      <c r="L717" s="4"/>
      <c r="M717" s="4"/>
      <c r="N717" s="4"/>
      <c r="O717" s="4"/>
      <c r="P717" s="4"/>
      <c r="Q717" s="4"/>
      <c r="R717" s="4"/>
      <c r="S717" s="4"/>
      <c r="T717" s="4"/>
      <c r="U717" s="4"/>
      <c r="V717" s="4"/>
      <c r="W717" s="4"/>
      <c r="X717" s="4"/>
      <c r="Y717" s="4"/>
      <c r="Z717" s="4"/>
    </row>
    <row r="718" spans="1:26">
      <c r="A718" s="10"/>
      <c r="B718" s="10"/>
      <c r="C718" s="4"/>
      <c r="D718" s="10"/>
      <c r="E718" s="10"/>
      <c r="F718" s="4"/>
      <c r="G718" s="4"/>
      <c r="H718" s="4"/>
      <c r="I718" s="4"/>
      <c r="J718" s="4"/>
      <c r="K718" s="4"/>
      <c r="L718" s="4"/>
      <c r="M718" s="4"/>
      <c r="N718" s="4"/>
      <c r="O718" s="4"/>
      <c r="P718" s="4"/>
      <c r="Q718" s="4"/>
      <c r="R718" s="4"/>
      <c r="S718" s="4"/>
      <c r="T718" s="4"/>
      <c r="U718" s="4"/>
      <c r="V718" s="4"/>
      <c r="W718" s="4"/>
      <c r="X718" s="4"/>
      <c r="Y718" s="4"/>
      <c r="Z718" s="4"/>
    </row>
    <row r="719" spans="1:26">
      <c r="A719" s="10"/>
      <c r="B719" s="10"/>
      <c r="C719" s="4"/>
      <c r="D719" s="10"/>
      <c r="E719" s="10"/>
      <c r="F719" s="4"/>
      <c r="G719" s="4"/>
      <c r="H719" s="4"/>
      <c r="I719" s="4"/>
      <c r="J719" s="4"/>
      <c r="K719" s="4"/>
      <c r="L719" s="4"/>
      <c r="M719" s="4"/>
      <c r="N719" s="4"/>
      <c r="O719" s="4"/>
      <c r="P719" s="4"/>
      <c r="Q719" s="4"/>
      <c r="R719" s="4"/>
      <c r="S719" s="4"/>
      <c r="T719" s="4"/>
      <c r="U719" s="4"/>
      <c r="V719" s="4"/>
      <c r="W719" s="4"/>
      <c r="X719" s="4"/>
      <c r="Y719" s="4"/>
      <c r="Z719" s="4"/>
    </row>
    <row r="720" spans="1:26">
      <c r="A720" s="10"/>
      <c r="B720" s="10"/>
      <c r="C720" s="4"/>
      <c r="D720" s="10"/>
      <c r="E720" s="10"/>
      <c r="F720" s="4"/>
      <c r="G720" s="4"/>
      <c r="H720" s="4"/>
      <c r="I720" s="4"/>
      <c r="J720" s="4"/>
      <c r="K720" s="4"/>
      <c r="L720" s="4"/>
      <c r="M720" s="4"/>
      <c r="N720" s="4"/>
      <c r="O720" s="4"/>
      <c r="P720" s="4"/>
      <c r="Q720" s="4"/>
      <c r="R720" s="4"/>
      <c r="S720" s="4"/>
      <c r="T720" s="4"/>
      <c r="U720" s="4"/>
      <c r="V720" s="4"/>
      <c r="W720" s="4"/>
      <c r="X720" s="4"/>
      <c r="Y720" s="4"/>
      <c r="Z720" s="4"/>
    </row>
    <row r="721" spans="1:26">
      <c r="A721" s="10"/>
      <c r="B721" s="10"/>
      <c r="C721" s="4"/>
      <c r="D721" s="10"/>
      <c r="E721" s="10"/>
      <c r="F721" s="4"/>
      <c r="G721" s="4"/>
      <c r="H721" s="4"/>
      <c r="I721" s="4"/>
      <c r="J721" s="4"/>
      <c r="K721" s="4"/>
      <c r="L721" s="4"/>
      <c r="M721" s="4"/>
      <c r="N721" s="4"/>
      <c r="O721" s="4"/>
      <c r="P721" s="4"/>
      <c r="Q721" s="4"/>
      <c r="R721" s="4"/>
      <c r="S721" s="4"/>
      <c r="T721" s="4"/>
      <c r="U721" s="4"/>
      <c r="V721" s="4"/>
      <c r="W721" s="4"/>
      <c r="X721" s="4"/>
      <c r="Y721" s="4"/>
      <c r="Z721" s="4"/>
    </row>
    <row r="722" spans="1:26">
      <c r="A722" s="10"/>
      <c r="B722" s="10"/>
      <c r="C722" s="4"/>
      <c r="D722" s="10"/>
      <c r="E722" s="10"/>
      <c r="F722" s="4"/>
      <c r="G722" s="4"/>
      <c r="H722" s="4"/>
      <c r="I722" s="4"/>
      <c r="J722" s="4"/>
      <c r="K722" s="4"/>
      <c r="L722" s="4"/>
      <c r="M722" s="4"/>
      <c r="N722" s="4"/>
      <c r="O722" s="4"/>
      <c r="P722" s="4"/>
      <c r="Q722" s="4"/>
      <c r="R722" s="4"/>
      <c r="S722" s="4"/>
      <c r="T722" s="4"/>
      <c r="U722" s="4"/>
      <c r="V722" s="4"/>
      <c r="W722" s="4"/>
      <c r="X722" s="4"/>
      <c r="Y722" s="4"/>
      <c r="Z722" s="4"/>
    </row>
    <row r="723" spans="1:26">
      <c r="A723" s="10"/>
      <c r="B723" s="10"/>
      <c r="C723" s="4"/>
      <c r="D723" s="10"/>
      <c r="E723" s="10"/>
      <c r="F723" s="4"/>
      <c r="G723" s="4"/>
      <c r="H723" s="4"/>
      <c r="I723" s="4"/>
      <c r="J723" s="4"/>
      <c r="K723" s="4"/>
      <c r="L723" s="4"/>
      <c r="M723" s="4"/>
      <c r="N723" s="4"/>
      <c r="O723" s="4"/>
      <c r="P723" s="4"/>
      <c r="Q723" s="4"/>
      <c r="R723" s="4"/>
      <c r="S723" s="4"/>
      <c r="T723" s="4"/>
      <c r="U723" s="4"/>
      <c r="V723" s="4"/>
      <c r="W723" s="4"/>
      <c r="X723" s="4"/>
      <c r="Y723" s="4"/>
      <c r="Z723" s="4"/>
    </row>
    <row r="724" spans="1:26">
      <c r="A724" s="10"/>
      <c r="B724" s="10"/>
      <c r="C724" s="4"/>
      <c r="D724" s="10"/>
      <c r="E724" s="10"/>
      <c r="F724" s="4"/>
      <c r="G724" s="4"/>
      <c r="H724" s="4"/>
      <c r="I724" s="4"/>
      <c r="J724" s="4"/>
      <c r="K724" s="4"/>
      <c r="L724" s="4"/>
      <c r="M724" s="4"/>
      <c r="N724" s="4"/>
      <c r="O724" s="4"/>
      <c r="P724" s="4"/>
      <c r="Q724" s="4"/>
      <c r="R724" s="4"/>
      <c r="S724" s="4"/>
      <c r="T724" s="4"/>
      <c r="U724" s="4"/>
      <c r="V724" s="4"/>
      <c r="W724" s="4"/>
      <c r="X724" s="4"/>
      <c r="Y724" s="4"/>
      <c r="Z724" s="4"/>
    </row>
    <row r="725" spans="1:26">
      <c r="A725" s="10"/>
      <c r="B725" s="10"/>
      <c r="C725" s="4"/>
      <c r="D725" s="10"/>
      <c r="E725" s="10"/>
      <c r="F725" s="4"/>
      <c r="G725" s="4"/>
      <c r="H725" s="4"/>
      <c r="I725" s="4"/>
      <c r="J725" s="4"/>
      <c r="K725" s="4"/>
      <c r="L725" s="4"/>
      <c r="M725" s="4"/>
      <c r="N725" s="4"/>
      <c r="O725" s="4"/>
      <c r="P725" s="4"/>
      <c r="Q725" s="4"/>
      <c r="R725" s="4"/>
      <c r="S725" s="4"/>
      <c r="T725" s="4"/>
      <c r="U725" s="4"/>
      <c r="V725" s="4"/>
      <c r="W725" s="4"/>
      <c r="X725" s="4"/>
      <c r="Y725" s="4"/>
      <c r="Z725" s="4"/>
    </row>
    <row r="726" spans="1:26">
      <c r="A726" s="10"/>
      <c r="B726" s="10"/>
      <c r="C726" s="4"/>
      <c r="D726" s="10"/>
      <c r="E726" s="10"/>
      <c r="F726" s="4"/>
      <c r="G726" s="4"/>
      <c r="H726" s="4"/>
      <c r="I726" s="4"/>
      <c r="J726" s="4"/>
      <c r="K726" s="4"/>
      <c r="L726" s="4"/>
      <c r="M726" s="4"/>
      <c r="N726" s="4"/>
      <c r="O726" s="4"/>
      <c r="P726" s="4"/>
      <c r="Q726" s="4"/>
      <c r="R726" s="4"/>
      <c r="S726" s="4"/>
      <c r="T726" s="4"/>
      <c r="U726" s="4"/>
      <c r="V726" s="4"/>
      <c r="W726" s="4"/>
      <c r="X726" s="4"/>
      <c r="Y726" s="4"/>
      <c r="Z726" s="4"/>
    </row>
    <row r="727" spans="1:26">
      <c r="A727" s="10"/>
      <c r="B727" s="10"/>
      <c r="C727" s="4"/>
      <c r="D727" s="10"/>
      <c r="E727" s="10"/>
      <c r="F727" s="4"/>
      <c r="G727" s="4"/>
      <c r="H727" s="4"/>
      <c r="I727" s="4"/>
      <c r="J727" s="4"/>
      <c r="K727" s="4"/>
      <c r="L727" s="4"/>
      <c r="M727" s="4"/>
      <c r="N727" s="4"/>
      <c r="O727" s="4"/>
      <c r="P727" s="4"/>
      <c r="Q727" s="4"/>
      <c r="R727" s="4"/>
      <c r="S727" s="4"/>
      <c r="T727" s="4"/>
      <c r="U727" s="4"/>
      <c r="V727" s="4"/>
      <c r="W727" s="4"/>
      <c r="X727" s="4"/>
      <c r="Y727" s="4"/>
      <c r="Z727" s="4"/>
    </row>
    <row r="728" spans="1:26">
      <c r="A728" s="10"/>
      <c r="B728" s="10"/>
      <c r="C728" s="4"/>
      <c r="D728" s="10"/>
      <c r="E728" s="10"/>
      <c r="F728" s="4"/>
      <c r="G728" s="4"/>
      <c r="H728" s="4"/>
      <c r="I728" s="4"/>
      <c r="J728" s="4"/>
      <c r="K728" s="4"/>
      <c r="L728" s="4"/>
      <c r="M728" s="4"/>
      <c r="N728" s="4"/>
      <c r="O728" s="4"/>
      <c r="P728" s="4"/>
      <c r="Q728" s="4"/>
      <c r="R728" s="4"/>
      <c r="S728" s="4"/>
      <c r="T728" s="4"/>
      <c r="U728" s="4"/>
      <c r="V728" s="4"/>
      <c r="W728" s="4"/>
      <c r="X728" s="4"/>
      <c r="Y728" s="4"/>
      <c r="Z728" s="4"/>
    </row>
    <row r="729" spans="1:26">
      <c r="A729" s="10"/>
      <c r="B729" s="10"/>
      <c r="C729" s="4"/>
      <c r="D729" s="10"/>
      <c r="E729" s="10"/>
      <c r="F729" s="4"/>
      <c r="G729" s="4"/>
      <c r="H729" s="4"/>
      <c r="I729" s="4"/>
      <c r="J729" s="4"/>
      <c r="K729" s="4"/>
      <c r="L729" s="4"/>
      <c r="M729" s="4"/>
      <c r="N729" s="4"/>
      <c r="O729" s="4"/>
      <c r="P729" s="4"/>
      <c r="Q729" s="4"/>
      <c r="R729" s="4"/>
      <c r="S729" s="4"/>
      <c r="T729" s="4"/>
      <c r="U729" s="4"/>
      <c r="V729" s="4"/>
      <c r="W729" s="4"/>
      <c r="X729" s="4"/>
      <c r="Y729" s="4"/>
      <c r="Z729" s="4"/>
    </row>
    <row r="730" spans="1:26">
      <c r="A730" s="10"/>
      <c r="B730" s="10"/>
      <c r="C730" s="4"/>
      <c r="D730" s="10"/>
      <c r="E730" s="10"/>
      <c r="F730" s="4"/>
      <c r="G730" s="4"/>
      <c r="H730" s="4"/>
      <c r="I730" s="4"/>
      <c r="J730" s="4"/>
      <c r="K730" s="4"/>
      <c r="L730" s="4"/>
      <c r="M730" s="4"/>
      <c r="N730" s="4"/>
      <c r="O730" s="4"/>
      <c r="P730" s="4"/>
      <c r="Q730" s="4"/>
      <c r="R730" s="4"/>
      <c r="S730" s="4"/>
      <c r="T730" s="4"/>
      <c r="U730" s="4"/>
      <c r="V730" s="4"/>
      <c r="W730" s="4"/>
      <c r="X730" s="4"/>
      <c r="Y730" s="4"/>
      <c r="Z730" s="4"/>
    </row>
    <row r="731" spans="1:26">
      <c r="A731" s="10"/>
      <c r="B731" s="10"/>
      <c r="C731" s="4"/>
      <c r="D731" s="10"/>
      <c r="E731" s="10"/>
      <c r="F731" s="4"/>
      <c r="G731" s="4"/>
      <c r="H731" s="4"/>
      <c r="I731" s="4"/>
      <c r="J731" s="4"/>
      <c r="K731" s="4"/>
      <c r="L731" s="4"/>
      <c r="M731" s="4"/>
      <c r="N731" s="4"/>
      <c r="O731" s="4"/>
      <c r="P731" s="4"/>
      <c r="Q731" s="4"/>
      <c r="R731" s="4"/>
      <c r="S731" s="4"/>
      <c r="T731" s="4"/>
      <c r="U731" s="4"/>
      <c r="V731" s="4"/>
      <c r="W731" s="4"/>
      <c r="X731" s="4"/>
      <c r="Y731" s="4"/>
      <c r="Z731" s="4"/>
    </row>
    <row r="732" spans="1:26">
      <c r="A732" s="10"/>
      <c r="B732" s="10"/>
      <c r="C732" s="4"/>
      <c r="D732" s="10"/>
      <c r="E732" s="10"/>
      <c r="F732" s="4"/>
      <c r="G732" s="4"/>
      <c r="H732" s="4"/>
      <c r="I732" s="4"/>
      <c r="J732" s="4"/>
      <c r="K732" s="4"/>
      <c r="L732" s="4"/>
      <c r="M732" s="4"/>
      <c r="N732" s="4"/>
      <c r="O732" s="4"/>
      <c r="P732" s="4"/>
      <c r="Q732" s="4"/>
      <c r="R732" s="4"/>
      <c r="S732" s="4"/>
      <c r="T732" s="4"/>
      <c r="U732" s="4"/>
      <c r="V732" s="4"/>
      <c r="W732" s="4"/>
      <c r="X732" s="4"/>
      <c r="Y732" s="4"/>
      <c r="Z732" s="4"/>
    </row>
    <row r="733" spans="1:26">
      <c r="A733" s="10"/>
      <c r="B733" s="10"/>
      <c r="C733" s="4"/>
      <c r="D733" s="10"/>
      <c r="E733" s="10"/>
      <c r="F733" s="4"/>
      <c r="G733" s="4"/>
      <c r="H733" s="4"/>
      <c r="I733" s="4"/>
      <c r="J733" s="4"/>
      <c r="K733" s="4"/>
      <c r="L733" s="4"/>
      <c r="M733" s="4"/>
      <c r="N733" s="4"/>
      <c r="O733" s="4"/>
      <c r="P733" s="4"/>
      <c r="Q733" s="4"/>
      <c r="R733" s="4"/>
      <c r="S733" s="4"/>
      <c r="T733" s="4"/>
      <c r="U733" s="4"/>
      <c r="V733" s="4"/>
      <c r="W733" s="4"/>
      <c r="X733" s="4"/>
      <c r="Y733" s="4"/>
      <c r="Z733" s="4"/>
    </row>
    <row r="734" spans="1:26">
      <c r="A734" s="10"/>
      <c r="B734" s="10"/>
      <c r="C734" s="4"/>
      <c r="D734" s="10"/>
      <c r="E734" s="10"/>
      <c r="F734" s="4"/>
      <c r="G734" s="4"/>
      <c r="H734" s="4"/>
      <c r="I734" s="4"/>
      <c r="J734" s="4"/>
      <c r="K734" s="4"/>
      <c r="L734" s="4"/>
      <c r="M734" s="4"/>
      <c r="N734" s="4"/>
      <c r="O734" s="4"/>
      <c r="P734" s="4"/>
      <c r="Q734" s="4"/>
      <c r="R734" s="4"/>
      <c r="S734" s="4"/>
      <c r="T734" s="4"/>
      <c r="U734" s="4"/>
      <c r="V734" s="4"/>
      <c r="W734" s="4"/>
      <c r="X734" s="4"/>
      <c r="Y734" s="4"/>
      <c r="Z734" s="4"/>
    </row>
    <row r="735" spans="1:26">
      <c r="A735" s="10"/>
      <c r="B735" s="10"/>
      <c r="C735" s="4"/>
      <c r="D735" s="10"/>
      <c r="E735" s="10"/>
      <c r="F735" s="4"/>
      <c r="G735" s="4"/>
      <c r="H735" s="4"/>
      <c r="I735" s="4"/>
      <c r="J735" s="4"/>
      <c r="K735" s="4"/>
      <c r="L735" s="4"/>
      <c r="M735" s="4"/>
      <c r="N735" s="4"/>
      <c r="O735" s="4"/>
      <c r="P735" s="4"/>
      <c r="Q735" s="4"/>
      <c r="R735" s="4"/>
      <c r="S735" s="4"/>
      <c r="T735" s="4"/>
      <c r="U735" s="4"/>
      <c r="V735" s="4"/>
      <c r="W735" s="4"/>
      <c r="X735" s="4"/>
      <c r="Y735" s="4"/>
      <c r="Z735" s="4"/>
    </row>
    <row r="736" spans="1:26">
      <c r="A736" s="10"/>
      <c r="B736" s="10"/>
      <c r="C736" s="4"/>
      <c r="D736" s="10"/>
      <c r="E736" s="10"/>
      <c r="F736" s="4"/>
      <c r="G736" s="4"/>
      <c r="H736" s="4"/>
      <c r="I736" s="4"/>
      <c r="J736" s="4"/>
      <c r="K736" s="4"/>
      <c r="L736" s="4"/>
      <c r="M736" s="4"/>
      <c r="N736" s="4"/>
      <c r="O736" s="4"/>
      <c r="P736" s="4"/>
      <c r="Q736" s="4"/>
      <c r="R736" s="4"/>
      <c r="S736" s="4"/>
      <c r="T736" s="4"/>
      <c r="U736" s="4"/>
      <c r="V736" s="4"/>
      <c r="W736" s="4"/>
      <c r="X736" s="4"/>
      <c r="Y736" s="4"/>
      <c r="Z736" s="4"/>
    </row>
    <row r="737" spans="1:26">
      <c r="A737" s="10"/>
      <c r="B737" s="10"/>
      <c r="C737" s="4"/>
      <c r="D737" s="10"/>
      <c r="E737" s="10"/>
      <c r="F737" s="4"/>
      <c r="G737" s="4"/>
      <c r="H737" s="4"/>
      <c r="I737" s="4"/>
      <c r="J737" s="4"/>
      <c r="K737" s="4"/>
      <c r="L737" s="4"/>
      <c r="M737" s="4"/>
      <c r="N737" s="4"/>
      <c r="O737" s="4"/>
      <c r="P737" s="4"/>
      <c r="Q737" s="4"/>
      <c r="R737" s="4"/>
      <c r="S737" s="4"/>
      <c r="T737" s="4"/>
      <c r="U737" s="4"/>
      <c r="V737" s="4"/>
      <c r="W737" s="4"/>
      <c r="X737" s="4"/>
      <c r="Y737" s="4"/>
      <c r="Z737" s="4"/>
    </row>
    <row r="738" spans="1:26">
      <c r="A738" s="10"/>
      <c r="B738" s="10"/>
      <c r="C738" s="4"/>
      <c r="D738" s="10"/>
      <c r="E738" s="10"/>
      <c r="F738" s="4"/>
      <c r="G738" s="4"/>
      <c r="H738" s="4"/>
      <c r="I738" s="4"/>
      <c r="J738" s="4"/>
      <c r="K738" s="4"/>
      <c r="L738" s="4"/>
      <c r="M738" s="4"/>
      <c r="N738" s="4"/>
      <c r="O738" s="4"/>
      <c r="P738" s="4"/>
      <c r="Q738" s="4"/>
      <c r="R738" s="4"/>
      <c r="S738" s="4"/>
      <c r="T738" s="4"/>
      <c r="U738" s="4"/>
      <c r="V738" s="4"/>
      <c r="W738" s="4"/>
      <c r="X738" s="4"/>
      <c r="Y738" s="4"/>
      <c r="Z738" s="4"/>
    </row>
    <row r="739" spans="1:26">
      <c r="A739" s="10"/>
      <c r="B739" s="10"/>
      <c r="C739" s="4"/>
      <c r="D739" s="10"/>
      <c r="E739" s="10"/>
      <c r="F739" s="4"/>
      <c r="G739" s="4"/>
      <c r="H739" s="4"/>
      <c r="I739" s="4"/>
      <c r="J739" s="4"/>
      <c r="K739" s="4"/>
      <c r="L739" s="4"/>
      <c r="M739" s="4"/>
      <c r="N739" s="4"/>
      <c r="O739" s="4"/>
      <c r="P739" s="4"/>
      <c r="Q739" s="4"/>
      <c r="R739" s="4"/>
      <c r="S739" s="4"/>
      <c r="T739" s="4"/>
      <c r="U739" s="4"/>
      <c r="V739" s="4"/>
      <c r="W739" s="4"/>
      <c r="X739" s="4"/>
      <c r="Y739" s="4"/>
      <c r="Z739" s="4"/>
    </row>
    <row r="740" spans="1:26">
      <c r="A740" s="10"/>
      <c r="B740" s="10"/>
      <c r="C740" s="4"/>
      <c r="D740" s="10"/>
      <c r="E740" s="10"/>
      <c r="F740" s="4"/>
      <c r="G740" s="4"/>
      <c r="H740" s="4"/>
      <c r="I740" s="4"/>
      <c r="J740" s="4"/>
      <c r="K740" s="4"/>
      <c r="L740" s="4"/>
      <c r="M740" s="4"/>
      <c r="N740" s="4"/>
      <c r="O740" s="4"/>
      <c r="P740" s="4"/>
      <c r="Q740" s="4"/>
      <c r="R740" s="4"/>
      <c r="S740" s="4"/>
      <c r="T740" s="4"/>
      <c r="U740" s="4"/>
      <c r="V740" s="4"/>
      <c r="W740" s="4"/>
      <c r="X740" s="4"/>
      <c r="Y740" s="4"/>
      <c r="Z740" s="4"/>
    </row>
    <row r="741" spans="1:26">
      <c r="A741" s="10"/>
      <c r="B741" s="10"/>
      <c r="C741" s="4"/>
      <c r="D741" s="10"/>
      <c r="E741" s="10"/>
      <c r="F741" s="4"/>
      <c r="G741" s="4"/>
      <c r="H741" s="4"/>
      <c r="I741" s="4"/>
      <c r="J741" s="4"/>
      <c r="K741" s="4"/>
      <c r="L741" s="4"/>
      <c r="M741" s="4"/>
      <c r="N741" s="4"/>
      <c r="O741" s="4"/>
      <c r="P741" s="4"/>
      <c r="Q741" s="4"/>
      <c r="R741" s="4"/>
      <c r="S741" s="4"/>
      <c r="T741" s="4"/>
      <c r="U741" s="4"/>
      <c r="V741" s="4"/>
      <c r="W741" s="4"/>
      <c r="X741" s="4"/>
      <c r="Y741" s="4"/>
      <c r="Z741" s="4"/>
    </row>
    <row r="742" spans="1:26">
      <c r="A742" s="10"/>
      <c r="B742" s="10"/>
      <c r="C742" s="4"/>
      <c r="D742" s="10"/>
      <c r="E742" s="10"/>
      <c r="F742" s="4"/>
      <c r="G742" s="4"/>
      <c r="H742" s="4"/>
      <c r="I742" s="4"/>
      <c r="J742" s="4"/>
      <c r="K742" s="4"/>
      <c r="L742" s="4"/>
      <c r="M742" s="4"/>
      <c r="N742" s="4"/>
      <c r="O742" s="4"/>
      <c r="P742" s="4"/>
      <c r="Q742" s="4"/>
      <c r="R742" s="4"/>
      <c r="S742" s="4"/>
      <c r="T742" s="4"/>
      <c r="U742" s="4"/>
      <c r="V742" s="4"/>
      <c r="W742" s="4"/>
      <c r="X742" s="4"/>
      <c r="Y742" s="4"/>
      <c r="Z742" s="4"/>
    </row>
    <row r="743" spans="1:26">
      <c r="A743" s="10"/>
      <c r="B743" s="10"/>
      <c r="C743" s="4"/>
      <c r="D743" s="10"/>
      <c r="E743" s="10"/>
      <c r="F743" s="4"/>
      <c r="G743" s="4"/>
      <c r="H743" s="4"/>
      <c r="I743" s="4"/>
      <c r="J743" s="4"/>
      <c r="K743" s="4"/>
      <c r="L743" s="4"/>
      <c r="M743" s="4"/>
      <c r="N743" s="4"/>
      <c r="O743" s="4"/>
      <c r="P743" s="4"/>
      <c r="Q743" s="4"/>
      <c r="R743" s="4"/>
      <c r="S743" s="4"/>
      <c r="T743" s="4"/>
      <c r="U743" s="4"/>
      <c r="V743" s="4"/>
      <c r="W743" s="4"/>
      <c r="X743" s="4"/>
      <c r="Y743" s="4"/>
      <c r="Z743" s="4"/>
    </row>
    <row r="744" spans="1:26">
      <c r="A744" s="10"/>
      <c r="B744" s="10"/>
      <c r="C744" s="4"/>
      <c r="D744" s="10"/>
      <c r="E744" s="10"/>
      <c r="F744" s="4"/>
      <c r="G744" s="4"/>
      <c r="H744" s="4"/>
      <c r="I744" s="4"/>
      <c r="J744" s="4"/>
      <c r="K744" s="4"/>
      <c r="L744" s="4"/>
      <c r="M744" s="4"/>
      <c r="N744" s="4"/>
      <c r="O744" s="4"/>
      <c r="P744" s="4"/>
      <c r="Q744" s="4"/>
      <c r="R744" s="4"/>
      <c r="S744" s="4"/>
      <c r="T744" s="4"/>
      <c r="U744" s="4"/>
      <c r="V744" s="4"/>
      <c r="W744" s="4"/>
      <c r="X744" s="4"/>
      <c r="Y744" s="4"/>
      <c r="Z744" s="4"/>
    </row>
    <row r="745" spans="1:26">
      <c r="A745" s="10"/>
      <c r="B745" s="10"/>
      <c r="C745" s="4"/>
      <c r="D745" s="10"/>
      <c r="E745" s="10"/>
      <c r="F745" s="4"/>
      <c r="G745" s="4"/>
      <c r="H745" s="4"/>
      <c r="I745" s="4"/>
      <c r="J745" s="4"/>
      <c r="K745" s="4"/>
      <c r="L745" s="4"/>
      <c r="M745" s="4"/>
      <c r="N745" s="4"/>
      <c r="O745" s="4"/>
      <c r="P745" s="4"/>
      <c r="Q745" s="4"/>
      <c r="R745" s="4"/>
      <c r="S745" s="4"/>
      <c r="T745" s="4"/>
      <c r="U745" s="4"/>
      <c r="V745" s="4"/>
      <c r="W745" s="4"/>
      <c r="X745" s="4"/>
      <c r="Y745" s="4"/>
      <c r="Z745" s="4"/>
    </row>
    <row r="746" spans="1:26">
      <c r="A746" s="10"/>
      <c r="B746" s="10"/>
      <c r="C746" s="4"/>
      <c r="D746" s="10"/>
      <c r="E746" s="10"/>
      <c r="F746" s="4"/>
      <c r="G746" s="4"/>
      <c r="H746" s="4"/>
      <c r="I746" s="4"/>
      <c r="J746" s="4"/>
      <c r="K746" s="4"/>
      <c r="L746" s="4"/>
      <c r="M746" s="4"/>
      <c r="N746" s="4"/>
      <c r="O746" s="4"/>
      <c r="P746" s="4"/>
      <c r="Q746" s="4"/>
      <c r="R746" s="4"/>
      <c r="S746" s="4"/>
      <c r="T746" s="4"/>
      <c r="U746" s="4"/>
      <c r="V746" s="4"/>
      <c r="W746" s="4"/>
      <c r="X746" s="4"/>
      <c r="Y746" s="4"/>
      <c r="Z746" s="4"/>
    </row>
    <row r="747" spans="1:26">
      <c r="A747" s="10"/>
      <c r="B747" s="10"/>
      <c r="C747" s="4"/>
      <c r="D747" s="10"/>
      <c r="E747" s="10"/>
      <c r="F747" s="4"/>
      <c r="G747" s="4"/>
      <c r="H747" s="4"/>
      <c r="I747" s="4"/>
      <c r="J747" s="4"/>
      <c r="K747" s="4"/>
      <c r="L747" s="4"/>
      <c r="M747" s="4"/>
      <c r="N747" s="4"/>
      <c r="O747" s="4"/>
      <c r="P747" s="4"/>
      <c r="Q747" s="4"/>
      <c r="R747" s="4"/>
      <c r="S747" s="4"/>
      <c r="T747" s="4"/>
      <c r="U747" s="4"/>
      <c r="V747" s="4"/>
      <c r="W747" s="4"/>
      <c r="X747" s="4"/>
      <c r="Y747" s="4"/>
      <c r="Z747" s="4"/>
    </row>
    <row r="748" spans="1:26">
      <c r="A748" s="10"/>
      <c r="B748" s="10"/>
      <c r="C748" s="4"/>
      <c r="D748" s="10"/>
      <c r="E748" s="10"/>
      <c r="F748" s="4"/>
      <c r="G748" s="4"/>
      <c r="H748" s="4"/>
      <c r="I748" s="4"/>
      <c r="J748" s="4"/>
      <c r="K748" s="4"/>
      <c r="L748" s="4"/>
      <c r="M748" s="4"/>
      <c r="N748" s="4"/>
      <c r="O748" s="4"/>
      <c r="P748" s="4"/>
      <c r="Q748" s="4"/>
      <c r="R748" s="4"/>
      <c r="S748" s="4"/>
      <c r="T748" s="4"/>
      <c r="U748" s="4"/>
      <c r="V748" s="4"/>
      <c r="W748" s="4"/>
      <c r="X748" s="4"/>
      <c r="Y748" s="4"/>
      <c r="Z748" s="4"/>
    </row>
    <row r="749" spans="1:26">
      <c r="A749" s="10"/>
      <c r="B749" s="10"/>
      <c r="C749" s="4"/>
      <c r="D749" s="10"/>
      <c r="E749" s="10"/>
      <c r="F749" s="4"/>
      <c r="G749" s="4"/>
      <c r="H749" s="4"/>
      <c r="I749" s="4"/>
      <c r="J749" s="4"/>
      <c r="K749" s="4"/>
      <c r="L749" s="4"/>
      <c r="M749" s="4"/>
      <c r="N749" s="4"/>
      <c r="O749" s="4"/>
      <c r="P749" s="4"/>
      <c r="Q749" s="4"/>
      <c r="R749" s="4"/>
      <c r="S749" s="4"/>
      <c r="T749" s="4"/>
      <c r="U749" s="4"/>
      <c r="V749" s="4"/>
      <c r="W749" s="4"/>
      <c r="X749" s="4"/>
      <c r="Y749" s="4"/>
      <c r="Z749" s="4"/>
    </row>
    <row r="750" spans="1:26">
      <c r="A750" s="10"/>
      <c r="B750" s="10"/>
      <c r="C750" s="4"/>
      <c r="D750" s="10"/>
      <c r="E750" s="10"/>
      <c r="F750" s="4"/>
      <c r="G750" s="4"/>
      <c r="H750" s="4"/>
      <c r="I750" s="4"/>
      <c r="J750" s="4"/>
      <c r="K750" s="4"/>
      <c r="L750" s="4"/>
      <c r="M750" s="4"/>
      <c r="N750" s="4"/>
      <c r="O750" s="4"/>
      <c r="P750" s="4"/>
      <c r="Q750" s="4"/>
      <c r="R750" s="4"/>
      <c r="S750" s="4"/>
      <c r="T750" s="4"/>
      <c r="U750" s="4"/>
      <c r="V750" s="4"/>
      <c r="W750" s="4"/>
      <c r="X750" s="4"/>
      <c r="Y750" s="4"/>
      <c r="Z750" s="4"/>
    </row>
    <row r="751" spans="1:26">
      <c r="A751" s="10"/>
      <c r="B751" s="10"/>
      <c r="C751" s="4"/>
      <c r="D751" s="10"/>
      <c r="E751" s="10"/>
      <c r="F751" s="4"/>
      <c r="G751" s="4"/>
      <c r="H751" s="4"/>
      <c r="I751" s="4"/>
      <c r="J751" s="4"/>
      <c r="K751" s="4"/>
      <c r="L751" s="4"/>
      <c r="M751" s="4"/>
      <c r="N751" s="4"/>
      <c r="O751" s="4"/>
      <c r="P751" s="4"/>
      <c r="Q751" s="4"/>
      <c r="R751" s="4"/>
      <c r="S751" s="4"/>
      <c r="T751" s="4"/>
      <c r="U751" s="4"/>
      <c r="V751" s="4"/>
      <c r="W751" s="4"/>
      <c r="X751" s="4"/>
      <c r="Y751" s="4"/>
      <c r="Z751" s="4"/>
    </row>
    <row r="752" spans="1:26">
      <c r="A752" s="10"/>
      <c r="B752" s="10"/>
      <c r="C752" s="4"/>
      <c r="D752" s="10"/>
      <c r="E752" s="10"/>
      <c r="F752" s="4"/>
      <c r="G752" s="4"/>
      <c r="H752" s="4"/>
      <c r="I752" s="4"/>
      <c r="J752" s="4"/>
      <c r="K752" s="4"/>
      <c r="L752" s="4"/>
      <c r="M752" s="4"/>
      <c r="N752" s="4"/>
      <c r="O752" s="4"/>
      <c r="P752" s="4"/>
      <c r="Q752" s="4"/>
      <c r="R752" s="4"/>
      <c r="S752" s="4"/>
      <c r="T752" s="4"/>
      <c r="U752" s="4"/>
      <c r="V752" s="4"/>
      <c r="W752" s="4"/>
      <c r="X752" s="4"/>
      <c r="Y752" s="4"/>
      <c r="Z752" s="4"/>
    </row>
    <row r="753" spans="1:26">
      <c r="A753" s="10"/>
      <c r="B753" s="10"/>
      <c r="C753" s="4"/>
      <c r="D753" s="10"/>
      <c r="E753" s="10"/>
      <c r="F753" s="4"/>
      <c r="G753" s="4"/>
      <c r="H753" s="4"/>
      <c r="I753" s="4"/>
      <c r="J753" s="4"/>
      <c r="K753" s="4"/>
      <c r="L753" s="4"/>
      <c r="M753" s="4"/>
      <c r="N753" s="4"/>
      <c r="O753" s="4"/>
      <c r="P753" s="4"/>
      <c r="Q753" s="4"/>
      <c r="R753" s="4"/>
      <c r="S753" s="4"/>
      <c r="T753" s="4"/>
      <c r="U753" s="4"/>
      <c r="V753" s="4"/>
      <c r="W753" s="4"/>
      <c r="X753" s="4"/>
      <c r="Y753" s="4"/>
      <c r="Z753" s="4"/>
    </row>
    <row r="754" spans="1:26">
      <c r="A754" s="10"/>
      <c r="B754" s="10"/>
      <c r="C754" s="4"/>
      <c r="D754" s="10"/>
      <c r="E754" s="10"/>
      <c r="F754" s="4"/>
      <c r="G754" s="4"/>
      <c r="H754" s="4"/>
      <c r="I754" s="4"/>
      <c r="J754" s="4"/>
      <c r="K754" s="4"/>
      <c r="L754" s="4"/>
      <c r="M754" s="4"/>
      <c r="N754" s="4"/>
      <c r="O754" s="4"/>
      <c r="P754" s="4"/>
      <c r="Q754" s="4"/>
      <c r="R754" s="4"/>
      <c r="S754" s="4"/>
      <c r="T754" s="4"/>
      <c r="U754" s="4"/>
      <c r="V754" s="4"/>
      <c r="W754" s="4"/>
      <c r="X754" s="4"/>
      <c r="Y754" s="4"/>
      <c r="Z754" s="4"/>
    </row>
    <row r="755" spans="1:26">
      <c r="A755" s="10"/>
      <c r="B755" s="10"/>
      <c r="C755" s="4"/>
      <c r="D755" s="10"/>
      <c r="E755" s="10"/>
      <c r="F755" s="4"/>
      <c r="G755" s="4"/>
      <c r="H755" s="4"/>
      <c r="I755" s="4"/>
      <c r="J755" s="4"/>
      <c r="K755" s="4"/>
      <c r="L755" s="4"/>
      <c r="M755" s="4"/>
      <c r="N755" s="4"/>
      <c r="O755" s="4"/>
      <c r="P755" s="4"/>
      <c r="Q755" s="4"/>
      <c r="R755" s="4"/>
      <c r="S755" s="4"/>
      <c r="T755" s="4"/>
      <c r="U755" s="4"/>
      <c r="V755" s="4"/>
      <c r="W755" s="4"/>
      <c r="X755" s="4"/>
      <c r="Y755" s="4"/>
      <c r="Z755" s="4"/>
    </row>
    <row r="756" spans="1:26">
      <c r="A756" s="10"/>
      <c r="B756" s="10"/>
      <c r="C756" s="4"/>
      <c r="D756" s="10"/>
      <c r="E756" s="10"/>
      <c r="F756" s="4"/>
      <c r="G756" s="4"/>
      <c r="H756" s="4"/>
      <c r="I756" s="4"/>
      <c r="J756" s="4"/>
      <c r="K756" s="4"/>
      <c r="L756" s="4"/>
      <c r="M756" s="4"/>
      <c r="N756" s="4"/>
      <c r="O756" s="4"/>
      <c r="P756" s="4"/>
      <c r="Q756" s="4"/>
      <c r="R756" s="4"/>
      <c r="S756" s="4"/>
      <c r="T756" s="4"/>
      <c r="U756" s="4"/>
      <c r="V756" s="4"/>
      <c r="W756" s="4"/>
      <c r="X756" s="4"/>
      <c r="Y756" s="4"/>
      <c r="Z756" s="4"/>
    </row>
    <row r="757" spans="1:26">
      <c r="A757" s="10"/>
      <c r="B757" s="10"/>
      <c r="C757" s="4"/>
      <c r="D757" s="10"/>
      <c r="E757" s="10"/>
      <c r="F757" s="4"/>
      <c r="G757" s="4"/>
      <c r="H757" s="4"/>
      <c r="I757" s="4"/>
      <c r="J757" s="4"/>
      <c r="K757" s="4"/>
      <c r="L757" s="4"/>
      <c r="M757" s="4"/>
      <c r="N757" s="4"/>
      <c r="O757" s="4"/>
      <c r="P757" s="4"/>
      <c r="Q757" s="4"/>
      <c r="R757" s="4"/>
      <c r="S757" s="4"/>
      <c r="T757" s="4"/>
      <c r="U757" s="4"/>
      <c r="V757" s="4"/>
      <c r="W757" s="4"/>
      <c r="X757" s="4"/>
      <c r="Y757" s="4"/>
      <c r="Z757" s="4"/>
    </row>
    <row r="758" spans="1:26">
      <c r="A758" s="10"/>
      <c r="B758" s="10"/>
      <c r="C758" s="4"/>
      <c r="D758" s="10"/>
      <c r="E758" s="10"/>
      <c r="F758" s="4"/>
      <c r="G758" s="4"/>
      <c r="H758" s="4"/>
      <c r="I758" s="4"/>
      <c r="J758" s="4"/>
      <c r="K758" s="4"/>
      <c r="L758" s="4"/>
      <c r="M758" s="4"/>
      <c r="N758" s="4"/>
      <c r="O758" s="4"/>
      <c r="P758" s="4"/>
      <c r="Q758" s="4"/>
      <c r="R758" s="4"/>
      <c r="S758" s="4"/>
      <c r="T758" s="4"/>
      <c r="U758" s="4"/>
      <c r="V758" s="4"/>
      <c r="W758" s="4"/>
      <c r="X758" s="4"/>
      <c r="Y758" s="4"/>
      <c r="Z758" s="4"/>
    </row>
    <row r="759" spans="1:26">
      <c r="A759" s="10"/>
      <c r="B759" s="10"/>
      <c r="C759" s="4"/>
      <c r="D759" s="10"/>
      <c r="E759" s="10"/>
      <c r="F759" s="4"/>
      <c r="G759" s="4"/>
      <c r="H759" s="4"/>
      <c r="I759" s="4"/>
      <c r="J759" s="4"/>
      <c r="K759" s="4"/>
      <c r="L759" s="4"/>
      <c r="M759" s="4"/>
      <c r="N759" s="4"/>
      <c r="O759" s="4"/>
      <c r="P759" s="4"/>
      <c r="Q759" s="4"/>
      <c r="R759" s="4"/>
      <c r="S759" s="4"/>
      <c r="T759" s="4"/>
      <c r="U759" s="4"/>
      <c r="V759" s="4"/>
      <c r="W759" s="4"/>
      <c r="X759" s="4"/>
      <c r="Y759" s="4"/>
      <c r="Z759" s="4"/>
    </row>
    <row r="760" spans="1:26">
      <c r="A760" s="10"/>
      <c r="B760" s="10"/>
      <c r="C760" s="4"/>
      <c r="D760" s="10"/>
      <c r="E760" s="10"/>
      <c r="F760" s="4"/>
      <c r="G760" s="4"/>
      <c r="H760" s="4"/>
      <c r="I760" s="4"/>
      <c r="J760" s="4"/>
      <c r="K760" s="4"/>
      <c r="L760" s="4"/>
      <c r="M760" s="4"/>
      <c r="N760" s="4"/>
      <c r="O760" s="4"/>
      <c r="P760" s="4"/>
      <c r="Q760" s="4"/>
      <c r="R760" s="4"/>
      <c r="S760" s="4"/>
      <c r="T760" s="4"/>
      <c r="U760" s="4"/>
      <c r="V760" s="4"/>
      <c r="W760" s="4"/>
      <c r="X760" s="4"/>
      <c r="Y760" s="4"/>
      <c r="Z760" s="4"/>
    </row>
    <row r="761" spans="1:26">
      <c r="A761" s="10"/>
      <c r="B761" s="10"/>
      <c r="C761" s="4"/>
      <c r="D761" s="10"/>
      <c r="E761" s="10"/>
      <c r="F761" s="4"/>
      <c r="G761" s="4"/>
      <c r="H761" s="4"/>
      <c r="I761" s="4"/>
      <c r="J761" s="4"/>
      <c r="K761" s="4"/>
      <c r="L761" s="4"/>
      <c r="M761" s="4"/>
      <c r="N761" s="4"/>
      <c r="O761" s="4"/>
      <c r="P761" s="4"/>
      <c r="Q761" s="4"/>
      <c r="R761" s="4"/>
      <c r="S761" s="4"/>
      <c r="T761" s="4"/>
      <c r="U761" s="4"/>
      <c r="V761" s="4"/>
      <c r="W761" s="4"/>
      <c r="X761" s="4"/>
      <c r="Y761" s="4"/>
      <c r="Z761" s="4"/>
    </row>
    <row r="762" spans="1:26">
      <c r="A762" s="10"/>
      <c r="B762" s="10"/>
      <c r="C762" s="4"/>
      <c r="D762" s="10"/>
      <c r="E762" s="10"/>
      <c r="F762" s="4"/>
      <c r="G762" s="4"/>
      <c r="H762" s="4"/>
      <c r="I762" s="4"/>
      <c r="J762" s="4"/>
      <c r="K762" s="4"/>
      <c r="L762" s="4"/>
      <c r="M762" s="4"/>
      <c r="N762" s="4"/>
      <c r="O762" s="4"/>
      <c r="P762" s="4"/>
      <c r="Q762" s="4"/>
      <c r="R762" s="4"/>
      <c r="S762" s="4"/>
      <c r="T762" s="4"/>
      <c r="U762" s="4"/>
      <c r="V762" s="4"/>
      <c r="W762" s="4"/>
      <c r="X762" s="4"/>
      <c r="Y762" s="4"/>
      <c r="Z762" s="4"/>
    </row>
    <row r="763" spans="1:26">
      <c r="A763" s="10"/>
      <c r="B763" s="10"/>
      <c r="C763" s="4"/>
      <c r="D763" s="10"/>
      <c r="E763" s="10"/>
      <c r="F763" s="4"/>
      <c r="G763" s="4"/>
      <c r="H763" s="4"/>
      <c r="I763" s="4"/>
      <c r="J763" s="4"/>
      <c r="K763" s="4"/>
      <c r="L763" s="4"/>
      <c r="M763" s="4"/>
      <c r="N763" s="4"/>
      <c r="O763" s="4"/>
      <c r="P763" s="4"/>
      <c r="Q763" s="4"/>
      <c r="R763" s="4"/>
      <c r="S763" s="4"/>
      <c r="T763" s="4"/>
      <c r="U763" s="4"/>
      <c r="V763" s="4"/>
      <c r="W763" s="4"/>
      <c r="X763" s="4"/>
      <c r="Y763" s="4"/>
      <c r="Z763" s="4"/>
    </row>
    <row r="764" spans="1:26">
      <c r="A764" s="10"/>
      <c r="B764" s="10"/>
      <c r="C764" s="4"/>
      <c r="D764" s="10"/>
      <c r="E764" s="10"/>
      <c r="F764" s="4"/>
      <c r="G764" s="4"/>
      <c r="H764" s="4"/>
      <c r="I764" s="4"/>
      <c r="J764" s="4"/>
      <c r="K764" s="4"/>
      <c r="L764" s="4"/>
      <c r="M764" s="4"/>
      <c r="N764" s="4"/>
      <c r="O764" s="4"/>
      <c r="P764" s="4"/>
      <c r="Q764" s="4"/>
      <c r="R764" s="4"/>
      <c r="S764" s="4"/>
      <c r="T764" s="4"/>
      <c r="U764" s="4"/>
      <c r="V764" s="4"/>
      <c r="W764" s="4"/>
      <c r="X764" s="4"/>
      <c r="Y764" s="4"/>
      <c r="Z764" s="4"/>
    </row>
    <row r="765" spans="1:26">
      <c r="A765" s="10"/>
      <c r="B765" s="10"/>
      <c r="C765" s="4"/>
      <c r="D765" s="10"/>
      <c r="E765" s="10"/>
      <c r="F765" s="4"/>
      <c r="G765" s="4"/>
      <c r="H765" s="4"/>
      <c r="I765" s="4"/>
      <c r="J765" s="4"/>
      <c r="K765" s="4"/>
      <c r="L765" s="4"/>
      <c r="M765" s="4"/>
      <c r="N765" s="4"/>
      <c r="O765" s="4"/>
      <c r="P765" s="4"/>
      <c r="Q765" s="4"/>
      <c r="R765" s="4"/>
      <c r="S765" s="4"/>
      <c r="T765" s="4"/>
      <c r="U765" s="4"/>
      <c r="V765" s="4"/>
      <c r="W765" s="4"/>
      <c r="X765" s="4"/>
      <c r="Y765" s="4"/>
      <c r="Z765" s="4"/>
    </row>
    <row r="766" spans="1:26">
      <c r="A766" s="10"/>
      <c r="B766" s="10"/>
      <c r="C766" s="4"/>
      <c r="D766" s="10"/>
      <c r="E766" s="10"/>
      <c r="F766" s="4"/>
      <c r="G766" s="4"/>
      <c r="H766" s="4"/>
      <c r="I766" s="4"/>
      <c r="J766" s="4"/>
      <c r="K766" s="4"/>
      <c r="L766" s="4"/>
      <c r="M766" s="4"/>
      <c r="N766" s="4"/>
      <c r="O766" s="4"/>
      <c r="P766" s="4"/>
      <c r="Q766" s="4"/>
      <c r="R766" s="4"/>
      <c r="S766" s="4"/>
      <c r="T766" s="4"/>
      <c r="U766" s="4"/>
      <c r="V766" s="4"/>
      <c r="W766" s="4"/>
      <c r="X766" s="4"/>
      <c r="Y766" s="4"/>
      <c r="Z766" s="4"/>
    </row>
    <row r="767" spans="1:26">
      <c r="A767" s="10"/>
      <c r="B767" s="10"/>
      <c r="C767" s="4"/>
      <c r="D767" s="10"/>
      <c r="E767" s="10"/>
      <c r="F767" s="4"/>
      <c r="G767" s="4"/>
      <c r="H767" s="4"/>
      <c r="I767" s="4"/>
      <c r="J767" s="4"/>
      <c r="K767" s="4"/>
      <c r="L767" s="4"/>
      <c r="M767" s="4"/>
      <c r="N767" s="4"/>
      <c r="O767" s="4"/>
      <c r="P767" s="4"/>
      <c r="Q767" s="4"/>
      <c r="R767" s="4"/>
      <c r="S767" s="4"/>
      <c r="T767" s="4"/>
      <c r="U767" s="4"/>
      <c r="V767" s="4"/>
      <c r="W767" s="4"/>
      <c r="X767" s="4"/>
      <c r="Y767" s="4"/>
      <c r="Z767" s="4"/>
    </row>
    <row r="768" spans="1:26">
      <c r="A768" s="10"/>
      <c r="B768" s="10"/>
      <c r="C768" s="4"/>
      <c r="D768" s="10"/>
      <c r="E768" s="10"/>
      <c r="F768" s="4"/>
      <c r="G768" s="4"/>
      <c r="H768" s="4"/>
      <c r="I768" s="4"/>
      <c r="J768" s="4"/>
      <c r="K768" s="4"/>
      <c r="L768" s="4"/>
      <c r="M768" s="4"/>
      <c r="N768" s="4"/>
      <c r="O768" s="4"/>
      <c r="P768" s="4"/>
      <c r="Q768" s="4"/>
      <c r="R768" s="4"/>
      <c r="S768" s="4"/>
      <c r="T768" s="4"/>
      <c r="U768" s="4"/>
      <c r="V768" s="4"/>
      <c r="W768" s="4"/>
      <c r="X768" s="4"/>
      <c r="Y768" s="4"/>
      <c r="Z768" s="4"/>
    </row>
    <row r="769" spans="1:26">
      <c r="A769" s="10"/>
      <c r="B769" s="10"/>
      <c r="C769" s="4"/>
      <c r="D769" s="10"/>
      <c r="E769" s="10"/>
      <c r="F769" s="4"/>
      <c r="G769" s="4"/>
      <c r="H769" s="4"/>
      <c r="I769" s="4"/>
      <c r="J769" s="4"/>
      <c r="K769" s="4"/>
      <c r="L769" s="4"/>
      <c r="M769" s="4"/>
      <c r="N769" s="4"/>
      <c r="O769" s="4"/>
      <c r="P769" s="4"/>
      <c r="Q769" s="4"/>
      <c r="R769" s="4"/>
      <c r="S769" s="4"/>
      <c r="T769" s="4"/>
      <c r="U769" s="4"/>
      <c r="V769" s="4"/>
      <c r="W769" s="4"/>
      <c r="X769" s="4"/>
      <c r="Y769" s="4"/>
      <c r="Z769" s="4"/>
    </row>
    <row r="770" spans="1:26">
      <c r="A770" s="10"/>
      <c r="B770" s="10"/>
      <c r="C770" s="4"/>
      <c r="D770" s="10"/>
      <c r="E770" s="10"/>
      <c r="F770" s="4"/>
      <c r="G770" s="4"/>
      <c r="H770" s="4"/>
      <c r="I770" s="4"/>
      <c r="J770" s="4"/>
      <c r="K770" s="4"/>
      <c r="L770" s="4"/>
      <c r="M770" s="4"/>
      <c r="N770" s="4"/>
      <c r="O770" s="4"/>
      <c r="P770" s="4"/>
      <c r="Q770" s="4"/>
      <c r="R770" s="4"/>
      <c r="S770" s="4"/>
      <c r="T770" s="4"/>
      <c r="U770" s="4"/>
      <c r="V770" s="4"/>
      <c r="W770" s="4"/>
      <c r="X770" s="4"/>
      <c r="Y770" s="4"/>
      <c r="Z770" s="4"/>
    </row>
    <row r="771" spans="1:26">
      <c r="A771" s="10"/>
      <c r="B771" s="10"/>
      <c r="C771" s="4"/>
      <c r="D771" s="10"/>
      <c r="E771" s="10"/>
      <c r="F771" s="4"/>
      <c r="G771" s="4"/>
      <c r="H771" s="4"/>
      <c r="I771" s="4"/>
      <c r="J771" s="4"/>
      <c r="K771" s="4"/>
      <c r="L771" s="4"/>
      <c r="M771" s="4"/>
      <c r="N771" s="4"/>
      <c r="O771" s="4"/>
      <c r="P771" s="4"/>
      <c r="Q771" s="4"/>
      <c r="R771" s="4"/>
      <c r="S771" s="4"/>
      <c r="T771" s="4"/>
      <c r="U771" s="4"/>
      <c r="V771" s="4"/>
      <c r="W771" s="4"/>
      <c r="X771" s="4"/>
      <c r="Y771" s="4"/>
      <c r="Z771" s="4"/>
    </row>
    <row r="772" spans="1:26">
      <c r="A772" s="10"/>
      <c r="B772" s="10"/>
      <c r="C772" s="4"/>
      <c r="D772" s="10"/>
      <c r="E772" s="10"/>
      <c r="F772" s="4"/>
      <c r="G772" s="4"/>
      <c r="H772" s="4"/>
      <c r="I772" s="4"/>
      <c r="J772" s="4"/>
      <c r="K772" s="4"/>
      <c r="L772" s="4"/>
      <c r="M772" s="4"/>
      <c r="N772" s="4"/>
      <c r="O772" s="4"/>
      <c r="P772" s="4"/>
      <c r="Q772" s="4"/>
      <c r="R772" s="4"/>
      <c r="S772" s="4"/>
      <c r="T772" s="4"/>
      <c r="U772" s="4"/>
      <c r="V772" s="4"/>
      <c r="W772" s="4"/>
      <c r="X772" s="4"/>
      <c r="Y772" s="4"/>
      <c r="Z772" s="4"/>
    </row>
    <row r="773" spans="1:26">
      <c r="A773" s="10"/>
      <c r="B773" s="10"/>
      <c r="C773" s="4"/>
      <c r="D773" s="10"/>
      <c r="E773" s="10"/>
      <c r="F773" s="4"/>
      <c r="G773" s="4"/>
      <c r="H773" s="4"/>
      <c r="I773" s="4"/>
      <c r="J773" s="4"/>
      <c r="K773" s="4"/>
      <c r="L773" s="4"/>
      <c r="M773" s="4"/>
      <c r="N773" s="4"/>
      <c r="O773" s="4"/>
      <c r="P773" s="4"/>
      <c r="Q773" s="4"/>
      <c r="R773" s="4"/>
      <c r="S773" s="4"/>
      <c r="T773" s="4"/>
      <c r="U773" s="4"/>
      <c r="V773" s="4"/>
      <c r="W773" s="4"/>
      <c r="X773" s="4"/>
      <c r="Y773" s="4"/>
      <c r="Z773" s="4"/>
    </row>
    <row r="774" spans="1:26">
      <c r="A774" s="10"/>
      <c r="B774" s="10"/>
      <c r="C774" s="4"/>
      <c r="D774" s="10"/>
      <c r="E774" s="10"/>
      <c r="F774" s="4"/>
      <c r="G774" s="4"/>
      <c r="H774" s="4"/>
      <c r="I774" s="4"/>
      <c r="J774" s="4"/>
      <c r="K774" s="4"/>
      <c r="L774" s="4"/>
      <c r="M774" s="4"/>
      <c r="N774" s="4"/>
      <c r="O774" s="4"/>
      <c r="P774" s="4"/>
      <c r="Q774" s="4"/>
      <c r="R774" s="4"/>
      <c r="S774" s="4"/>
      <c r="T774" s="4"/>
      <c r="U774" s="4"/>
      <c r="V774" s="4"/>
      <c r="W774" s="4"/>
      <c r="X774" s="4"/>
      <c r="Y774" s="4"/>
      <c r="Z774" s="4"/>
    </row>
    <row r="775" spans="1:26">
      <c r="A775" s="10"/>
      <c r="B775" s="10"/>
      <c r="C775" s="4"/>
      <c r="D775" s="10"/>
      <c r="E775" s="10"/>
      <c r="F775" s="4"/>
      <c r="G775" s="4"/>
      <c r="H775" s="4"/>
      <c r="I775" s="4"/>
      <c r="J775" s="4"/>
      <c r="K775" s="4"/>
      <c r="L775" s="4"/>
      <c r="M775" s="4"/>
      <c r="N775" s="4"/>
      <c r="O775" s="4"/>
      <c r="P775" s="4"/>
      <c r="Q775" s="4"/>
      <c r="R775" s="4"/>
      <c r="S775" s="4"/>
      <c r="T775" s="4"/>
      <c r="U775" s="4"/>
      <c r="V775" s="4"/>
      <c r="W775" s="4"/>
      <c r="X775" s="4"/>
      <c r="Y775" s="4"/>
      <c r="Z775" s="4"/>
    </row>
    <row r="776" spans="1:26">
      <c r="A776" s="10"/>
      <c r="B776" s="10"/>
      <c r="C776" s="4"/>
      <c r="D776" s="10"/>
      <c r="E776" s="10"/>
      <c r="F776" s="4"/>
      <c r="G776" s="4"/>
      <c r="H776" s="4"/>
      <c r="I776" s="4"/>
      <c r="J776" s="4"/>
      <c r="K776" s="4"/>
      <c r="L776" s="4"/>
      <c r="M776" s="4"/>
      <c r="N776" s="4"/>
      <c r="O776" s="4"/>
      <c r="P776" s="4"/>
      <c r="Q776" s="4"/>
      <c r="R776" s="4"/>
      <c r="S776" s="4"/>
      <c r="T776" s="4"/>
      <c r="U776" s="4"/>
      <c r="V776" s="4"/>
      <c r="W776" s="4"/>
      <c r="X776" s="4"/>
      <c r="Y776" s="4"/>
      <c r="Z776" s="4"/>
    </row>
    <row r="777" spans="1:26">
      <c r="A777" s="10"/>
      <c r="B777" s="10"/>
      <c r="C777" s="4"/>
      <c r="D777" s="10"/>
      <c r="E777" s="10"/>
      <c r="F777" s="4"/>
      <c r="G777" s="4"/>
      <c r="H777" s="4"/>
      <c r="I777" s="4"/>
      <c r="J777" s="4"/>
      <c r="K777" s="4"/>
      <c r="L777" s="4"/>
      <c r="M777" s="4"/>
      <c r="N777" s="4"/>
      <c r="O777" s="4"/>
      <c r="P777" s="4"/>
      <c r="Q777" s="4"/>
      <c r="R777" s="4"/>
      <c r="S777" s="4"/>
      <c r="T777" s="4"/>
      <c r="U777" s="4"/>
      <c r="V777" s="4"/>
      <c r="W777" s="4"/>
      <c r="X777" s="4"/>
      <c r="Y777" s="4"/>
      <c r="Z777" s="4"/>
    </row>
    <row r="778" spans="1:26">
      <c r="A778" s="10"/>
      <c r="B778" s="10"/>
      <c r="C778" s="4"/>
      <c r="D778" s="10"/>
      <c r="E778" s="10"/>
      <c r="F778" s="4"/>
      <c r="G778" s="4"/>
      <c r="H778" s="4"/>
      <c r="I778" s="4"/>
      <c r="J778" s="4"/>
      <c r="K778" s="4"/>
      <c r="L778" s="4"/>
      <c r="M778" s="4"/>
      <c r="N778" s="4"/>
      <c r="O778" s="4"/>
      <c r="P778" s="4"/>
      <c r="Q778" s="4"/>
      <c r="R778" s="4"/>
      <c r="S778" s="4"/>
      <c r="T778" s="4"/>
      <c r="U778" s="4"/>
      <c r="V778" s="4"/>
      <c r="W778" s="4"/>
      <c r="X778" s="4"/>
      <c r="Y778" s="4"/>
      <c r="Z778" s="4"/>
    </row>
    <row r="779" spans="1:26">
      <c r="A779" s="10"/>
      <c r="B779" s="10"/>
      <c r="C779" s="4"/>
      <c r="D779" s="10"/>
      <c r="E779" s="10"/>
      <c r="F779" s="4"/>
      <c r="G779" s="4"/>
      <c r="H779" s="4"/>
      <c r="I779" s="4"/>
      <c r="J779" s="4"/>
      <c r="K779" s="4"/>
      <c r="L779" s="4"/>
      <c r="M779" s="4"/>
      <c r="N779" s="4"/>
      <c r="O779" s="4"/>
      <c r="P779" s="4"/>
      <c r="Q779" s="4"/>
      <c r="R779" s="4"/>
      <c r="S779" s="4"/>
      <c r="T779" s="4"/>
      <c r="U779" s="4"/>
      <c r="V779" s="4"/>
      <c r="W779" s="4"/>
      <c r="X779" s="4"/>
      <c r="Y779" s="4"/>
      <c r="Z779" s="4"/>
    </row>
    <row r="780" spans="1:26">
      <c r="A780" s="10"/>
      <c r="B780" s="10"/>
      <c r="C780" s="4"/>
      <c r="D780" s="10"/>
      <c r="E780" s="10"/>
      <c r="F780" s="4"/>
      <c r="G780" s="4"/>
      <c r="H780" s="4"/>
      <c r="I780" s="4"/>
      <c r="J780" s="4"/>
      <c r="K780" s="4"/>
      <c r="L780" s="4"/>
      <c r="M780" s="4"/>
      <c r="N780" s="4"/>
      <c r="O780" s="4"/>
      <c r="P780" s="4"/>
      <c r="Q780" s="4"/>
      <c r="R780" s="4"/>
      <c r="S780" s="4"/>
      <c r="T780" s="4"/>
      <c r="U780" s="4"/>
      <c r="V780" s="4"/>
      <c r="W780" s="4"/>
      <c r="X780" s="4"/>
      <c r="Y780" s="4"/>
      <c r="Z780" s="4"/>
    </row>
    <row r="781" spans="1:26">
      <c r="A781" s="10"/>
      <c r="B781" s="10"/>
      <c r="C781" s="4"/>
      <c r="D781" s="10"/>
      <c r="E781" s="10"/>
      <c r="F781" s="4"/>
      <c r="G781" s="4"/>
      <c r="H781" s="4"/>
      <c r="I781" s="4"/>
      <c r="J781" s="4"/>
      <c r="K781" s="4"/>
      <c r="L781" s="4"/>
      <c r="M781" s="4"/>
      <c r="N781" s="4"/>
      <c r="O781" s="4"/>
      <c r="P781" s="4"/>
      <c r="Q781" s="4"/>
      <c r="R781" s="4"/>
      <c r="S781" s="4"/>
      <c r="T781" s="4"/>
      <c r="U781" s="4"/>
      <c r="V781" s="4"/>
      <c r="W781" s="4"/>
      <c r="X781" s="4"/>
      <c r="Y781" s="4"/>
      <c r="Z781" s="4"/>
    </row>
    <row r="782" spans="1:26">
      <c r="A782" s="10"/>
      <c r="B782" s="10"/>
      <c r="C782" s="4"/>
      <c r="D782" s="10"/>
      <c r="E782" s="10"/>
      <c r="F782" s="4"/>
      <c r="G782" s="4"/>
      <c r="H782" s="4"/>
      <c r="I782" s="4"/>
      <c r="J782" s="4"/>
      <c r="K782" s="4"/>
      <c r="L782" s="4"/>
      <c r="M782" s="4"/>
      <c r="N782" s="4"/>
      <c r="O782" s="4"/>
      <c r="P782" s="4"/>
      <c r="Q782" s="4"/>
      <c r="R782" s="4"/>
      <c r="S782" s="4"/>
      <c r="T782" s="4"/>
      <c r="U782" s="4"/>
      <c r="V782" s="4"/>
      <c r="W782" s="4"/>
      <c r="X782" s="4"/>
      <c r="Y782" s="4"/>
      <c r="Z782" s="4"/>
    </row>
    <row r="783" spans="1:26">
      <c r="A783" s="10"/>
      <c r="B783" s="10"/>
      <c r="C783" s="4"/>
      <c r="D783" s="10"/>
      <c r="E783" s="10"/>
      <c r="F783" s="4"/>
      <c r="G783" s="4"/>
      <c r="H783" s="4"/>
      <c r="I783" s="4"/>
      <c r="J783" s="4"/>
      <c r="K783" s="4"/>
      <c r="L783" s="4"/>
      <c r="M783" s="4"/>
      <c r="N783" s="4"/>
      <c r="O783" s="4"/>
      <c r="P783" s="4"/>
      <c r="Q783" s="4"/>
      <c r="R783" s="4"/>
      <c r="S783" s="4"/>
      <c r="T783" s="4"/>
      <c r="U783" s="4"/>
      <c r="V783" s="4"/>
      <c r="W783" s="4"/>
      <c r="X783" s="4"/>
      <c r="Y783" s="4"/>
      <c r="Z783" s="4"/>
    </row>
    <row r="784" spans="1:26">
      <c r="A784" s="10"/>
      <c r="B784" s="10"/>
      <c r="C784" s="4"/>
      <c r="D784" s="10"/>
      <c r="E784" s="10"/>
      <c r="F784" s="4"/>
      <c r="G784" s="4"/>
      <c r="H784" s="4"/>
      <c r="I784" s="4"/>
      <c r="J784" s="4"/>
      <c r="K784" s="4"/>
      <c r="L784" s="4"/>
      <c r="M784" s="4"/>
      <c r="N784" s="4"/>
      <c r="O784" s="4"/>
      <c r="P784" s="4"/>
      <c r="Q784" s="4"/>
      <c r="R784" s="4"/>
      <c r="S784" s="4"/>
      <c r="T784" s="4"/>
      <c r="U784" s="4"/>
      <c r="V784" s="4"/>
      <c r="W784" s="4"/>
      <c r="X784" s="4"/>
      <c r="Y784" s="4"/>
      <c r="Z784" s="4"/>
    </row>
    <row r="785" spans="1:26">
      <c r="A785" s="10"/>
      <c r="B785" s="10"/>
      <c r="C785" s="4"/>
      <c r="D785" s="10"/>
      <c r="E785" s="10"/>
      <c r="F785" s="4"/>
      <c r="G785" s="4"/>
      <c r="H785" s="4"/>
      <c r="I785" s="4"/>
      <c r="J785" s="4"/>
      <c r="K785" s="4"/>
      <c r="L785" s="4"/>
      <c r="M785" s="4"/>
      <c r="N785" s="4"/>
      <c r="O785" s="4"/>
      <c r="P785" s="4"/>
      <c r="Q785" s="4"/>
      <c r="R785" s="4"/>
      <c r="S785" s="4"/>
      <c r="T785" s="4"/>
      <c r="U785" s="4"/>
      <c r="V785" s="4"/>
      <c r="W785" s="4"/>
      <c r="X785" s="4"/>
      <c r="Y785" s="4"/>
      <c r="Z785" s="4"/>
    </row>
    <row r="786" spans="1:26">
      <c r="A786" s="10"/>
      <c r="B786" s="10"/>
      <c r="C786" s="4"/>
      <c r="D786" s="10"/>
      <c r="E786" s="10"/>
      <c r="F786" s="4"/>
      <c r="G786" s="4"/>
      <c r="H786" s="4"/>
      <c r="I786" s="4"/>
      <c r="J786" s="4"/>
      <c r="K786" s="4"/>
      <c r="L786" s="4"/>
      <c r="M786" s="4"/>
      <c r="N786" s="4"/>
      <c r="O786" s="4"/>
      <c r="P786" s="4"/>
      <c r="Q786" s="4"/>
      <c r="R786" s="4"/>
      <c r="S786" s="4"/>
      <c r="T786" s="4"/>
      <c r="U786" s="4"/>
      <c r="V786" s="4"/>
      <c r="W786" s="4"/>
      <c r="X786" s="4"/>
      <c r="Y786" s="4"/>
      <c r="Z786" s="4"/>
    </row>
    <row r="787" spans="1:26">
      <c r="A787" s="10"/>
      <c r="B787" s="10"/>
      <c r="C787" s="4"/>
      <c r="D787" s="10"/>
      <c r="E787" s="10"/>
      <c r="F787" s="4"/>
      <c r="G787" s="4"/>
      <c r="H787" s="4"/>
      <c r="I787" s="4"/>
      <c r="J787" s="4"/>
      <c r="K787" s="4"/>
      <c r="L787" s="4"/>
      <c r="M787" s="4"/>
      <c r="N787" s="4"/>
      <c r="O787" s="4"/>
      <c r="P787" s="4"/>
      <c r="Q787" s="4"/>
      <c r="R787" s="4"/>
      <c r="S787" s="4"/>
      <c r="T787" s="4"/>
      <c r="U787" s="4"/>
      <c r="V787" s="4"/>
      <c r="W787" s="4"/>
      <c r="X787" s="4"/>
      <c r="Y787" s="4"/>
      <c r="Z787" s="4"/>
    </row>
    <row r="788" spans="1:26">
      <c r="A788" s="10"/>
      <c r="B788" s="10"/>
      <c r="C788" s="4"/>
      <c r="D788" s="10"/>
      <c r="E788" s="10"/>
      <c r="F788" s="4"/>
      <c r="G788" s="4"/>
      <c r="H788" s="4"/>
      <c r="I788" s="4"/>
      <c r="J788" s="4"/>
      <c r="K788" s="4"/>
      <c r="L788" s="4"/>
      <c r="M788" s="4"/>
      <c r="N788" s="4"/>
      <c r="O788" s="4"/>
      <c r="P788" s="4"/>
      <c r="Q788" s="4"/>
      <c r="R788" s="4"/>
      <c r="S788" s="4"/>
      <c r="T788" s="4"/>
      <c r="U788" s="4"/>
      <c r="V788" s="4"/>
      <c r="W788" s="4"/>
      <c r="X788" s="4"/>
      <c r="Y788" s="4"/>
      <c r="Z788" s="4"/>
    </row>
    <row r="789" spans="1:26">
      <c r="A789" s="10"/>
      <c r="B789" s="10"/>
      <c r="C789" s="4"/>
      <c r="D789" s="10"/>
      <c r="E789" s="10"/>
      <c r="F789" s="4"/>
      <c r="G789" s="4"/>
      <c r="H789" s="4"/>
      <c r="I789" s="4"/>
      <c r="J789" s="4"/>
      <c r="K789" s="4"/>
      <c r="L789" s="4"/>
      <c r="M789" s="4"/>
      <c r="N789" s="4"/>
      <c r="O789" s="4"/>
      <c r="P789" s="4"/>
      <c r="Q789" s="4"/>
      <c r="R789" s="4"/>
      <c r="S789" s="4"/>
      <c r="T789" s="4"/>
      <c r="U789" s="4"/>
      <c r="V789" s="4"/>
      <c r="W789" s="4"/>
      <c r="X789" s="4"/>
      <c r="Y789" s="4"/>
      <c r="Z789" s="4"/>
    </row>
    <row r="790" spans="1:26">
      <c r="A790" s="10"/>
      <c r="B790" s="10"/>
      <c r="C790" s="4"/>
      <c r="D790" s="10"/>
      <c r="E790" s="10"/>
      <c r="F790" s="4"/>
      <c r="G790" s="4"/>
      <c r="H790" s="4"/>
      <c r="I790" s="4"/>
      <c r="J790" s="4"/>
      <c r="K790" s="4"/>
      <c r="L790" s="4"/>
      <c r="M790" s="4"/>
      <c r="N790" s="4"/>
      <c r="O790" s="4"/>
      <c r="P790" s="4"/>
      <c r="Q790" s="4"/>
      <c r="R790" s="4"/>
      <c r="S790" s="4"/>
      <c r="T790" s="4"/>
      <c r="U790" s="4"/>
      <c r="V790" s="4"/>
      <c r="W790" s="4"/>
      <c r="X790" s="4"/>
      <c r="Y790" s="4"/>
      <c r="Z790" s="4"/>
    </row>
    <row r="791" spans="1:26">
      <c r="A791" s="10"/>
      <c r="B791" s="10"/>
      <c r="C791" s="4"/>
      <c r="D791" s="10"/>
      <c r="E791" s="10"/>
      <c r="F791" s="4"/>
      <c r="G791" s="4"/>
      <c r="H791" s="4"/>
      <c r="I791" s="4"/>
      <c r="J791" s="4"/>
      <c r="K791" s="4"/>
      <c r="L791" s="4"/>
      <c r="M791" s="4"/>
      <c r="N791" s="4"/>
      <c r="O791" s="4"/>
      <c r="P791" s="4"/>
      <c r="Q791" s="4"/>
      <c r="R791" s="4"/>
      <c r="S791" s="4"/>
      <c r="T791" s="4"/>
      <c r="U791" s="4"/>
      <c r="V791" s="4"/>
      <c r="W791" s="4"/>
      <c r="X791" s="4"/>
      <c r="Y791" s="4"/>
      <c r="Z791" s="4"/>
    </row>
    <row r="792" spans="1:26">
      <c r="A792" s="10"/>
      <c r="B792" s="10"/>
      <c r="C792" s="4"/>
      <c r="D792" s="10"/>
      <c r="E792" s="10"/>
      <c r="F792" s="4"/>
      <c r="G792" s="4"/>
      <c r="H792" s="4"/>
      <c r="I792" s="4"/>
      <c r="J792" s="4"/>
      <c r="K792" s="4"/>
      <c r="L792" s="4"/>
      <c r="M792" s="4"/>
      <c r="N792" s="4"/>
      <c r="O792" s="4"/>
      <c r="P792" s="4"/>
      <c r="Q792" s="4"/>
      <c r="R792" s="4"/>
      <c r="S792" s="4"/>
      <c r="T792" s="4"/>
      <c r="U792" s="4"/>
      <c r="V792" s="4"/>
      <c r="W792" s="4"/>
      <c r="X792" s="4"/>
      <c r="Y792" s="4"/>
      <c r="Z792" s="4"/>
    </row>
    <row r="793" spans="1:26">
      <c r="A793" s="10"/>
      <c r="B793" s="10"/>
      <c r="C793" s="4"/>
      <c r="D793" s="10"/>
      <c r="E793" s="10"/>
      <c r="F793" s="4"/>
      <c r="G793" s="4"/>
      <c r="H793" s="4"/>
      <c r="I793" s="4"/>
      <c r="J793" s="4"/>
      <c r="K793" s="4"/>
      <c r="L793" s="4"/>
      <c r="M793" s="4"/>
      <c r="N793" s="4"/>
      <c r="O793" s="4"/>
      <c r="P793" s="4"/>
      <c r="Q793" s="4"/>
      <c r="R793" s="4"/>
      <c r="S793" s="4"/>
      <c r="T793" s="4"/>
      <c r="U793" s="4"/>
      <c r="V793" s="4"/>
      <c r="W793" s="4"/>
      <c r="X793" s="4"/>
      <c r="Y793" s="4"/>
      <c r="Z793" s="4"/>
    </row>
    <row r="794" spans="1:26">
      <c r="A794" s="10"/>
      <c r="B794" s="10"/>
      <c r="C794" s="4"/>
      <c r="D794" s="10"/>
      <c r="E794" s="10"/>
      <c r="F794" s="4"/>
      <c r="G794" s="4"/>
      <c r="H794" s="4"/>
      <c r="I794" s="4"/>
      <c r="J794" s="4"/>
      <c r="K794" s="4"/>
      <c r="L794" s="4"/>
      <c r="M794" s="4"/>
      <c r="N794" s="4"/>
      <c r="O794" s="4"/>
      <c r="P794" s="4"/>
      <c r="Q794" s="4"/>
      <c r="R794" s="4"/>
      <c r="S794" s="4"/>
      <c r="T794" s="4"/>
      <c r="U794" s="4"/>
      <c r="V794" s="4"/>
      <c r="W794" s="4"/>
      <c r="X794" s="4"/>
      <c r="Y794" s="4"/>
      <c r="Z794" s="4"/>
    </row>
    <row r="795" spans="1:26">
      <c r="A795" s="10"/>
      <c r="B795" s="10"/>
      <c r="C795" s="4"/>
      <c r="D795" s="10"/>
      <c r="E795" s="10"/>
      <c r="F795" s="4"/>
      <c r="G795" s="4"/>
      <c r="H795" s="4"/>
      <c r="I795" s="4"/>
      <c r="J795" s="4"/>
      <c r="K795" s="4"/>
      <c r="L795" s="4"/>
      <c r="M795" s="4"/>
      <c r="N795" s="4"/>
      <c r="O795" s="4"/>
      <c r="P795" s="4"/>
      <c r="Q795" s="4"/>
      <c r="R795" s="4"/>
      <c r="S795" s="4"/>
      <c r="T795" s="4"/>
      <c r="U795" s="4"/>
      <c r="V795" s="4"/>
      <c r="W795" s="4"/>
      <c r="X795" s="4"/>
      <c r="Y795" s="4"/>
      <c r="Z795" s="4"/>
    </row>
    <row r="796" spans="1:26">
      <c r="A796" s="10"/>
      <c r="B796" s="10"/>
      <c r="C796" s="4"/>
      <c r="D796" s="10"/>
      <c r="E796" s="10"/>
      <c r="F796" s="4"/>
      <c r="G796" s="4"/>
      <c r="H796" s="4"/>
      <c r="I796" s="4"/>
      <c r="J796" s="4"/>
      <c r="K796" s="4"/>
      <c r="L796" s="4"/>
      <c r="M796" s="4"/>
      <c r="N796" s="4"/>
      <c r="O796" s="4"/>
      <c r="P796" s="4"/>
      <c r="Q796" s="4"/>
      <c r="R796" s="4"/>
      <c r="S796" s="4"/>
      <c r="T796" s="4"/>
      <c r="U796" s="4"/>
      <c r="V796" s="4"/>
      <c r="W796" s="4"/>
      <c r="X796" s="4"/>
      <c r="Y796" s="4"/>
      <c r="Z796" s="4"/>
    </row>
    <row r="797" spans="1:26">
      <c r="A797" s="10"/>
      <c r="B797" s="10"/>
      <c r="C797" s="4"/>
      <c r="D797" s="10"/>
      <c r="E797" s="10"/>
      <c r="F797" s="4"/>
      <c r="G797" s="4"/>
      <c r="H797" s="4"/>
      <c r="I797" s="4"/>
      <c r="J797" s="4"/>
      <c r="K797" s="4"/>
      <c r="L797" s="4"/>
      <c r="M797" s="4"/>
      <c r="N797" s="4"/>
      <c r="O797" s="4"/>
      <c r="P797" s="4"/>
      <c r="Q797" s="4"/>
      <c r="R797" s="4"/>
      <c r="S797" s="4"/>
      <c r="T797" s="4"/>
      <c r="U797" s="4"/>
      <c r="V797" s="4"/>
      <c r="W797" s="4"/>
      <c r="X797" s="4"/>
      <c r="Y797" s="4"/>
      <c r="Z797" s="4"/>
    </row>
    <row r="798" spans="1:26">
      <c r="A798" s="10"/>
      <c r="B798" s="10"/>
      <c r="C798" s="4"/>
      <c r="D798" s="10"/>
      <c r="E798" s="10"/>
      <c r="F798" s="4"/>
      <c r="G798" s="4"/>
      <c r="H798" s="4"/>
      <c r="I798" s="4"/>
      <c r="J798" s="4"/>
      <c r="K798" s="4"/>
      <c r="L798" s="4"/>
      <c r="M798" s="4"/>
      <c r="N798" s="4"/>
      <c r="O798" s="4"/>
      <c r="P798" s="4"/>
      <c r="Q798" s="4"/>
      <c r="R798" s="4"/>
      <c r="S798" s="4"/>
      <c r="T798" s="4"/>
      <c r="U798" s="4"/>
      <c r="V798" s="4"/>
      <c r="W798" s="4"/>
      <c r="X798" s="4"/>
      <c r="Y798" s="4"/>
      <c r="Z798" s="4"/>
    </row>
    <row r="799" spans="1:26">
      <c r="A799" s="10"/>
      <c r="B799" s="10"/>
      <c r="C799" s="4"/>
      <c r="D799" s="10"/>
      <c r="E799" s="10"/>
      <c r="F799" s="4"/>
      <c r="G799" s="4"/>
      <c r="H799" s="4"/>
      <c r="I799" s="4"/>
      <c r="J799" s="4"/>
      <c r="K799" s="4"/>
      <c r="L799" s="4"/>
      <c r="M799" s="4"/>
      <c r="N799" s="4"/>
      <c r="O799" s="4"/>
      <c r="P799" s="4"/>
      <c r="Q799" s="4"/>
      <c r="R799" s="4"/>
      <c r="S799" s="4"/>
      <c r="T799" s="4"/>
      <c r="U799" s="4"/>
      <c r="V799" s="4"/>
      <c r="W799" s="4"/>
      <c r="X799" s="4"/>
      <c r="Y799" s="4"/>
      <c r="Z799" s="4"/>
    </row>
    <row r="800" spans="1:26">
      <c r="A800" s="10"/>
      <c r="B800" s="10"/>
      <c r="C800" s="4"/>
      <c r="D800" s="10"/>
      <c r="E800" s="10"/>
      <c r="F800" s="4"/>
      <c r="G800" s="4"/>
      <c r="H800" s="4"/>
      <c r="I800" s="4"/>
      <c r="J800" s="4"/>
      <c r="K800" s="4"/>
      <c r="L800" s="4"/>
      <c r="M800" s="4"/>
      <c r="N800" s="4"/>
      <c r="O800" s="4"/>
      <c r="P800" s="4"/>
      <c r="Q800" s="4"/>
      <c r="R800" s="4"/>
      <c r="S800" s="4"/>
      <c r="T800" s="4"/>
      <c r="U800" s="4"/>
      <c r="V800" s="4"/>
      <c r="W800" s="4"/>
      <c r="X800" s="4"/>
      <c r="Y800" s="4"/>
      <c r="Z800" s="4"/>
    </row>
    <row r="801" spans="1:26">
      <c r="A801" s="10"/>
      <c r="B801" s="10"/>
      <c r="C801" s="4"/>
      <c r="D801" s="10"/>
      <c r="E801" s="10"/>
      <c r="F801" s="4"/>
      <c r="G801" s="4"/>
      <c r="H801" s="4"/>
      <c r="I801" s="4"/>
      <c r="J801" s="4"/>
      <c r="K801" s="4"/>
      <c r="L801" s="4"/>
      <c r="M801" s="4"/>
      <c r="N801" s="4"/>
      <c r="O801" s="4"/>
      <c r="P801" s="4"/>
      <c r="Q801" s="4"/>
      <c r="R801" s="4"/>
      <c r="S801" s="4"/>
      <c r="T801" s="4"/>
      <c r="U801" s="4"/>
      <c r="V801" s="4"/>
      <c r="W801" s="4"/>
      <c r="X801" s="4"/>
      <c r="Y801" s="4"/>
      <c r="Z801" s="4"/>
    </row>
    <row r="802" spans="1:26">
      <c r="A802" s="10"/>
      <c r="B802" s="10"/>
      <c r="C802" s="4"/>
      <c r="D802" s="10"/>
      <c r="E802" s="10"/>
      <c r="F802" s="4"/>
      <c r="G802" s="4"/>
      <c r="H802" s="4"/>
      <c r="I802" s="4"/>
      <c r="J802" s="4"/>
      <c r="K802" s="4"/>
      <c r="L802" s="4"/>
      <c r="M802" s="4"/>
      <c r="N802" s="4"/>
      <c r="O802" s="4"/>
      <c r="P802" s="4"/>
      <c r="Q802" s="4"/>
      <c r="R802" s="4"/>
      <c r="S802" s="4"/>
      <c r="T802" s="4"/>
      <c r="U802" s="4"/>
      <c r="V802" s="4"/>
      <c r="W802" s="4"/>
      <c r="X802" s="4"/>
      <c r="Y802" s="4"/>
      <c r="Z802" s="4"/>
    </row>
    <row r="803" spans="1:26">
      <c r="A803" s="10"/>
      <c r="B803" s="10"/>
      <c r="C803" s="4"/>
      <c r="D803" s="10"/>
      <c r="E803" s="10"/>
      <c r="F803" s="4"/>
      <c r="G803" s="4"/>
      <c r="H803" s="4"/>
      <c r="I803" s="4"/>
      <c r="J803" s="4"/>
      <c r="K803" s="4"/>
      <c r="L803" s="4"/>
      <c r="M803" s="4"/>
      <c r="N803" s="4"/>
      <c r="O803" s="4"/>
      <c r="P803" s="4"/>
      <c r="Q803" s="4"/>
      <c r="R803" s="4"/>
      <c r="S803" s="4"/>
      <c r="T803" s="4"/>
      <c r="U803" s="4"/>
      <c r="V803" s="4"/>
      <c r="W803" s="4"/>
      <c r="X803" s="4"/>
      <c r="Y803" s="4"/>
      <c r="Z803" s="4"/>
    </row>
    <row r="804" spans="1:26">
      <c r="A804" s="10"/>
      <c r="B804" s="10"/>
      <c r="C804" s="4"/>
      <c r="D804" s="10"/>
      <c r="E804" s="10"/>
      <c r="F804" s="4"/>
      <c r="G804" s="4"/>
      <c r="H804" s="4"/>
      <c r="I804" s="4"/>
      <c r="J804" s="4"/>
      <c r="K804" s="4"/>
      <c r="L804" s="4"/>
      <c r="M804" s="4"/>
      <c r="N804" s="4"/>
      <c r="O804" s="4"/>
      <c r="P804" s="4"/>
      <c r="Q804" s="4"/>
      <c r="R804" s="4"/>
      <c r="S804" s="4"/>
      <c r="T804" s="4"/>
      <c r="U804" s="4"/>
      <c r="V804" s="4"/>
      <c r="W804" s="4"/>
      <c r="X804" s="4"/>
      <c r="Y804" s="4"/>
      <c r="Z804" s="4"/>
    </row>
    <row r="805" spans="1:26">
      <c r="A805" s="10"/>
      <c r="B805" s="10"/>
      <c r="C805" s="4"/>
      <c r="D805" s="10"/>
      <c r="E805" s="10"/>
      <c r="F805" s="4"/>
      <c r="G805" s="4"/>
      <c r="H805" s="4"/>
      <c r="I805" s="4"/>
      <c r="J805" s="4"/>
      <c r="K805" s="4"/>
      <c r="L805" s="4"/>
      <c r="M805" s="4"/>
      <c r="N805" s="4"/>
      <c r="O805" s="4"/>
      <c r="P805" s="4"/>
      <c r="Q805" s="4"/>
      <c r="R805" s="4"/>
      <c r="S805" s="4"/>
      <c r="T805" s="4"/>
      <c r="U805" s="4"/>
      <c r="V805" s="4"/>
      <c r="W805" s="4"/>
      <c r="X805" s="4"/>
      <c r="Y805" s="4"/>
      <c r="Z805" s="4"/>
    </row>
    <row r="806" spans="1:26">
      <c r="A806" s="10"/>
      <c r="B806" s="10"/>
      <c r="C806" s="4"/>
      <c r="D806" s="10"/>
      <c r="E806" s="10"/>
      <c r="F806" s="4"/>
      <c r="G806" s="4"/>
      <c r="H806" s="4"/>
      <c r="I806" s="4"/>
      <c r="J806" s="4"/>
      <c r="K806" s="4"/>
      <c r="L806" s="4"/>
      <c r="M806" s="4"/>
      <c r="N806" s="4"/>
      <c r="O806" s="4"/>
      <c r="P806" s="4"/>
      <c r="Q806" s="4"/>
      <c r="R806" s="4"/>
      <c r="S806" s="4"/>
      <c r="T806" s="4"/>
      <c r="U806" s="4"/>
      <c r="V806" s="4"/>
      <c r="W806" s="4"/>
      <c r="X806" s="4"/>
      <c r="Y806" s="4"/>
      <c r="Z806" s="4"/>
    </row>
    <row r="807" spans="1:26">
      <c r="A807" s="10"/>
      <c r="B807" s="10"/>
      <c r="C807" s="4"/>
      <c r="D807" s="10"/>
      <c r="E807" s="10"/>
      <c r="F807" s="4"/>
      <c r="G807" s="4"/>
      <c r="H807" s="4"/>
      <c r="I807" s="4"/>
      <c r="J807" s="4"/>
      <c r="K807" s="4"/>
      <c r="L807" s="4"/>
      <c r="M807" s="4"/>
      <c r="N807" s="4"/>
      <c r="O807" s="4"/>
      <c r="P807" s="4"/>
      <c r="Q807" s="4"/>
      <c r="R807" s="4"/>
      <c r="S807" s="4"/>
      <c r="T807" s="4"/>
      <c r="U807" s="4"/>
      <c r="V807" s="4"/>
      <c r="W807" s="4"/>
      <c r="X807" s="4"/>
      <c r="Y807" s="4"/>
      <c r="Z807" s="4"/>
    </row>
    <row r="808" spans="1:26">
      <c r="A808" s="10"/>
      <c r="B808" s="10"/>
      <c r="C808" s="4"/>
      <c r="D808" s="10"/>
      <c r="E808" s="10"/>
      <c r="F808" s="4"/>
      <c r="G808" s="4"/>
      <c r="H808" s="4"/>
      <c r="I808" s="4"/>
      <c r="J808" s="4"/>
      <c r="K808" s="4"/>
      <c r="L808" s="4"/>
      <c r="M808" s="4"/>
      <c r="N808" s="4"/>
      <c r="O808" s="4"/>
      <c r="P808" s="4"/>
      <c r="Q808" s="4"/>
      <c r="R808" s="4"/>
      <c r="S808" s="4"/>
      <c r="T808" s="4"/>
      <c r="U808" s="4"/>
      <c r="V808" s="4"/>
      <c r="W808" s="4"/>
      <c r="X808" s="4"/>
      <c r="Y808" s="4"/>
      <c r="Z808" s="4"/>
    </row>
    <row r="809" spans="1:26">
      <c r="A809" s="10"/>
      <c r="B809" s="10"/>
      <c r="C809" s="4"/>
      <c r="D809" s="10"/>
      <c r="E809" s="10"/>
      <c r="F809" s="4"/>
      <c r="G809" s="4"/>
      <c r="H809" s="4"/>
      <c r="I809" s="4"/>
      <c r="J809" s="4"/>
      <c r="K809" s="4"/>
      <c r="L809" s="4"/>
      <c r="M809" s="4"/>
      <c r="N809" s="4"/>
      <c r="O809" s="4"/>
      <c r="P809" s="4"/>
      <c r="Q809" s="4"/>
      <c r="R809" s="4"/>
      <c r="S809" s="4"/>
      <c r="T809" s="4"/>
      <c r="U809" s="4"/>
      <c r="V809" s="4"/>
      <c r="W809" s="4"/>
      <c r="X809" s="4"/>
      <c r="Y809" s="4"/>
      <c r="Z809" s="4"/>
    </row>
    <row r="810" spans="1:26">
      <c r="A810" s="10"/>
      <c r="B810" s="10"/>
      <c r="C810" s="4"/>
      <c r="D810" s="10"/>
      <c r="E810" s="10"/>
      <c r="F810" s="4"/>
      <c r="G810" s="4"/>
      <c r="H810" s="4"/>
      <c r="I810" s="4"/>
      <c r="J810" s="4"/>
      <c r="K810" s="4"/>
      <c r="L810" s="4"/>
      <c r="M810" s="4"/>
      <c r="N810" s="4"/>
      <c r="O810" s="4"/>
      <c r="P810" s="4"/>
      <c r="Q810" s="4"/>
      <c r="R810" s="4"/>
      <c r="S810" s="4"/>
      <c r="T810" s="4"/>
      <c r="U810" s="4"/>
      <c r="V810" s="4"/>
      <c r="W810" s="4"/>
      <c r="X810" s="4"/>
      <c r="Y810" s="4"/>
      <c r="Z810" s="4"/>
    </row>
    <row r="811" spans="1:26">
      <c r="A811" s="10"/>
      <c r="B811" s="10"/>
      <c r="C811" s="4"/>
      <c r="D811" s="10"/>
      <c r="E811" s="10"/>
      <c r="F811" s="4"/>
      <c r="G811" s="4"/>
      <c r="H811" s="4"/>
      <c r="I811" s="4"/>
      <c r="J811" s="4"/>
      <c r="K811" s="4"/>
      <c r="L811" s="4"/>
      <c r="M811" s="4"/>
      <c r="N811" s="4"/>
      <c r="O811" s="4"/>
      <c r="P811" s="4"/>
      <c r="Q811" s="4"/>
      <c r="R811" s="4"/>
      <c r="S811" s="4"/>
      <c r="T811" s="4"/>
      <c r="U811" s="4"/>
      <c r="V811" s="4"/>
      <c r="W811" s="4"/>
      <c r="X811" s="4"/>
      <c r="Y811" s="4"/>
      <c r="Z811" s="4"/>
    </row>
    <row r="812" spans="1:26">
      <c r="A812" s="10"/>
      <c r="B812" s="10"/>
      <c r="C812" s="4"/>
      <c r="D812" s="10"/>
      <c r="E812" s="10"/>
      <c r="F812" s="4"/>
      <c r="G812" s="4"/>
      <c r="H812" s="4"/>
      <c r="I812" s="4"/>
      <c r="J812" s="4"/>
      <c r="K812" s="4"/>
      <c r="L812" s="4"/>
      <c r="M812" s="4"/>
      <c r="N812" s="4"/>
      <c r="O812" s="4"/>
      <c r="P812" s="4"/>
      <c r="Q812" s="4"/>
      <c r="R812" s="4"/>
      <c r="S812" s="4"/>
      <c r="T812" s="4"/>
      <c r="U812" s="4"/>
      <c r="V812" s="4"/>
      <c r="W812" s="4"/>
      <c r="X812" s="4"/>
      <c r="Y812" s="4"/>
      <c r="Z812" s="4"/>
    </row>
    <row r="813" spans="1:26">
      <c r="A813" s="10"/>
      <c r="B813" s="10"/>
      <c r="C813" s="4"/>
      <c r="D813" s="10"/>
      <c r="E813" s="10"/>
      <c r="F813" s="4"/>
      <c r="G813" s="4"/>
      <c r="H813" s="4"/>
      <c r="I813" s="4"/>
      <c r="J813" s="4"/>
      <c r="K813" s="4"/>
      <c r="L813" s="4"/>
      <c r="M813" s="4"/>
      <c r="N813" s="4"/>
      <c r="O813" s="4"/>
      <c r="P813" s="4"/>
      <c r="Q813" s="4"/>
      <c r="R813" s="4"/>
      <c r="S813" s="4"/>
      <c r="T813" s="4"/>
      <c r="U813" s="4"/>
      <c r="V813" s="4"/>
      <c r="W813" s="4"/>
      <c r="X813" s="4"/>
      <c r="Y813" s="4"/>
      <c r="Z813" s="4"/>
    </row>
    <row r="814" spans="1:26">
      <c r="A814" s="10"/>
      <c r="B814" s="10"/>
      <c r="C814" s="4"/>
      <c r="D814" s="10"/>
      <c r="E814" s="10"/>
      <c r="F814" s="4"/>
      <c r="G814" s="4"/>
      <c r="H814" s="4"/>
      <c r="I814" s="4"/>
      <c r="J814" s="4"/>
      <c r="K814" s="4"/>
      <c r="L814" s="4"/>
      <c r="M814" s="4"/>
      <c r="N814" s="4"/>
      <c r="O814" s="4"/>
      <c r="P814" s="4"/>
      <c r="Q814" s="4"/>
      <c r="R814" s="4"/>
      <c r="S814" s="4"/>
      <c r="T814" s="4"/>
      <c r="U814" s="4"/>
      <c r="V814" s="4"/>
      <c r="W814" s="4"/>
      <c r="X814" s="4"/>
      <c r="Y814" s="4"/>
      <c r="Z814" s="4"/>
    </row>
    <row r="815" spans="1:26">
      <c r="A815" s="10"/>
      <c r="B815" s="10"/>
      <c r="C815" s="4"/>
      <c r="D815" s="10"/>
      <c r="E815" s="10"/>
      <c r="F815" s="4"/>
      <c r="G815" s="4"/>
      <c r="H815" s="4"/>
      <c r="I815" s="4"/>
      <c r="J815" s="4"/>
      <c r="K815" s="4"/>
      <c r="L815" s="4"/>
      <c r="M815" s="4"/>
      <c r="N815" s="4"/>
      <c r="O815" s="4"/>
      <c r="P815" s="4"/>
      <c r="Q815" s="4"/>
      <c r="R815" s="4"/>
      <c r="S815" s="4"/>
      <c r="T815" s="4"/>
      <c r="U815" s="4"/>
      <c r="V815" s="4"/>
      <c r="W815" s="4"/>
      <c r="X815" s="4"/>
      <c r="Y815" s="4"/>
      <c r="Z815" s="4"/>
    </row>
    <row r="816" spans="1:26">
      <c r="A816" s="10"/>
      <c r="B816" s="10"/>
      <c r="C816" s="4"/>
      <c r="D816" s="10"/>
      <c r="E816" s="10"/>
      <c r="F816" s="4"/>
      <c r="G816" s="4"/>
      <c r="H816" s="4"/>
      <c r="I816" s="4"/>
      <c r="J816" s="4"/>
      <c r="K816" s="4"/>
      <c r="L816" s="4"/>
      <c r="M816" s="4"/>
      <c r="N816" s="4"/>
      <c r="O816" s="4"/>
      <c r="P816" s="4"/>
      <c r="Q816" s="4"/>
      <c r="R816" s="4"/>
      <c r="S816" s="4"/>
      <c r="T816" s="4"/>
      <c r="U816" s="4"/>
      <c r="V816" s="4"/>
      <c r="W816" s="4"/>
      <c r="X816" s="4"/>
      <c r="Y816" s="4"/>
      <c r="Z816" s="4"/>
    </row>
    <row r="817" spans="1:26">
      <c r="A817" s="10"/>
      <c r="B817" s="10"/>
      <c r="C817" s="4"/>
      <c r="D817" s="10"/>
      <c r="E817" s="10"/>
      <c r="F817" s="4"/>
      <c r="G817" s="4"/>
      <c r="H817" s="4"/>
      <c r="I817" s="4"/>
      <c r="J817" s="4"/>
      <c r="K817" s="4"/>
      <c r="L817" s="4"/>
      <c r="M817" s="4"/>
      <c r="N817" s="4"/>
      <c r="O817" s="4"/>
      <c r="P817" s="4"/>
      <c r="Q817" s="4"/>
      <c r="R817" s="4"/>
      <c r="S817" s="4"/>
      <c r="T817" s="4"/>
      <c r="U817" s="4"/>
      <c r="V817" s="4"/>
      <c r="W817" s="4"/>
      <c r="X817" s="4"/>
      <c r="Y817" s="4"/>
      <c r="Z817" s="4"/>
    </row>
    <row r="818" spans="1:26">
      <c r="A818" s="10"/>
      <c r="B818" s="10"/>
      <c r="C818" s="4"/>
      <c r="D818" s="10"/>
      <c r="E818" s="10"/>
      <c r="F818" s="4"/>
      <c r="G818" s="4"/>
      <c r="H818" s="4"/>
      <c r="I818" s="4"/>
      <c r="J818" s="4"/>
      <c r="K818" s="4"/>
      <c r="L818" s="4"/>
      <c r="M818" s="4"/>
      <c r="N818" s="4"/>
      <c r="O818" s="4"/>
      <c r="P818" s="4"/>
      <c r="Q818" s="4"/>
      <c r="R818" s="4"/>
      <c r="S818" s="4"/>
      <c r="T818" s="4"/>
      <c r="U818" s="4"/>
      <c r="V818" s="4"/>
      <c r="W818" s="4"/>
      <c r="X818" s="4"/>
      <c r="Y818" s="4"/>
      <c r="Z818" s="4"/>
    </row>
    <row r="819" spans="1:26">
      <c r="A819" s="10"/>
      <c r="B819" s="10"/>
      <c r="C819" s="4"/>
      <c r="D819" s="10"/>
      <c r="E819" s="10"/>
      <c r="F819" s="4"/>
      <c r="G819" s="4"/>
      <c r="H819" s="4"/>
      <c r="I819" s="4"/>
      <c r="J819" s="4"/>
      <c r="K819" s="4"/>
      <c r="L819" s="4"/>
      <c r="M819" s="4"/>
      <c r="N819" s="4"/>
      <c r="O819" s="4"/>
      <c r="P819" s="4"/>
      <c r="Q819" s="4"/>
      <c r="R819" s="4"/>
      <c r="S819" s="4"/>
      <c r="T819" s="4"/>
      <c r="U819" s="4"/>
      <c r="V819" s="4"/>
      <c r="W819" s="4"/>
      <c r="X819" s="4"/>
      <c r="Y819" s="4"/>
      <c r="Z819" s="4"/>
    </row>
    <row r="820" spans="1:26">
      <c r="A820" s="10"/>
      <c r="B820" s="10"/>
      <c r="C820" s="4"/>
      <c r="D820" s="10"/>
      <c r="E820" s="10"/>
      <c r="F820" s="4"/>
      <c r="G820" s="4"/>
      <c r="H820" s="4"/>
      <c r="I820" s="4"/>
      <c r="J820" s="4"/>
      <c r="K820" s="4"/>
      <c r="L820" s="4"/>
      <c r="M820" s="4"/>
      <c r="N820" s="4"/>
      <c r="O820" s="4"/>
      <c r="P820" s="4"/>
      <c r="Q820" s="4"/>
      <c r="R820" s="4"/>
      <c r="S820" s="4"/>
      <c r="T820" s="4"/>
      <c r="U820" s="4"/>
      <c r="V820" s="4"/>
      <c r="W820" s="4"/>
      <c r="X820" s="4"/>
      <c r="Y820" s="4"/>
      <c r="Z820" s="4"/>
    </row>
    <row r="821" spans="1:26">
      <c r="A821" s="10"/>
      <c r="B821" s="10"/>
      <c r="C821" s="4"/>
      <c r="D821" s="10"/>
      <c r="E821" s="10"/>
      <c r="F821" s="4"/>
      <c r="G821" s="4"/>
      <c r="H821" s="4"/>
      <c r="I821" s="4"/>
      <c r="J821" s="4"/>
      <c r="K821" s="4"/>
      <c r="L821" s="4"/>
      <c r="M821" s="4"/>
      <c r="N821" s="4"/>
      <c r="O821" s="4"/>
      <c r="P821" s="4"/>
      <c r="Q821" s="4"/>
      <c r="R821" s="4"/>
      <c r="S821" s="4"/>
      <c r="T821" s="4"/>
      <c r="U821" s="4"/>
      <c r="V821" s="4"/>
      <c r="W821" s="4"/>
      <c r="X821" s="4"/>
      <c r="Y821" s="4"/>
      <c r="Z821" s="4"/>
    </row>
    <row r="822" spans="1:26">
      <c r="A822" s="10"/>
      <c r="B822" s="10"/>
      <c r="C822" s="4"/>
      <c r="D822" s="10"/>
      <c r="E822" s="10"/>
      <c r="F822" s="4"/>
      <c r="G822" s="4"/>
      <c r="H822" s="4"/>
      <c r="I822" s="4"/>
      <c r="J822" s="4"/>
      <c r="K822" s="4"/>
      <c r="L822" s="4"/>
      <c r="M822" s="4"/>
      <c r="N822" s="4"/>
      <c r="O822" s="4"/>
      <c r="P822" s="4"/>
      <c r="Q822" s="4"/>
      <c r="R822" s="4"/>
      <c r="S822" s="4"/>
      <c r="T822" s="4"/>
      <c r="U822" s="4"/>
      <c r="V822" s="4"/>
      <c r="W822" s="4"/>
      <c r="X822" s="4"/>
      <c r="Y822" s="4"/>
      <c r="Z822" s="4"/>
    </row>
    <row r="823" spans="1:26">
      <c r="A823" s="10"/>
      <c r="B823" s="10"/>
      <c r="C823" s="4"/>
      <c r="D823" s="10"/>
      <c r="E823" s="10"/>
      <c r="F823" s="4"/>
      <c r="G823" s="4"/>
      <c r="H823" s="4"/>
      <c r="I823" s="4"/>
      <c r="J823" s="4"/>
      <c r="K823" s="4"/>
      <c r="L823" s="4"/>
      <c r="M823" s="4"/>
      <c r="N823" s="4"/>
      <c r="O823" s="4"/>
      <c r="P823" s="4"/>
      <c r="Q823" s="4"/>
      <c r="R823" s="4"/>
      <c r="S823" s="4"/>
      <c r="T823" s="4"/>
      <c r="U823" s="4"/>
      <c r="V823" s="4"/>
      <c r="W823" s="4"/>
      <c r="X823" s="4"/>
      <c r="Y823" s="4"/>
      <c r="Z823" s="4"/>
    </row>
    <row r="824" spans="1:26">
      <c r="A824" s="10"/>
      <c r="B824" s="10"/>
      <c r="C824" s="4"/>
      <c r="D824" s="10"/>
      <c r="E824" s="10"/>
      <c r="F824" s="4"/>
      <c r="G824" s="4"/>
      <c r="H824" s="4"/>
      <c r="I824" s="4"/>
      <c r="J824" s="4"/>
      <c r="K824" s="4"/>
      <c r="L824" s="4"/>
      <c r="M824" s="4"/>
      <c r="N824" s="4"/>
      <c r="O824" s="4"/>
      <c r="P824" s="4"/>
      <c r="Q824" s="4"/>
      <c r="R824" s="4"/>
      <c r="S824" s="4"/>
      <c r="T824" s="4"/>
      <c r="U824" s="4"/>
      <c r="V824" s="4"/>
      <c r="W824" s="4"/>
      <c r="X824" s="4"/>
      <c r="Y824" s="4"/>
      <c r="Z824" s="4"/>
    </row>
    <row r="825" spans="1:26">
      <c r="A825" s="10"/>
      <c r="B825" s="10"/>
      <c r="C825" s="4"/>
      <c r="D825" s="10"/>
      <c r="E825" s="10"/>
      <c r="F825" s="4"/>
      <c r="G825" s="4"/>
      <c r="H825" s="4"/>
      <c r="I825" s="4"/>
      <c r="J825" s="4"/>
      <c r="K825" s="4"/>
      <c r="L825" s="4"/>
      <c r="M825" s="4"/>
      <c r="N825" s="4"/>
      <c r="O825" s="4"/>
      <c r="P825" s="4"/>
      <c r="Q825" s="4"/>
      <c r="R825" s="4"/>
      <c r="S825" s="4"/>
      <c r="T825" s="4"/>
      <c r="U825" s="4"/>
      <c r="V825" s="4"/>
      <c r="W825" s="4"/>
      <c r="X825" s="4"/>
      <c r="Y825" s="4"/>
      <c r="Z825" s="4"/>
    </row>
    <row r="826" spans="1:26">
      <c r="A826" s="10"/>
      <c r="B826" s="10"/>
      <c r="C826" s="4"/>
      <c r="D826" s="10"/>
      <c r="E826" s="10"/>
      <c r="F826" s="4"/>
      <c r="G826" s="4"/>
      <c r="H826" s="4"/>
      <c r="I826" s="4"/>
      <c r="J826" s="4"/>
      <c r="K826" s="4"/>
      <c r="L826" s="4"/>
      <c r="M826" s="4"/>
      <c r="N826" s="4"/>
      <c r="O826" s="4"/>
      <c r="P826" s="4"/>
      <c r="Q826" s="4"/>
      <c r="R826" s="4"/>
      <c r="S826" s="4"/>
      <c r="T826" s="4"/>
      <c r="U826" s="4"/>
      <c r="V826" s="4"/>
      <c r="W826" s="4"/>
      <c r="X826" s="4"/>
      <c r="Y826" s="4"/>
      <c r="Z826" s="4"/>
    </row>
    <row r="827" spans="1:26">
      <c r="A827" s="10"/>
      <c r="B827" s="10"/>
      <c r="C827" s="4"/>
      <c r="D827" s="10"/>
      <c r="E827" s="10"/>
      <c r="F827" s="4"/>
      <c r="G827" s="4"/>
      <c r="H827" s="4"/>
      <c r="I827" s="4"/>
      <c r="J827" s="4"/>
      <c r="K827" s="4"/>
      <c r="L827" s="4"/>
      <c r="M827" s="4"/>
      <c r="N827" s="4"/>
      <c r="O827" s="4"/>
      <c r="P827" s="4"/>
      <c r="Q827" s="4"/>
      <c r="R827" s="4"/>
      <c r="S827" s="4"/>
      <c r="T827" s="4"/>
      <c r="U827" s="4"/>
      <c r="V827" s="4"/>
      <c r="W827" s="4"/>
      <c r="X827" s="4"/>
      <c r="Y827" s="4"/>
      <c r="Z827" s="4"/>
    </row>
    <row r="828" spans="1:26">
      <c r="A828" s="10"/>
      <c r="B828" s="10"/>
      <c r="C828" s="4"/>
      <c r="D828" s="10"/>
      <c r="E828" s="10"/>
      <c r="F828" s="4"/>
      <c r="G828" s="4"/>
      <c r="H828" s="4"/>
      <c r="I828" s="4"/>
      <c r="J828" s="4"/>
      <c r="K828" s="4"/>
      <c r="L828" s="4"/>
      <c r="M828" s="4"/>
      <c r="N828" s="4"/>
      <c r="O828" s="4"/>
      <c r="P828" s="4"/>
      <c r="Q828" s="4"/>
      <c r="R828" s="4"/>
      <c r="S828" s="4"/>
      <c r="T828" s="4"/>
      <c r="U828" s="4"/>
      <c r="V828" s="4"/>
      <c r="W828" s="4"/>
      <c r="X828" s="4"/>
      <c r="Y828" s="4"/>
      <c r="Z828" s="4"/>
    </row>
    <row r="829" spans="1:26">
      <c r="A829" s="10"/>
      <c r="B829" s="10"/>
      <c r="C829" s="4"/>
      <c r="D829" s="10"/>
      <c r="E829" s="10"/>
      <c r="F829" s="4"/>
      <c r="G829" s="4"/>
      <c r="H829" s="4"/>
      <c r="I829" s="4"/>
      <c r="J829" s="4"/>
      <c r="K829" s="4"/>
      <c r="L829" s="4"/>
      <c r="M829" s="4"/>
      <c r="N829" s="4"/>
      <c r="O829" s="4"/>
      <c r="P829" s="4"/>
      <c r="Q829" s="4"/>
      <c r="R829" s="4"/>
      <c r="S829" s="4"/>
      <c r="T829" s="4"/>
      <c r="U829" s="4"/>
      <c r="V829" s="4"/>
      <c r="W829" s="4"/>
      <c r="X829" s="4"/>
      <c r="Y829" s="4"/>
      <c r="Z829" s="4"/>
    </row>
    <row r="830" spans="1:26">
      <c r="A830" s="10"/>
      <c r="B830" s="10"/>
      <c r="C830" s="4"/>
      <c r="D830" s="10"/>
      <c r="E830" s="10"/>
      <c r="F830" s="4"/>
      <c r="G830" s="4"/>
      <c r="H830" s="4"/>
      <c r="I830" s="4"/>
      <c r="J830" s="4"/>
      <c r="K830" s="4"/>
      <c r="L830" s="4"/>
      <c r="M830" s="4"/>
      <c r="N830" s="4"/>
      <c r="O830" s="4"/>
      <c r="P830" s="4"/>
      <c r="Q830" s="4"/>
      <c r="R830" s="4"/>
      <c r="S830" s="4"/>
      <c r="T830" s="4"/>
      <c r="U830" s="4"/>
      <c r="V830" s="4"/>
      <c r="W830" s="4"/>
      <c r="X830" s="4"/>
      <c r="Y830" s="4"/>
      <c r="Z830" s="4"/>
    </row>
    <row r="831" spans="1:26">
      <c r="A831" s="10"/>
      <c r="B831" s="10"/>
      <c r="C831" s="4"/>
      <c r="D831" s="10"/>
      <c r="E831" s="10"/>
      <c r="F831" s="4"/>
      <c r="G831" s="4"/>
      <c r="H831" s="4"/>
      <c r="I831" s="4"/>
      <c r="J831" s="4"/>
      <c r="K831" s="4"/>
      <c r="L831" s="4"/>
      <c r="M831" s="4"/>
      <c r="N831" s="4"/>
      <c r="O831" s="4"/>
      <c r="P831" s="4"/>
      <c r="Q831" s="4"/>
      <c r="R831" s="4"/>
      <c r="S831" s="4"/>
      <c r="T831" s="4"/>
      <c r="U831" s="4"/>
      <c r="V831" s="4"/>
      <c r="W831" s="4"/>
      <c r="X831" s="4"/>
      <c r="Y831" s="4"/>
      <c r="Z831" s="4"/>
    </row>
    <row r="832" spans="1:26">
      <c r="A832" s="10"/>
      <c r="B832" s="10"/>
      <c r="C832" s="4"/>
      <c r="D832" s="10"/>
      <c r="E832" s="10"/>
      <c r="F832" s="4"/>
      <c r="G832" s="4"/>
      <c r="H832" s="4"/>
      <c r="I832" s="4"/>
      <c r="J832" s="4"/>
      <c r="K832" s="4"/>
      <c r="L832" s="4"/>
      <c r="M832" s="4"/>
      <c r="N832" s="4"/>
      <c r="O832" s="4"/>
      <c r="P832" s="4"/>
      <c r="Q832" s="4"/>
      <c r="R832" s="4"/>
      <c r="S832" s="4"/>
      <c r="T832" s="4"/>
      <c r="U832" s="4"/>
      <c r="V832" s="4"/>
      <c r="W832" s="4"/>
      <c r="X832" s="4"/>
      <c r="Y832" s="4"/>
      <c r="Z832" s="4"/>
    </row>
    <row r="833" spans="1:26">
      <c r="A833" s="10"/>
      <c r="B833" s="10"/>
      <c r="C833" s="4"/>
      <c r="D833" s="10"/>
      <c r="E833" s="10"/>
      <c r="F833" s="4"/>
      <c r="G833" s="4"/>
      <c r="H833" s="4"/>
      <c r="I833" s="4"/>
      <c r="J833" s="4"/>
      <c r="K833" s="4"/>
      <c r="L833" s="4"/>
      <c r="M833" s="4"/>
      <c r="N833" s="4"/>
      <c r="O833" s="4"/>
      <c r="P833" s="4"/>
      <c r="Q833" s="4"/>
      <c r="R833" s="4"/>
      <c r="S833" s="4"/>
      <c r="T833" s="4"/>
      <c r="U833" s="4"/>
      <c r="V833" s="4"/>
      <c r="W833" s="4"/>
      <c r="X833" s="4"/>
      <c r="Y833" s="4"/>
      <c r="Z833" s="4"/>
    </row>
    <row r="834" spans="1:26">
      <c r="A834" s="10"/>
      <c r="B834" s="10"/>
      <c r="C834" s="4"/>
      <c r="D834" s="10"/>
      <c r="E834" s="10"/>
      <c r="F834" s="4"/>
      <c r="G834" s="4"/>
      <c r="H834" s="4"/>
      <c r="I834" s="4"/>
      <c r="J834" s="4"/>
      <c r="K834" s="4"/>
      <c r="L834" s="4"/>
      <c r="M834" s="4"/>
      <c r="N834" s="4"/>
      <c r="O834" s="4"/>
      <c r="P834" s="4"/>
      <c r="Q834" s="4"/>
      <c r="R834" s="4"/>
      <c r="S834" s="4"/>
      <c r="T834" s="4"/>
      <c r="U834" s="4"/>
      <c r="V834" s="4"/>
      <c r="W834" s="4"/>
      <c r="X834" s="4"/>
      <c r="Y834" s="4"/>
      <c r="Z834" s="4"/>
    </row>
    <row r="835" spans="1:26">
      <c r="A835" s="10"/>
      <c r="B835" s="10"/>
      <c r="C835" s="4"/>
      <c r="D835" s="10"/>
      <c r="E835" s="10"/>
      <c r="F835" s="4"/>
      <c r="G835" s="4"/>
      <c r="H835" s="4"/>
      <c r="I835" s="4"/>
      <c r="J835" s="4"/>
      <c r="K835" s="4"/>
      <c r="L835" s="4"/>
      <c r="M835" s="4"/>
      <c r="N835" s="4"/>
      <c r="O835" s="4"/>
      <c r="P835" s="4"/>
      <c r="Q835" s="4"/>
      <c r="R835" s="4"/>
      <c r="S835" s="4"/>
      <c r="T835" s="4"/>
      <c r="U835" s="4"/>
      <c r="V835" s="4"/>
      <c r="W835" s="4"/>
      <c r="X835" s="4"/>
      <c r="Y835" s="4"/>
      <c r="Z835" s="4"/>
    </row>
    <row r="836" spans="1:26">
      <c r="A836" s="10"/>
      <c r="B836" s="10"/>
      <c r="C836" s="4"/>
      <c r="D836" s="10"/>
      <c r="E836" s="10"/>
      <c r="F836" s="4"/>
      <c r="G836" s="4"/>
      <c r="H836" s="4"/>
      <c r="I836" s="4"/>
      <c r="J836" s="4"/>
      <c r="K836" s="4"/>
      <c r="L836" s="4"/>
      <c r="M836" s="4"/>
      <c r="N836" s="4"/>
      <c r="O836" s="4"/>
      <c r="P836" s="4"/>
      <c r="Q836" s="4"/>
      <c r="R836" s="4"/>
      <c r="S836" s="4"/>
      <c r="T836" s="4"/>
      <c r="U836" s="4"/>
      <c r="V836" s="4"/>
      <c r="W836" s="4"/>
      <c r="X836" s="4"/>
      <c r="Y836" s="4"/>
      <c r="Z836" s="4"/>
    </row>
    <row r="837" spans="1:26">
      <c r="A837" s="10"/>
      <c r="B837" s="10"/>
      <c r="C837" s="4"/>
      <c r="D837" s="10"/>
      <c r="E837" s="10"/>
      <c r="F837" s="4"/>
      <c r="G837" s="4"/>
      <c r="H837" s="4"/>
      <c r="I837" s="4"/>
      <c r="J837" s="4"/>
      <c r="K837" s="4"/>
      <c r="L837" s="4"/>
      <c r="M837" s="4"/>
      <c r="N837" s="4"/>
      <c r="O837" s="4"/>
      <c r="P837" s="4"/>
      <c r="Q837" s="4"/>
      <c r="R837" s="4"/>
      <c r="S837" s="4"/>
      <c r="T837" s="4"/>
      <c r="U837" s="4"/>
      <c r="V837" s="4"/>
      <c r="W837" s="4"/>
      <c r="X837" s="4"/>
      <c r="Y837" s="4"/>
      <c r="Z837" s="4"/>
    </row>
    <row r="838" spans="1:26">
      <c r="A838" s="10"/>
      <c r="B838" s="10"/>
      <c r="C838" s="4"/>
      <c r="D838" s="10"/>
      <c r="E838" s="10"/>
      <c r="F838" s="4"/>
      <c r="G838" s="4"/>
      <c r="H838" s="4"/>
      <c r="I838" s="4"/>
      <c r="J838" s="4"/>
      <c r="K838" s="4"/>
      <c r="L838" s="4"/>
      <c r="M838" s="4"/>
      <c r="N838" s="4"/>
      <c r="O838" s="4"/>
      <c r="P838" s="4"/>
      <c r="Q838" s="4"/>
      <c r="R838" s="4"/>
      <c r="S838" s="4"/>
      <c r="T838" s="4"/>
      <c r="U838" s="4"/>
      <c r="V838" s="4"/>
      <c r="W838" s="4"/>
      <c r="X838" s="4"/>
      <c r="Y838" s="4"/>
      <c r="Z838" s="4"/>
    </row>
    <row r="839" spans="1:26">
      <c r="A839" s="10"/>
      <c r="B839" s="10"/>
      <c r="C839" s="4"/>
      <c r="D839" s="10"/>
      <c r="E839" s="10"/>
      <c r="F839" s="4"/>
      <c r="G839" s="4"/>
      <c r="H839" s="4"/>
      <c r="I839" s="4"/>
      <c r="J839" s="4"/>
      <c r="K839" s="4"/>
      <c r="L839" s="4"/>
      <c r="M839" s="4"/>
      <c r="N839" s="4"/>
      <c r="O839" s="4"/>
      <c r="P839" s="4"/>
      <c r="Q839" s="4"/>
      <c r="R839" s="4"/>
      <c r="S839" s="4"/>
      <c r="T839" s="4"/>
      <c r="U839" s="4"/>
      <c r="V839" s="4"/>
      <c r="W839" s="4"/>
      <c r="X839" s="4"/>
      <c r="Y839" s="4"/>
      <c r="Z839" s="4"/>
    </row>
    <row r="840" spans="1:26">
      <c r="A840" s="10"/>
      <c r="B840" s="10"/>
      <c r="C840" s="4"/>
      <c r="D840" s="10"/>
      <c r="E840" s="10"/>
      <c r="F840" s="4"/>
      <c r="G840" s="4"/>
      <c r="H840" s="4"/>
      <c r="I840" s="4"/>
      <c r="J840" s="4"/>
      <c r="K840" s="4"/>
      <c r="L840" s="4"/>
      <c r="M840" s="4"/>
      <c r="N840" s="4"/>
      <c r="O840" s="4"/>
      <c r="P840" s="4"/>
      <c r="Q840" s="4"/>
      <c r="R840" s="4"/>
      <c r="S840" s="4"/>
      <c r="T840" s="4"/>
      <c r="U840" s="4"/>
      <c r="V840" s="4"/>
      <c r="W840" s="4"/>
      <c r="X840" s="4"/>
      <c r="Y840" s="4"/>
      <c r="Z840" s="4"/>
    </row>
    <row r="841" spans="1:26">
      <c r="A841" s="10"/>
      <c r="B841" s="10"/>
      <c r="C841" s="4"/>
      <c r="D841" s="10"/>
      <c r="E841" s="10"/>
      <c r="F841" s="4"/>
      <c r="G841" s="4"/>
      <c r="H841" s="4"/>
      <c r="I841" s="4"/>
      <c r="J841" s="4"/>
      <c r="K841" s="4"/>
      <c r="L841" s="4"/>
      <c r="M841" s="4"/>
      <c r="N841" s="4"/>
      <c r="O841" s="4"/>
      <c r="P841" s="4"/>
      <c r="Q841" s="4"/>
      <c r="R841" s="4"/>
      <c r="S841" s="4"/>
      <c r="T841" s="4"/>
      <c r="U841" s="4"/>
      <c r="V841" s="4"/>
      <c r="W841" s="4"/>
      <c r="X841" s="4"/>
      <c r="Y841" s="4"/>
      <c r="Z841" s="4"/>
    </row>
    <row r="842" spans="1:26">
      <c r="A842" s="10"/>
      <c r="B842" s="10"/>
      <c r="C842" s="4"/>
      <c r="D842" s="10"/>
      <c r="E842" s="10"/>
      <c r="F842" s="4"/>
      <c r="G842" s="4"/>
      <c r="H842" s="4"/>
      <c r="I842" s="4"/>
      <c r="J842" s="4"/>
      <c r="K842" s="4"/>
      <c r="L842" s="4"/>
      <c r="M842" s="4"/>
      <c r="N842" s="4"/>
      <c r="O842" s="4"/>
      <c r="P842" s="4"/>
      <c r="Q842" s="4"/>
      <c r="R842" s="4"/>
      <c r="S842" s="4"/>
      <c r="T842" s="4"/>
      <c r="U842" s="4"/>
      <c r="V842" s="4"/>
      <c r="W842" s="4"/>
      <c r="X842" s="4"/>
      <c r="Y842" s="4"/>
      <c r="Z842" s="4"/>
    </row>
    <row r="843" spans="1:26">
      <c r="A843" s="10"/>
      <c r="B843" s="10"/>
      <c r="C843" s="4"/>
      <c r="D843" s="10"/>
      <c r="E843" s="10"/>
      <c r="F843" s="4"/>
      <c r="G843" s="4"/>
      <c r="H843" s="4"/>
      <c r="I843" s="4"/>
      <c r="J843" s="4"/>
      <c r="K843" s="4"/>
      <c r="L843" s="4"/>
      <c r="M843" s="4"/>
      <c r="N843" s="4"/>
      <c r="O843" s="4"/>
      <c r="P843" s="4"/>
      <c r="Q843" s="4"/>
      <c r="R843" s="4"/>
      <c r="S843" s="4"/>
      <c r="T843" s="4"/>
      <c r="U843" s="4"/>
      <c r="V843" s="4"/>
      <c r="W843" s="4"/>
      <c r="X843" s="4"/>
      <c r="Y843" s="4"/>
      <c r="Z843" s="4"/>
    </row>
    <row r="844" spans="1:26">
      <c r="A844" s="10"/>
      <c r="B844" s="10"/>
      <c r="C844" s="4"/>
      <c r="D844" s="10"/>
      <c r="E844" s="10"/>
      <c r="F844" s="4"/>
      <c r="G844" s="4"/>
      <c r="H844" s="4"/>
      <c r="I844" s="4"/>
      <c r="J844" s="4"/>
      <c r="K844" s="4"/>
      <c r="L844" s="4"/>
      <c r="M844" s="4"/>
      <c r="N844" s="4"/>
      <c r="O844" s="4"/>
      <c r="P844" s="4"/>
      <c r="Q844" s="4"/>
      <c r="R844" s="4"/>
      <c r="S844" s="4"/>
      <c r="T844" s="4"/>
      <c r="U844" s="4"/>
      <c r="V844" s="4"/>
      <c r="W844" s="4"/>
      <c r="X844" s="4"/>
      <c r="Y844" s="4"/>
      <c r="Z844" s="4"/>
    </row>
    <row r="845" spans="1:26">
      <c r="A845" s="10"/>
      <c r="B845" s="10"/>
      <c r="C845" s="4"/>
      <c r="D845" s="10"/>
      <c r="E845" s="10"/>
      <c r="F845" s="4"/>
      <c r="G845" s="4"/>
      <c r="H845" s="4"/>
      <c r="I845" s="4"/>
      <c r="J845" s="4"/>
      <c r="K845" s="4"/>
      <c r="L845" s="4"/>
      <c r="M845" s="4"/>
      <c r="N845" s="4"/>
      <c r="O845" s="4"/>
      <c r="P845" s="4"/>
      <c r="Q845" s="4"/>
      <c r="R845" s="4"/>
      <c r="S845" s="4"/>
      <c r="T845" s="4"/>
      <c r="U845" s="4"/>
      <c r="V845" s="4"/>
      <c r="W845" s="4"/>
      <c r="X845" s="4"/>
      <c r="Y845" s="4"/>
      <c r="Z845" s="4"/>
    </row>
    <row r="846" spans="1:26">
      <c r="A846" s="10"/>
      <c r="B846" s="10"/>
      <c r="C846" s="4"/>
      <c r="D846" s="10"/>
      <c r="E846" s="10"/>
      <c r="F846" s="4"/>
      <c r="G846" s="4"/>
      <c r="H846" s="4"/>
      <c r="I846" s="4"/>
      <c r="J846" s="4"/>
      <c r="K846" s="4"/>
      <c r="L846" s="4"/>
      <c r="M846" s="4"/>
      <c r="N846" s="4"/>
      <c r="O846" s="4"/>
      <c r="P846" s="4"/>
      <c r="Q846" s="4"/>
      <c r="R846" s="4"/>
      <c r="S846" s="4"/>
      <c r="T846" s="4"/>
      <c r="U846" s="4"/>
      <c r="V846" s="4"/>
      <c r="W846" s="4"/>
      <c r="X846" s="4"/>
      <c r="Y846" s="4"/>
      <c r="Z846" s="4"/>
    </row>
    <row r="847" spans="1:26">
      <c r="A847" s="10"/>
      <c r="B847" s="10"/>
      <c r="C847" s="4"/>
      <c r="D847" s="10"/>
      <c r="E847" s="10"/>
      <c r="F847" s="4"/>
      <c r="G847" s="4"/>
      <c r="H847" s="4"/>
      <c r="I847" s="4"/>
      <c r="J847" s="4"/>
      <c r="K847" s="4"/>
      <c r="L847" s="4"/>
      <c r="M847" s="4"/>
      <c r="N847" s="4"/>
      <c r="O847" s="4"/>
      <c r="P847" s="4"/>
      <c r="Q847" s="4"/>
      <c r="R847" s="4"/>
      <c r="S847" s="4"/>
      <c r="T847" s="4"/>
      <c r="U847" s="4"/>
      <c r="V847" s="4"/>
      <c r="W847" s="4"/>
      <c r="X847" s="4"/>
      <c r="Y847" s="4"/>
      <c r="Z847" s="4"/>
    </row>
    <row r="848" spans="1:26">
      <c r="A848" s="10"/>
      <c r="B848" s="10"/>
      <c r="C848" s="4"/>
      <c r="D848" s="10"/>
      <c r="E848" s="10"/>
      <c r="F848" s="4"/>
      <c r="G848" s="4"/>
      <c r="H848" s="4"/>
      <c r="I848" s="4"/>
      <c r="J848" s="4"/>
      <c r="K848" s="4"/>
      <c r="L848" s="4"/>
      <c r="M848" s="4"/>
      <c r="N848" s="4"/>
      <c r="O848" s="4"/>
      <c r="P848" s="4"/>
      <c r="Q848" s="4"/>
      <c r="R848" s="4"/>
      <c r="S848" s="4"/>
      <c r="T848" s="4"/>
      <c r="U848" s="4"/>
      <c r="V848" s="4"/>
      <c r="W848" s="4"/>
      <c r="X848" s="4"/>
      <c r="Y848" s="4"/>
      <c r="Z848" s="4"/>
    </row>
    <row r="849" spans="1:26">
      <c r="A849" s="10"/>
      <c r="B849" s="10"/>
      <c r="C849" s="4"/>
      <c r="D849" s="10"/>
      <c r="E849" s="10"/>
      <c r="F849" s="4"/>
      <c r="G849" s="4"/>
      <c r="H849" s="4"/>
      <c r="I849" s="4"/>
      <c r="J849" s="4"/>
      <c r="K849" s="4"/>
      <c r="L849" s="4"/>
      <c r="M849" s="4"/>
      <c r="N849" s="4"/>
      <c r="O849" s="4"/>
      <c r="P849" s="4"/>
      <c r="Q849" s="4"/>
      <c r="R849" s="4"/>
      <c r="S849" s="4"/>
      <c r="T849" s="4"/>
      <c r="U849" s="4"/>
      <c r="V849" s="4"/>
      <c r="W849" s="4"/>
      <c r="X849" s="4"/>
      <c r="Y849" s="4"/>
      <c r="Z849" s="4"/>
    </row>
    <row r="850" spans="1:26">
      <c r="A850" s="10"/>
      <c r="B850" s="10"/>
      <c r="C850" s="4"/>
      <c r="D850" s="10"/>
      <c r="E850" s="10"/>
      <c r="F850" s="4"/>
      <c r="G850" s="4"/>
      <c r="H850" s="4"/>
      <c r="I850" s="4"/>
      <c r="J850" s="4"/>
      <c r="K850" s="4"/>
      <c r="L850" s="4"/>
      <c r="M850" s="4"/>
      <c r="N850" s="4"/>
      <c r="O850" s="4"/>
      <c r="P850" s="4"/>
      <c r="Q850" s="4"/>
      <c r="R850" s="4"/>
      <c r="S850" s="4"/>
      <c r="T850" s="4"/>
      <c r="U850" s="4"/>
      <c r="V850" s="4"/>
      <c r="W850" s="4"/>
      <c r="X850" s="4"/>
      <c r="Y850" s="4"/>
      <c r="Z850" s="4"/>
    </row>
    <row r="851" spans="1:26">
      <c r="A851" s="10"/>
      <c r="B851" s="10"/>
      <c r="C851" s="4"/>
      <c r="D851" s="10"/>
      <c r="E851" s="10"/>
      <c r="F851" s="4"/>
      <c r="G851" s="4"/>
      <c r="H851" s="4"/>
      <c r="I851" s="4"/>
      <c r="J851" s="4"/>
      <c r="K851" s="4"/>
      <c r="L851" s="4"/>
      <c r="M851" s="4"/>
      <c r="N851" s="4"/>
      <c r="O851" s="4"/>
      <c r="P851" s="4"/>
      <c r="Q851" s="4"/>
      <c r="R851" s="4"/>
      <c r="S851" s="4"/>
      <c r="T851" s="4"/>
      <c r="U851" s="4"/>
      <c r="V851" s="4"/>
      <c r="W851" s="4"/>
      <c r="X851" s="4"/>
      <c r="Y851" s="4"/>
      <c r="Z851" s="4"/>
    </row>
    <row r="852" spans="1:26">
      <c r="A852" s="10"/>
      <c r="B852" s="10"/>
      <c r="C852" s="4"/>
      <c r="D852" s="10"/>
      <c r="E852" s="10"/>
      <c r="F852" s="4"/>
      <c r="G852" s="4"/>
      <c r="H852" s="4"/>
      <c r="I852" s="4"/>
      <c r="J852" s="4"/>
      <c r="K852" s="4"/>
      <c r="L852" s="4"/>
      <c r="M852" s="4"/>
      <c r="N852" s="4"/>
      <c r="O852" s="4"/>
      <c r="P852" s="4"/>
      <c r="Q852" s="4"/>
      <c r="R852" s="4"/>
      <c r="S852" s="4"/>
      <c r="T852" s="4"/>
      <c r="U852" s="4"/>
      <c r="V852" s="4"/>
      <c r="W852" s="4"/>
      <c r="X852" s="4"/>
      <c r="Y852" s="4"/>
      <c r="Z852" s="4"/>
    </row>
    <row r="853" spans="1:26">
      <c r="A853" s="10"/>
      <c r="B853" s="10"/>
      <c r="C853" s="4"/>
      <c r="D853" s="10"/>
      <c r="E853" s="10"/>
      <c r="F853" s="4"/>
      <c r="G853" s="4"/>
      <c r="H853" s="4"/>
      <c r="I853" s="4"/>
      <c r="J853" s="4"/>
      <c r="K853" s="4"/>
      <c r="L853" s="4"/>
      <c r="M853" s="4"/>
      <c r="N853" s="4"/>
      <c r="O853" s="4"/>
      <c r="P853" s="4"/>
      <c r="Q853" s="4"/>
      <c r="R853" s="4"/>
      <c r="S853" s="4"/>
      <c r="T853" s="4"/>
      <c r="U853" s="4"/>
      <c r="V853" s="4"/>
      <c r="W853" s="4"/>
      <c r="X853" s="4"/>
      <c r="Y853" s="4"/>
      <c r="Z853" s="4"/>
    </row>
    <row r="854" spans="1:26">
      <c r="A854" s="10"/>
      <c r="B854" s="10"/>
      <c r="C854" s="4"/>
      <c r="D854" s="10"/>
      <c r="E854" s="10"/>
      <c r="F854" s="4"/>
      <c r="G854" s="4"/>
      <c r="H854" s="4"/>
      <c r="I854" s="4"/>
      <c r="J854" s="4"/>
      <c r="K854" s="4"/>
      <c r="L854" s="4"/>
      <c r="M854" s="4"/>
      <c r="N854" s="4"/>
      <c r="O854" s="4"/>
      <c r="P854" s="4"/>
      <c r="Q854" s="4"/>
      <c r="R854" s="4"/>
      <c r="S854" s="4"/>
      <c r="T854" s="4"/>
      <c r="U854" s="4"/>
      <c r="V854" s="4"/>
      <c r="W854" s="4"/>
      <c r="X854" s="4"/>
      <c r="Y854" s="4"/>
      <c r="Z854" s="4"/>
    </row>
    <row r="855" spans="1:26">
      <c r="A855" s="10"/>
      <c r="B855" s="10"/>
      <c r="C855" s="4"/>
      <c r="D855" s="10"/>
      <c r="E855" s="10"/>
      <c r="F855" s="4"/>
      <c r="G855" s="4"/>
      <c r="H855" s="4"/>
      <c r="I855" s="4"/>
      <c r="J855" s="4"/>
      <c r="K855" s="4"/>
      <c r="L855" s="4"/>
      <c r="M855" s="4"/>
      <c r="N855" s="4"/>
      <c r="O855" s="4"/>
      <c r="P855" s="4"/>
      <c r="Q855" s="4"/>
      <c r="R855" s="4"/>
      <c r="S855" s="4"/>
      <c r="T855" s="4"/>
      <c r="U855" s="4"/>
      <c r="V855" s="4"/>
      <c r="W855" s="4"/>
      <c r="X855" s="4"/>
      <c r="Y855" s="4"/>
      <c r="Z855" s="4"/>
    </row>
    <row r="856" spans="1:26">
      <c r="A856" s="10"/>
      <c r="B856" s="10"/>
      <c r="C856" s="4"/>
      <c r="D856" s="10"/>
      <c r="E856" s="10"/>
      <c r="F856" s="4"/>
      <c r="G856" s="4"/>
      <c r="H856" s="4"/>
      <c r="I856" s="4"/>
      <c r="J856" s="4"/>
      <c r="K856" s="4"/>
      <c r="L856" s="4"/>
      <c r="M856" s="4"/>
      <c r="N856" s="4"/>
      <c r="O856" s="4"/>
      <c r="P856" s="4"/>
      <c r="Q856" s="4"/>
      <c r="R856" s="4"/>
      <c r="S856" s="4"/>
      <c r="T856" s="4"/>
      <c r="U856" s="4"/>
      <c r="V856" s="4"/>
      <c r="W856" s="4"/>
      <c r="X856" s="4"/>
      <c r="Y856" s="4"/>
      <c r="Z856" s="4"/>
    </row>
    <row r="857" spans="1:26">
      <c r="A857" s="10"/>
      <c r="B857" s="10"/>
      <c r="C857" s="4"/>
      <c r="D857" s="10"/>
      <c r="E857" s="10"/>
      <c r="F857" s="4"/>
      <c r="G857" s="4"/>
      <c r="H857" s="4"/>
      <c r="I857" s="4"/>
      <c r="J857" s="4"/>
      <c r="K857" s="4"/>
      <c r="L857" s="4"/>
      <c r="M857" s="4"/>
      <c r="N857" s="4"/>
      <c r="O857" s="4"/>
      <c r="P857" s="4"/>
      <c r="Q857" s="4"/>
      <c r="R857" s="4"/>
      <c r="S857" s="4"/>
      <c r="T857" s="4"/>
      <c r="U857" s="4"/>
      <c r="V857" s="4"/>
      <c r="W857" s="4"/>
      <c r="X857" s="4"/>
      <c r="Y857" s="4"/>
      <c r="Z857" s="4"/>
    </row>
    <row r="858" spans="1:26">
      <c r="A858" s="10"/>
      <c r="B858" s="10"/>
      <c r="C858" s="4"/>
      <c r="D858" s="10"/>
      <c r="E858" s="10"/>
      <c r="F858" s="4"/>
      <c r="G858" s="4"/>
      <c r="H858" s="4"/>
      <c r="I858" s="4"/>
      <c r="J858" s="4"/>
      <c r="K858" s="4"/>
      <c r="L858" s="4"/>
      <c r="M858" s="4"/>
      <c r="N858" s="4"/>
      <c r="O858" s="4"/>
      <c r="P858" s="4"/>
      <c r="Q858" s="4"/>
      <c r="R858" s="4"/>
      <c r="S858" s="4"/>
      <c r="T858" s="4"/>
      <c r="U858" s="4"/>
      <c r="V858" s="4"/>
      <c r="W858" s="4"/>
      <c r="X858" s="4"/>
      <c r="Y858" s="4"/>
      <c r="Z858" s="4"/>
    </row>
    <row r="859" spans="1:26">
      <c r="A859" s="10"/>
      <c r="B859" s="10"/>
      <c r="C859" s="4"/>
      <c r="D859" s="10"/>
      <c r="E859" s="10"/>
      <c r="F859" s="4"/>
      <c r="G859" s="4"/>
      <c r="H859" s="4"/>
      <c r="I859" s="4"/>
      <c r="J859" s="4"/>
      <c r="K859" s="4"/>
      <c r="L859" s="4"/>
      <c r="M859" s="4"/>
      <c r="N859" s="4"/>
      <c r="O859" s="4"/>
      <c r="P859" s="4"/>
      <c r="Q859" s="4"/>
      <c r="R859" s="4"/>
      <c r="S859" s="4"/>
      <c r="T859" s="4"/>
      <c r="U859" s="4"/>
      <c r="V859" s="4"/>
      <c r="W859" s="4"/>
      <c r="X859" s="4"/>
      <c r="Y859" s="4"/>
      <c r="Z859" s="4"/>
    </row>
    <row r="860" spans="1:26">
      <c r="A860" s="10"/>
      <c r="B860" s="10"/>
      <c r="C860" s="4"/>
      <c r="D860" s="10"/>
      <c r="E860" s="10"/>
      <c r="F860" s="4"/>
      <c r="G860" s="4"/>
      <c r="H860" s="4"/>
      <c r="I860" s="4"/>
      <c r="J860" s="4"/>
      <c r="K860" s="4"/>
      <c r="L860" s="4"/>
      <c r="M860" s="4"/>
      <c r="N860" s="4"/>
      <c r="O860" s="4"/>
      <c r="P860" s="4"/>
      <c r="Q860" s="4"/>
      <c r="R860" s="4"/>
      <c r="S860" s="4"/>
      <c r="T860" s="4"/>
      <c r="U860" s="4"/>
      <c r="V860" s="4"/>
      <c r="W860" s="4"/>
      <c r="X860" s="4"/>
      <c r="Y860" s="4"/>
      <c r="Z860" s="4"/>
    </row>
    <row r="861" spans="1:26">
      <c r="A861" s="10"/>
      <c r="B861" s="10"/>
      <c r="C861" s="4"/>
      <c r="D861" s="10"/>
      <c r="E861" s="10"/>
      <c r="F861" s="4"/>
      <c r="G861" s="4"/>
      <c r="H861" s="4"/>
      <c r="I861" s="4"/>
      <c r="J861" s="4"/>
      <c r="K861" s="4"/>
      <c r="L861" s="4"/>
      <c r="M861" s="4"/>
      <c r="N861" s="4"/>
      <c r="O861" s="4"/>
      <c r="P861" s="4"/>
      <c r="Q861" s="4"/>
      <c r="R861" s="4"/>
      <c r="S861" s="4"/>
      <c r="T861" s="4"/>
      <c r="U861" s="4"/>
      <c r="V861" s="4"/>
      <c r="W861" s="4"/>
      <c r="X861" s="4"/>
      <c r="Y861" s="4"/>
      <c r="Z861" s="4"/>
    </row>
    <row r="862" spans="1:26">
      <c r="A862" s="10"/>
      <c r="B862" s="10"/>
      <c r="C862" s="4"/>
      <c r="D862" s="10"/>
      <c r="E862" s="10"/>
      <c r="F862" s="4"/>
      <c r="G862" s="4"/>
      <c r="H862" s="4"/>
      <c r="I862" s="4"/>
      <c r="J862" s="4"/>
      <c r="K862" s="4"/>
      <c r="L862" s="4"/>
      <c r="M862" s="4"/>
      <c r="N862" s="4"/>
      <c r="O862" s="4"/>
      <c r="P862" s="4"/>
      <c r="Q862" s="4"/>
      <c r="R862" s="4"/>
      <c r="S862" s="4"/>
      <c r="T862" s="4"/>
      <c r="U862" s="4"/>
      <c r="V862" s="4"/>
      <c r="W862" s="4"/>
      <c r="X862" s="4"/>
      <c r="Y862" s="4"/>
      <c r="Z862" s="4"/>
    </row>
    <row r="863" spans="1:26">
      <c r="A863" s="10"/>
      <c r="B863" s="10"/>
      <c r="C863" s="4"/>
      <c r="D863" s="10"/>
      <c r="E863" s="10"/>
      <c r="F863" s="4"/>
      <c r="G863" s="4"/>
      <c r="H863" s="4"/>
      <c r="I863" s="4"/>
      <c r="J863" s="4"/>
      <c r="K863" s="4"/>
      <c r="L863" s="4"/>
      <c r="M863" s="4"/>
      <c r="N863" s="4"/>
      <c r="O863" s="4"/>
      <c r="P863" s="4"/>
      <c r="Q863" s="4"/>
      <c r="R863" s="4"/>
      <c r="S863" s="4"/>
      <c r="T863" s="4"/>
      <c r="U863" s="4"/>
      <c r="V863" s="4"/>
      <c r="W863" s="4"/>
      <c r="X863" s="4"/>
      <c r="Y863" s="4"/>
      <c r="Z863" s="4"/>
    </row>
    <row r="864" spans="1:26">
      <c r="A864" s="10"/>
      <c r="B864" s="10"/>
      <c r="C864" s="4"/>
      <c r="D864" s="10"/>
      <c r="E864" s="10"/>
      <c r="F864" s="4"/>
      <c r="G864" s="4"/>
      <c r="H864" s="4"/>
      <c r="I864" s="4"/>
      <c r="J864" s="4"/>
      <c r="K864" s="4"/>
      <c r="L864" s="4"/>
      <c r="M864" s="4"/>
      <c r="N864" s="4"/>
      <c r="O864" s="4"/>
      <c r="P864" s="4"/>
      <c r="Q864" s="4"/>
      <c r="R864" s="4"/>
      <c r="S864" s="4"/>
      <c r="T864" s="4"/>
      <c r="U864" s="4"/>
      <c r="V864" s="4"/>
      <c r="W864" s="4"/>
      <c r="X864" s="4"/>
      <c r="Y864" s="4"/>
      <c r="Z864" s="4"/>
    </row>
    <row r="865" spans="1:26">
      <c r="A865" s="10"/>
      <c r="B865" s="10"/>
      <c r="C865" s="4"/>
      <c r="D865" s="10"/>
      <c r="E865" s="10"/>
      <c r="F865" s="4"/>
      <c r="G865" s="4"/>
      <c r="H865" s="4"/>
      <c r="I865" s="4"/>
      <c r="J865" s="4"/>
      <c r="K865" s="4"/>
      <c r="L865" s="4"/>
      <c r="M865" s="4"/>
      <c r="N865" s="4"/>
      <c r="O865" s="4"/>
      <c r="P865" s="4"/>
      <c r="Q865" s="4"/>
      <c r="R865" s="4"/>
      <c r="S865" s="4"/>
      <c r="T865" s="4"/>
      <c r="U865" s="4"/>
      <c r="V865" s="4"/>
      <c r="W865" s="4"/>
      <c r="X865" s="4"/>
      <c r="Y865" s="4"/>
      <c r="Z865" s="4"/>
    </row>
    <row r="866" spans="1:26">
      <c r="A866" s="10"/>
      <c r="B866" s="10"/>
      <c r="C866" s="4"/>
      <c r="D866" s="10"/>
      <c r="E866" s="10"/>
      <c r="F866" s="4"/>
      <c r="G866" s="4"/>
      <c r="H866" s="4"/>
      <c r="I866" s="4"/>
      <c r="J866" s="4"/>
      <c r="K866" s="4"/>
      <c r="L866" s="4"/>
      <c r="M866" s="4"/>
      <c r="N866" s="4"/>
      <c r="O866" s="4"/>
      <c r="P866" s="4"/>
      <c r="Q866" s="4"/>
      <c r="R866" s="4"/>
      <c r="S866" s="4"/>
      <c r="T866" s="4"/>
      <c r="U866" s="4"/>
      <c r="V866" s="4"/>
      <c r="W866" s="4"/>
      <c r="X866" s="4"/>
      <c r="Y866" s="4"/>
      <c r="Z866" s="4"/>
    </row>
    <row r="867" spans="1:26">
      <c r="A867" s="10"/>
      <c r="B867" s="10"/>
      <c r="C867" s="4"/>
      <c r="D867" s="10"/>
      <c r="E867" s="10"/>
      <c r="F867" s="4"/>
      <c r="G867" s="4"/>
      <c r="H867" s="4"/>
      <c r="I867" s="4"/>
      <c r="J867" s="4"/>
      <c r="K867" s="4"/>
      <c r="L867" s="4"/>
      <c r="M867" s="4"/>
      <c r="N867" s="4"/>
      <c r="O867" s="4"/>
      <c r="P867" s="4"/>
      <c r="Q867" s="4"/>
      <c r="R867" s="4"/>
      <c r="S867" s="4"/>
      <c r="T867" s="4"/>
      <c r="U867" s="4"/>
      <c r="V867" s="4"/>
      <c r="W867" s="4"/>
      <c r="X867" s="4"/>
      <c r="Y867" s="4"/>
      <c r="Z867" s="4"/>
    </row>
    <row r="868" spans="1:26">
      <c r="A868" s="10"/>
      <c r="B868" s="10"/>
      <c r="C868" s="4"/>
      <c r="D868" s="10"/>
      <c r="E868" s="10"/>
      <c r="F868" s="4"/>
      <c r="G868" s="4"/>
      <c r="H868" s="4"/>
      <c r="I868" s="4"/>
      <c r="J868" s="4"/>
      <c r="K868" s="4"/>
      <c r="L868" s="4"/>
      <c r="M868" s="4"/>
      <c r="N868" s="4"/>
      <c r="O868" s="4"/>
      <c r="P868" s="4"/>
      <c r="Q868" s="4"/>
      <c r="R868" s="4"/>
      <c r="S868" s="4"/>
      <c r="T868" s="4"/>
      <c r="U868" s="4"/>
      <c r="V868" s="4"/>
      <c r="W868" s="4"/>
      <c r="X868" s="4"/>
      <c r="Y868" s="4"/>
      <c r="Z868" s="4"/>
    </row>
    <row r="869" spans="1:26">
      <c r="A869" s="10"/>
      <c r="B869" s="10"/>
      <c r="C869" s="4"/>
      <c r="D869" s="10"/>
      <c r="E869" s="10"/>
      <c r="F869" s="4"/>
      <c r="G869" s="4"/>
      <c r="H869" s="4"/>
      <c r="I869" s="4"/>
      <c r="J869" s="4"/>
      <c r="K869" s="4"/>
      <c r="L869" s="4"/>
      <c r="M869" s="4"/>
      <c r="N869" s="4"/>
      <c r="O869" s="4"/>
      <c r="P869" s="4"/>
      <c r="Q869" s="4"/>
      <c r="R869" s="4"/>
      <c r="S869" s="4"/>
      <c r="T869" s="4"/>
      <c r="U869" s="4"/>
      <c r="V869" s="4"/>
      <c r="W869" s="4"/>
      <c r="X869" s="4"/>
      <c r="Y869" s="4"/>
      <c r="Z869" s="4"/>
    </row>
    <row r="870" spans="1:26">
      <c r="A870" s="10"/>
      <c r="B870" s="10"/>
      <c r="C870" s="4"/>
      <c r="D870" s="10"/>
      <c r="E870" s="10"/>
      <c r="F870" s="4"/>
      <c r="G870" s="4"/>
      <c r="H870" s="4"/>
      <c r="I870" s="4"/>
      <c r="J870" s="4"/>
      <c r="K870" s="4"/>
      <c r="L870" s="4"/>
      <c r="M870" s="4"/>
      <c r="N870" s="4"/>
      <c r="O870" s="4"/>
      <c r="P870" s="4"/>
      <c r="Q870" s="4"/>
      <c r="R870" s="4"/>
      <c r="S870" s="4"/>
      <c r="T870" s="4"/>
      <c r="U870" s="4"/>
      <c r="V870" s="4"/>
      <c r="W870" s="4"/>
      <c r="X870" s="4"/>
      <c r="Y870" s="4"/>
      <c r="Z870" s="4"/>
    </row>
    <row r="871" spans="1:26">
      <c r="A871" s="10"/>
      <c r="B871" s="10"/>
      <c r="C871" s="4"/>
      <c r="D871" s="10"/>
      <c r="E871" s="10"/>
      <c r="F871" s="4"/>
      <c r="G871" s="4"/>
      <c r="H871" s="4"/>
      <c r="I871" s="4"/>
      <c r="J871" s="4"/>
      <c r="K871" s="4"/>
      <c r="L871" s="4"/>
      <c r="M871" s="4"/>
      <c r="N871" s="4"/>
      <c r="O871" s="4"/>
      <c r="P871" s="4"/>
      <c r="Q871" s="4"/>
      <c r="R871" s="4"/>
      <c r="S871" s="4"/>
      <c r="T871" s="4"/>
      <c r="U871" s="4"/>
      <c r="V871" s="4"/>
      <c r="W871" s="4"/>
      <c r="X871" s="4"/>
      <c r="Y871" s="4"/>
      <c r="Z871" s="4"/>
    </row>
    <row r="872" spans="1:26">
      <c r="A872" s="10"/>
      <c r="B872" s="10"/>
      <c r="C872" s="4"/>
      <c r="D872" s="10"/>
      <c r="E872" s="10"/>
      <c r="F872" s="4"/>
      <c r="G872" s="4"/>
      <c r="H872" s="4"/>
      <c r="I872" s="4"/>
      <c r="J872" s="4"/>
      <c r="K872" s="4"/>
      <c r="L872" s="4"/>
      <c r="M872" s="4"/>
      <c r="N872" s="4"/>
      <c r="O872" s="4"/>
      <c r="P872" s="4"/>
      <c r="Q872" s="4"/>
      <c r="R872" s="4"/>
      <c r="S872" s="4"/>
      <c r="T872" s="4"/>
      <c r="U872" s="4"/>
      <c r="V872" s="4"/>
      <c r="W872" s="4"/>
      <c r="X872" s="4"/>
      <c r="Y872" s="4"/>
      <c r="Z872" s="4"/>
    </row>
    <row r="873" spans="1:26">
      <c r="A873" s="10"/>
      <c r="B873" s="10"/>
      <c r="C873" s="4"/>
      <c r="D873" s="10"/>
      <c r="E873" s="10"/>
      <c r="F873" s="4"/>
      <c r="G873" s="4"/>
      <c r="H873" s="4"/>
      <c r="I873" s="4"/>
      <c r="J873" s="4"/>
      <c r="K873" s="4"/>
      <c r="L873" s="4"/>
      <c r="M873" s="4"/>
      <c r="N873" s="4"/>
      <c r="O873" s="4"/>
      <c r="P873" s="4"/>
      <c r="Q873" s="4"/>
      <c r="R873" s="4"/>
      <c r="S873" s="4"/>
      <c r="T873" s="4"/>
      <c r="U873" s="4"/>
      <c r="V873" s="4"/>
      <c r="W873" s="4"/>
      <c r="X873" s="4"/>
      <c r="Y873" s="4"/>
      <c r="Z873" s="4"/>
    </row>
    <row r="874" spans="1:26">
      <c r="A874" s="10"/>
      <c r="B874" s="10"/>
      <c r="C874" s="4"/>
      <c r="D874" s="10"/>
      <c r="E874" s="10"/>
      <c r="F874" s="4"/>
      <c r="G874" s="4"/>
      <c r="H874" s="4"/>
      <c r="I874" s="4"/>
      <c r="J874" s="4"/>
      <c r="K874" s="4"/>
      <c r="L874" s="4"/>
      <c r="M874" s="4"/>
      <c r="N874" s="4"/>
      <c r="O874" s="4"/>
      <c r="P874" s="4"/>
      <c r="Q874" s="4"/>
      <c r="R874" s="4"/>
      <c r="S874" s="4"/>
      <c r="T874" s="4"/>
      <c r="U874" s="4"/>
      <c r="V874" s="4"/>
      <c r="W874" s="4"/>
      <c r="X874" s="4"/>
      <c r="Y874" s="4"/>
      <c r="Z874" s="4"/>
    </row>
    <row r="875" spans="1:26">
      <c r="A875" s="10"/>
      <c r="B875" s="10"/>
      <c r="C875" s="4"/>
      <c r="D875" s="10"/>
      <c r="E875" s="10"/>
      <c r="F875" s="4"/>
      <c r="G875" s="4"/>
      <c r="H875" s="4"/>
      <c r="I875" s="4"/>
      <c r="J875" s="4"/>
      <c r="K875" s="4"/>
      <c r="L875" s="4"/>
      <c r="M875" s="4"/>
      <c r="N875" s="4"/>
      <c r="O875" s="4"/>
      <c r="P875" s="4"/>
      <c r="Q875" s="4"/>
      <c r="R875" s="4"/>
      <c r="S875" s="4"/>
      <c r="T875" s="4"/>
      <c r="U875" s="4"/>
      <c r="V875" s="4"/>
      <c r="W875" s="4"/>
      <c r="X875" s="4"/>
      <c r="Y875" s="4"/>
      <c r="Z875" s="4"/>
    </row>
    <row r="876" spans="1:26">
      <c r="A876" s="10"/>
      <c r="B876" s="10"/>
      <c r="C876" s="4"/>
      <c r="D876" s="10"/>
      <c r="E876" s="10"/>
      <c r="F876" s="4"/>
      <c r="G876" s="4"/>
      <c r="H876" s="4"/>
      <c r="I876" s="4"/>
      <c r="J876" s="4"/>
      <c r="K876" s="4"/>
      <c r="L876" s="4"/>
      <c r="M876" s="4"/>
      <c r="N876" s="4"/>
      <c r="O876" s="4"/>
      <c r="P876" s="4"/>
      <c r="Q876" s="4"/>
      <c r="R876" s="4"/>
      <c r="S876" s="4"/>
      <c r="T876" s="4"/>
      <c r="U876" s="4"/>
      <c r="V876" s="4"/>
      <c r="W876" s="4"/>
      <c r="X876" s="4"/>
      <c r="Y876" s="4"/>
      <c r="Z876" s="4"/>
    </row>
    <row r="877" spans="1:26">
      <c r="A877" s="10"/>
      <c r="B877" s="10"/>
      <c r="C877" s="4"/>
      <c r="D877" s="10"/>
      <c r="E877" s="10"/>
      <c r="F877" s="4"/>
      <c r="G877" s="4"/>
      <c r="H877" s="4"/>
      <c r="I877" s="4"/>
      <c r="J877" s="4"/>
      <c r="K877" s="4"/>
      <c r="L877" s="4"/>
      <c r="M877" s="4"/>
      <c r="N877" s="4"/>
      <c r="O877" s="4"/>
      <c r="P877" s="4"/>
      <c r="Q877" s="4"/>
      <c r="R877" s="4"/>
      <c r="S877" s="4"/>
      <c r="T877" s="4"/>
      <c r="U877" s="4"/>
      <c r="V877" s="4"/>
      <c r="W877" s="4"/>
      <c r="X877" s="4"/>
      <c r="Y877" s="4"/>
      <c r="Z877" s="4"/>
    </row>
    <row r="878" spans="1:26">
      <c r="A878" s="10"/>
      <c r="B878" s="10"/>
      <c r="C878" s="4"/>
      <c r="D878" s="10"/>
      <c r="E878" s="10"/>
      <c r="F878" s="4"/>
      <c r="G878" s="4"/>
      <c r="H878" s="4"/>
      <c r="I878" s="4"/>
      <c r="J878" s="4"/>
      <c r="K878" s="4"/>
      <c r="L878" s="4"/>
      <c r="M878" s="4"/>
      <c r="N878" s="4"/>
      <c r="O878" s="4"/>
      <c r="P878" s="4"/>
      <c r="Q878" s="4"/>
      <c r="R878" s="4"/>
      <c r="S878" s="4"/>
      <c r="T878" s="4"/>
      <c r="U878" s="4"/>
      <c r="V878" s="4"/>
      <c r="W878" s="4"/>
      <c r="X878" s="4"/>
      <c r="Y878" s="4"/>
      <c r="Z878" s="4"/>
    </row>
    <row r="879" spans="1:26">
      <c r="A879" s="10"/>
      <c r="B879" s="10"/>
      <c r="C879" s="4"/>
      <c r="D879" s="10"/>
      <c r="E879" s="10"/>
      <c r="F879" s="4"/>
      <c r="G879" s="4"/>
      <c r="H879" s="4"/>
      <c r="I879" s="4"/>
      <c r="J879" s="4"/>
      <c r="K879" s="4"/>
      <c r="L879" s="4"/>
      <c r="M879" s="4"/>
      <c r="N879" s="4"/>
      <c r="O879" s="4"/>
      <c r="P879" s="4"/>
      <c r="Q879" s="4"/>
      <c r="R879" s="4"/>
      <c r="S879" s="4"/>
      <c r="T879" s="4"/>
      <c r="U879" s="4"/>
      <c r="V879" s="4"/>
      <c r="W879" s="4"/>
      <c r="X879" s="4"/>
      <c r="Y879" s="4"/>
      <c r="Z879" s="4"/>
    </row>
    <row r="880" spans="1:26">
      <c r="A880" s="10"/>
      <c r="B880" s="10"/>
      <c r="C880" s="4"/>
      <c r="D880" s="10"/>
      <c r="E880" s="10"/>
      <c r="F880" s="4"/>
      <c r="G880" s="4"/>
      <c r="H880" s="4"/>
      <c r="I880" s="4"/>
      <c r="J880" s="4"/>
      <c r="K880" s="4"/>
      <c r="L880" s="4"/>
      <c r="M880" s="4"/>
      <c r="N880" s="4"/>
      <c r="O880" s="4"/>
      <c r="P880" s="4"/>
      <c r="Q880" s="4"/>
      <c r="R880" s="4"/>
      <c r="S880" s="4"/>
      <c r="T880" s="4"/>
      <c r="U880" s="4"/>
      <c r="V880" s="4"/>
      <c r="W880" s="4"/>
      <c r="X880" s="4"/>
      <c r="Y880" s="4"/>
      <c r="Z880" s="4"/>
    </row>
    <row r="881" spans="1:26">
      <c r="A881" s="10"/>
      <c r="B881" s="10"/>
      <c r="C881" s="4"/>
      <c r="D881" s="10"/>
      <c r="E881" s="10"/>
      <c r="F881" s="4"/>
      <c r="G881" s="4"/>
      <c r="H881" s="4"/>
      <c r="I881" s="4"/>
      <c r="J881" s="4"/>
      <c r="K881" s="4"/>
      <c r="L881" s="4"/>
      <c r="M881" s="4"/>
      <c r="N881" s="4"/>
      <c r="O881" s="4"/>
      <c r="P881" s="4"/>
      <c r="Q881" s="4"/>
      <c r="R881" s="4"/>
      <c r="S881" s="4"/>
      <c r="T881" s="4"/>
      <c r="U881" s="4"/>
      <c r="V881" s="4"/>
      <c r="W881" s="4"/>
      <c r="X881" s="4"/>
      <c r="Y881" s="4"/>
      <c r="Z881" s="4"/>
    </row>
    <row r="882" spans="1:26">
      <c r="A882" s="10"/>
      <c r="B882" s="10"/>
      <c r="C882" s="4"/>
      <c r="D882" s="10"/>
      <c r="E882" s="10"/>
      <c r="F882" s="4"/>
      <c r="G882" s="4"/>
      <c r="H882" s="4"/>
      <c r="I882" s="4"/>
      <c r="J882" s="4"/>
      <c r="K882" s="4"/>
      <c r="L882" s="4"/>
      <c r="M882" s="4"/>
      <c r="N882" s="4"/>
      <c r="O882" s="4"/>
      <c r="P882" s="4"/>
      <c r="Q882" s="4"/>
      <c r="R882" s="4"/>
      <c r="S882" s="4"/>
      <c r="T882" s="4"/>
      <c r="U882" s="4"/>
      <c r="V882" s="4"/>
      <c r="W882" s="4"/>
      <c r="X882" s="4"/>
      <c r="Y882" s="4"/>
      <c r="Z882" s="4"/>
    </row>
    <row r="883" spans="1:26">
      <c r="A883" s="10"/>
      <c r="B883" s="10"/>
      <c r="C883" s="4"/>
      <c r="D883" s="10"/>
      <c r="E883" s="10"/>
      <c r="F883" s="4"/>
      <c r="G883" s="4"/>
      <c r="H883" s="4"/>
      <c r="I883" s="4"/>
      <c r="J883" s="4"/>
      <c r="K883" s="4"/>
      <c r="L883" s="4"/>
      <c r="M883" s="4"/>
      <c r="N883" s="4"/>
      <c r="O883" s="4"/>
      <c r="P883" s="4"/>
      <c r="Q883" s="4"/>
      <c r="R883" s="4"/>
      <c r="S883" s="4"/>
      <c r="T883" s="4"/>
      <c r="U883" s="4"/>
      <c r="V883" s="4"/>
      <c r="W883" s="4"/>
      <c r="X883" s="4"/>
      <c r="Y883" s="4"/>
      <c r="Z883" s="4"/>
    </row>
    <row r="884" spans="1:26">
      <c r="A884" s="10"/>
      <c r="B884" s="10"/>
      <c r="C884" s="4"/>
      <c r="D884" s="10"/>
      <c r="E884" s="10"/>
      <c r="F884" s="4"/>
      <c r="G884" s="4"/>
      <c r="H884" s="4"/>
      <c r="I884" s="4"/>
      <c r="J884" s="4"/>
      <c r="K884" s="4"/>
      <c r="L884" s="4"/>
      <c r="M884" s="4"/>
      <c r="N884" s="4"/>
      <c r="O884" s="4"/>
      <c r="P884" s="4"/>
      <c r="Q884" s="4"/>
      <c r="R884" s="4"/>
      <c r="S884" s="4"/>
      <c r="T884" s="4"/>
      <c r="U884" s="4"/>
      <c r="V884" s="4"/>
      <c r="W884" s="4"/>
      <c r="X884" s="4"/>
      <c r="Y884" s="4"/>
      <c r="Z884" s="4"/>
    </row>
    <row r="885" spans="1:26">
      <c r="A885" s="10"/>
      <c r="B885" s="10"/>
      <c r="C885" s="4"/>
      <c r="D885" s="10"/>
      <c r="E885" s="10"/>
      <c r="F885" s="4"/>
      <c r="G885" s="4"/>
      <c r="H885" s="4"/>
      <c r="I885" s="4"/>
      <c r="J885" s="4"/>
      <c r="K885" s="4"/>
      <c r="L885" s="4"/>
      <c r="M885" s="4"/>
      <c r="N885" s="4"/>
      <c r="O885" s="4"/>
      <c r="P885" s="4"/>
      <c r="Q885" s="4"/>
      <c r="R885" s="4"/>
      <c r="S885" s="4"/>
      <c r="T885" s="4"/>
      <c r="U885" s="4"/>
      <c r="V885" s="4"/>
      <c r="W885" s="4"/>
      <c r="X885" s="4"/>
      <c r="Y885" s="4"/>
      <c r="Z885" s="4"/>
    </row>
    <row r="886" spans="1:26">
      <c r="A886" s="10"/>
      <c r="B886" s="10"/>
      <c r="C886" s="4"/>
      <c r="D886" s="10"/>
      <c r="E886" s="10"/>
      <c r="F886" s="4"/>
      <c r="G886" s="4"/>
      <c r="H886" s="4"/>
      <c r="I886" s="4"/>
      <c r="J886" s="4"/>
      <c r="K886" s="4"/>
      <c r="L886" s="4"/>
      <c r="M886" s="4"/>
      <c r="N886" s="4"/>
      <c r="O886" s="4"/>
      <c r="P886" s="4"/>
      <c r="Q886" s="4"/>
      <c r="R886" s="4"/>
      <c r="S886" s="4"/>
      <c r="T886" s="4"/>
      <c r="U886" s="4"/>
      <c r="V886" s="4"/>
      <c r="W886" s="4"/>
      <c r="X886" s="4"/>
      <c r="Y886" s="4"/>
      <c r="Z886" s="4"/>
    </row>
    <row r="887" spans="1:26">
      <c r="A887" s="10"/>
      <c r="B887" s="10"/>
      <c r="C887" s="4"/>
      <c r="D887" s="10"/>
      <c r="E887" s="10"/>
      <c r="F887" s="4"/>
      <c r="G887" s="4"/>
      <c r="H887" s="4"/>
      <c r="I887" s="4"/>
      <c r="J887" s="4"/>
      <c r="K887" s="4"/>
      <c r="L887" s="4"/>
      <c r="M887" s="4"/>
      <c r="N887" s="4"/>
      <c r="O887" s="4"/>
      <c r="P887" s="4"/>
      <c r="Q887" s="4"/>
      <c r="R887" s="4"/>
      <c r="S887" s="4"/>
      <c r="T887" s="4"/>
      <c r="U887" s="4"/>
      <c r="V887" s="4"/>
      <c r="W887" s="4"/>
      <c r="X887" s="4"/>
      <c r="Y887" s="4"/>
      <c r="Z887" s="4"/>
    </row>
    <row r="888" spans="1:26">
      <c r="A888" s="10"/>
      <c r="B888" s="10"/>
      <c r="C888" s="4"/>
      <c r="D888" s="10"/>
      <c r="E888" s="10"/>
      <c r="F888" s="4"/>
      <c r="G888" s="4"/>
      <c r="H888" s="4"/>
      <c r="I888" s="4"/>
      <c r="J888" s="4"/>
      <c r="K888" s="4"/>
      <c r="L888" s="4"/>
      <c r="M888" s="4"/>
      <c r="N888" s="4"/>
      <c r="O888" s="4"/>
      <c r="P888" s="4"/>
      <c r="Q888" s="4"/>
      <c r="R888" s="4"/>
      <c r="S888" s="4"/>
      <c r="T888" s="4"/>
      <c r="U888" s="4"/>
      <c r="V888" s="4"/>
      <c r="W888" s="4"/>
      <c r="X888" s="4"/>
      <c r="Y888" s="4"/>
      <c r="Z888" s="4"/>
    </row>
    <row r="889" spans="1:26">
      <c r="A889" s="10"/>
      <c r="B889" s="10"/>
      <c r="C889" s="4"/>
      <c r="D889" s="10"/>
      <c r="E889" s="10"/>
      <c r="F889" s="4"/>
      <c r="G889" s="4"/>
      <c r="H889" s="4"/>
      <c r="I889" s="4"/>
      <c r="J889" s="4"/>
      <c r="K889" s="4"/>
      <c r="L889" s="4"/>
      <c r="M889" s="4"/>
      <c r="N889" s="4"/>
      <c r="O889" s="4"/>
      <c r="P889" s="4"/>
      <c r="Q889" s="4"/>
      <c r="R889" s="4"/>
      <c r="S889" s="4"/>
      <c r="T889" s="4"/>
      <c r="U889" s="4"/>
      <c r="V889" s="4"/>
      <c r="W889" s="4"/>
      <c r="X889" s="4"/>
      <c r="Y889" s="4"/>
      <c r="Z889" s="4"/>
    </row>
    <row r="890" spans="1:26">
      <c r="A890" s="10"/>
      <c r="B890" s="10"/>
      <c r="C890" s="4"/>
      <c r="D890" s="10"/>
      <c r="E890" s="10"/>
      <c r="F890" s="4"/>
      <c r="G890" s="4"/>
      <c r="H890" s="4"/>
      <c r="I890" s="4"/>
      <c r="J890" s="4"/>
      <c r="K890" s="4"/>
      <c r="L890" s="4"/>
      <c r="M890" s="4"/>
      <c r="N890" s="4"/>
      <c r="O890" s="4"/>
      <c r="P890" s="4"/>
      <c r="Q890" s="4"/>
      <c r="R890" s="4"/>
      <c r="S890" s="4"/>
      <c r="T890" s="4"/>
      <c r="U890" s="4"/>
      <c r="V890" s="4"/>
      <c r="W890" s="4"/>
      <c r="X890" s="4"/>
      <c r="Y890" s="4"/>
      <c r="Z890" s="4"/>
    </row>
    <row r="891" spans="1:26">
      <c r="A891" s="10"/>
      <c r="B891" s="10"/>
      <c r="C891" s="4"/>
      <c r="D891" s="10"/>
      <c r="E891" s="10"/>
      <c r="F891" s="4"/>
      <c r="G891" s="4"/>
      <c r="H891" s="4"/>
      <c r="I891" s="4"/>
      <c r="J891" s="4"/>
      <c r="K891" s="4"/>
      <c r="L891" s="4"/>
      <c r="M891" s="4"/>
      <c r="N891" s="4"/>
      <c r="O891" s="4"/>
      <c r="P891" s="4"/>
      <c r="Q891" s="4"/>
      <c r="R891" s="4"/>
      <c r="S891" s="4"/>
      <c r="T891" s="4"/>
      <c r="U891" s="4"/>
      <c r="V891" s="4"/>
      <c r="W891" s="4"/>
      <c r="X891" s="4"/>
      <c r="Y891" s="4"/>
      <c r="Z891" s="4"/>
    </row>
    <row r="892" spans="1:26">
      <c r="A892" s="10"/>
      <c r="B892" s="10"/>
      <c r="C892" s="4"/>
      <c r="D892" s="10"/>
      <c r="E892" s="10"/>
      <c r="F892" s="4"/>
      <c r="G892" s="4"/>
      <c r="H892" s="4"/>
      <c r="I892" s="4"/>
      <c r="J892" s="4"/>
      <c r="K892" s="4"/>
      <c r="L892" s="4"/>
      <c r="M892" s="4"/>
      <c r="N892" s="4"/>
      <c r="O892" s="4"/>
      <c r="P892" s="4"/>
      <c r="Q892" s="4"/>
      <c r="R892" s="4"/>
      <c r="S892" s="4"/>
      <c r="T892" s="4"/>
      <c r="U892" s="4"/>
      <c r="V892" s="4"/>
      <c r="W892" s="4"/>
      <c r="X892" s="4"/>
      <c r="Y892" s="4"/>
      <c r="Z892" s="4"/>
    </row>
    <row r="893" spans="1:26">
      <c r="A893" s="10"/>
      <c r="B893" s="10"/>
      <c r="C893" s="4"/>
      <c r="D893" s="10"/>
      <c r="E893" s="10"/>
      <c r="F893" s="4"/>
      <c r="G893" s="4"/>
      <c r="H893" s="4"/>
      <c r="I893" s="4"/>
      <c r="J893" s="4"/>
      <c r="K893" s="4"/>
      <c r="L893" s="4"/>
      <c r="M893" s="4"/>
      <c r="N893" s="4"/>
      <c r="O893" s="4"/>
      <c r="P893" s="4"/>
      <c r="Q893" s="4"/>
      <c r="R893" s="4"/>
      <c r="S893" s="4"/>
      <c r="T893" s="4"/>
      <c r="U893" s="4"/>
      <c r="V893" s="4"/>
      <c r="W893" s="4"/>
      <c r="X893" s="4"/>
      <c r="Y893" s="4"/>
      <c r="Z893" s="4"/>
    </row>
    <row r="894" spans="1:26">
      <c r="A894" s="10"/>
      <c r="B894" s="10"/>
      <c r="C894" s="4"/>
      <c r="D894" s="10"/>
      <c r="E894" s="10"/>
      <c r="F894" s="4"/>
      <c r="G894" s="4"/>
      <c r="H894" s="4"/>
      <c r="I894" s="4"/>
      <c r="J894" s="4"/>
      <c r="K894" s="4"/>
      <c r="L894" s="4"/>
      <c r="M894" s="4"/>
      <c r="N894" s="4"/>
      <c r="O894" s="4"/>
      <c r="P894" s="4"/>
      <c r="Q894" s="4"/>
      <c r="R894" s="4"/>
      <c r="S894" s="4"/>
      <c r="T894" s="4"/>
      <c r="U894" s="4"/>
      <c r="V894" s="4"/>
      <c r="W894" s="4"/>
      <c r="X894" s="4"/>
      <c r="Y894" s="4"/>
      <c r="Z894" s="4"/>
    </row>
    <row r="895" spans="1:26">
      <c r="A895" s="10"/>
      <c r="B895" s="10"/>
      <c r="C895" s="4"/>
      <c r="D895" s="10"/>
      <c r="E895" s="10"/>
      <c r="F895" s="4"/>
      <c r="G895" s="4"/>
      <c r="H895" s="4"/>
      <c r="I895" s="4"/>
      <c r="J895" s="4"/>
      <c r="K895" s="4"/>
      <c r="L895" s="4"/>
      <c r="M895" s="4"/>
      <c r="N895" s="4"/>
      <c r="O895" s="4"/>
      <c r="P895" s="4"/>
      <c r="Q895" s="4"/>
      <c r="R895" s="4"/>
      <c r="S895" s="4"/>
      <c r="T895" s="4"/>
      <c r="U895" s="4"/>
      <c r="V895" s="4"/>
      <c r="W895" s="4"/>
      <c r="X895" s="4"/>
      <c r="Y895" s="4"/>
      <c r="Z895" s="4"/>
    </row>
    <row r="896" spans="1:26">
      <c r="A896" s="10"/>
      <c r="B896" s="10"/>
      <c r="C896" s="4"/>
      <c r="D896" s="10"/>
      <c r="E896" s="10"/>
      <c r="F896" s="4"/>
      <c r="G896" s="4"/>
      <c r="H896" s="4"/>
      <c r="I896" s="4"/>
      <c r="J896" s="4"/>
      <c r="K896" s="4"/>
      <c r="L896" s="4"/>
      <c r="M896" s="4"/>
      <c r="N896" s="4"/>
      <c r="O896" s="4"/>
      <c r="P896" s="4"/>
      <c r="Q896" s="4"/>
      <c r="R896" s="4"/>
      <c r="S896" s="4"/>
      <c r="T896" s="4"/>
      <c r="U896" s="4"/>
      <c r="V896" s="4"/>
      <c r="W896" s="4"/>
      <c r="X896" s="4"/>
      <c r="Y896" s="4"/>
      <c r="Z896" s="4"/>
    </row>
    <row r="897" spans="1:26">
      <c r="A897" s="10"/>
      <c r="B897" s="10"/>
      <c r="C897" s="4"/>
      <c r="D897" s="10"/>
      <c r="E897" s="10"/>
      <c r="F897" s="4"/>
      <c r="G897" s="4"/>
      <c r="H897" s="4"/>
      <c r="I897" s="4"/>
      <c r="J897" s="4"/>
      <c r="K897" s="4"/>
      <c r="L897" s="4"/>
      <c r="M897" s="4"/>
      <c r="N897" s="4"/>
      <c r="O897" s="4"/>
      <c r="P897" s="4"/>
      <c r="Q897" s="4"/>
      <c r="R897" s="4"/>
      <c r="S897" s="4"/>
      <c r="T897" s="4"/>
      <c r="U897" s="4"/>
      <c r="V897" s="4"/>
      <c r="W897" s="4"/>
      <c r="X897" s="4"/>
      <c r="Y897" s="4"/>
      <c r="Z897" s="4"/>
    </row>
    <row r="898" spans="1:26">
      <c r="A898" s="10"/>
      <c r="B898" s="10"/>
      <c r="C898" s="4"/>
      <c r="D898" s="10"/>
      <c r="E898" s="10"/>
      <c r="F898" s="4"/>
      <c r="G898" s="4"/>
      <c r="H898" s="4"/>
      <c r="I898" s="4"/>
      <c r="J898" s="4"/>
      <c r="K898" s="4"/>
      <c r="L898" s="4"/>
      <c r="M898" s="4"/>
      <c r="N898" s="4"/>
      <c r="O898" s="4"/>
      <c r="P898" s="4"/>
      <c r="Q898" s="4"/>
      <c r="R898" s="4"/>
      <c r="S898" s="4"/>
      <c r="T898" s="4"/>
      <c r="U898" s="4"/>
      <c r="V898" s="4"/>
      <c r="W898" s="4"/>
      <c r="X898" s="4"/>
      <c r="Y898" s="4"/>
      <c r="Z898" s="4"/>
    </row>
    <row r="899" spans="1:26">
      <c r="A899" s="10"/>
      <c r="B899" s="10"/>
      <c r="C899" s="4"/>
      <c r="D899" s="10"/>
      <c r="E899" s="10"/>
      <c r="F899" s="4"/>
      <c r="G899" s="4"/>
      <c r="H899" s="4"/>
      <c r="I899" s="4"/>
      <c r="J899" s="4"/>
      <c r="K899" s="4"/>
      <c r="L899" s="4"/>
      <c r="M899" s="4"/>
      <c r="N899" s="4"/>
      <c r="O899" s="4"/>
      <c r="P899" s="4"/>
      <c r="Q899" s="4"/>
      <c r="R899" s="4"/>
      <c r="S899" s="4"/>
      <c r="T899" s="4"/>
      <c r="U899" s="4"/>
      <c r="V899" s="4"/>
      <c r="W899" s="4"/>
      <c r="X899" s="4"/>
      <c r="Y899" s="4"/>
      <c r="Z899" s="4"/>
    </row>
    <row r="900" spans="1:26">
      <c r="A900" s="10"/>
      <c r="B900" s="10"/>
      <c r="C900" s="4"/>
      <c r="D900" s="10"/>
      <c r="E900" s="10"/>
      <c r="F900" s="4"/>
      <c r="G900" s="4"/>
      <c r="H900" s="4"/>
      <c r="I900" s="4"/>
      <c r="J900" s="4"/>
      <c r="K900" s="4"/>
      <c r="L900" s="4"/>
      <c r="M900" s="4"/>
      <c r="N900" s="4"/>
      <c r="O900" s="4"/>
      <c r="P900" s="4"/>
      <c r="Q900" s="4"/>
      <c r="R900" s="4"/>
      <c r="S900" s="4"/>
      <c r="T900" s="4"/>
      <c r="U900" s="4"/>
      <c r="V900" s="4"/>
      <c r="W900" s="4"/>
      <c r="X900" s="4"/>
      <c r="Y900" s="4"/>
      <c r="Z900" s="4"/>
    </row>
    <row r="901" spans="1:26">
      <c r="A901" s="10"/>
      <c r="B901" s="10"/>
      <c r="C901" s="4"/>
      <c r="D901" s="10"/>
      <c r="E901" s="10"/>
      <c r="F901" s="4"/>
      <c r="G901" s="4"/>
      <c r="H901" s="4"/>
      <c r="I901" s="4"/>
      <c r="J901" s="4"/>
      <c r="K901" s="4"/>
      <c r="L901" s="4"/>
      <c r="M901" s="4"/>
      <c r="N901" s="4"/>
      <c r="O901" s="4"/>
      <c r="P901" s="4"/>
      <c r="Q901" s="4"/>
      <c r="R901" s="4"/>
      <c r="S901" s="4"/>
      <c r="T901" s="4"/>
      <c r="U901" s="4"/>
      <c r="V901" s="4"/>
      <c r="W901" s="4"/>
      <c r="X901" s="4"/>
      <c r="Y901" s="4"/>
      <c r="Z901" s="4"/>
    </row>
    <row r="902" spans="1:26">
      <c r="A902" s="10"/>
      <c r="B902" s="10"/>
      <c r="C902" s="4"/>
      <c r="D902" s="10"/>
      <c r="E902" s="10"/>
      <c r="F902" s="4"/>
      <c r="G902" s="4"/>
      <c r="H902" s="4"/>
      <c r="I902" s="4"/>
      <c r="J902" s="4"/>
      <c r="K902" s="4"/>
      <c r="L902" s="4"/>
      <c r="M902" s="4"/>
      <c r="N902" s="4"/>
      <c r="O902" s="4"/>
      <c r="P902" s="4"/>
      <c r="Q902" s="4"/>
      <c r="R902" s="4"/>
      <c r="S902" s="4"/>
      <c r="T902" s="4"/>
      <c r="U902" s="4"/>
      <c r="V902" s="4"/>
      <c r="W902" s="4"/>
      <c r="X902" s="4"/>
      <c r="Y902" s="4"/>
      <c r="Z902" s="4"/>
    </row>
    <row r="903" spans="1:26">
      <c r="A903" s="10"/>
      <c r="B903" s="10"/>
      <c r="C903" s="4"/>
      <c r="D903" s="10"/>
      <c r="E903" s="10"/>
      <c r="F903" s="4"/>
      <c r="G903" s="4"/>
      <c r="H903" s="4"/>
      <c r="I903" s="4"/>
      <c r="J903" s="4"/>
      <c r="K903" s="4"/>
      <c r="L903" s="4"/>
      <c r="M903" s="4"/>
      <c r="N903" s="4"/>
      <c r="O903" s="4"/>
      <c r="P903" s="4"/>
      <c r="Q903" s="4"/>
      <c r="R903" s="4"/>
      <c r="S903" s="4"/>
      <c r="T903" s="4"/>
      <c r="U903" s="4"/>
      <c r="V903" s="4"/>
      <c r="W903" s="4"/>
      <c r="X903" s="4"/>
      <c r="Y903" s="4"/>
      <c r="Z903" s="4"/>
    </row>
    <row r="904" spans="1:26">
      <c r="A904" s="10"/>
      <c r="B904" s="10"/>
      <c r="C904" s="4"/>
      <c r="D904" s="10"/>
      <c r="E904" s="10"/>
      <c r="F904" s="4"/>
      <c r="G904" s="4"/>
      <c r="H904" s="4"/>
      <c r="I904" s="4"/>
      <c r="J904" s="4"/>
      <c r="K904" s="4"/>
      <c r="L904" s="4"/>
      <c r="M904" s="4"/>
      <c r="N904" s="4"/>
      <c r="O904" s="4"/>
      <c r="P904" s="4"/>
      <c r="Q904" s="4"/>
      <c r="R904" s="4"/>
      <c r="S904" s="4"/>
      <c r="T904" s="4"/>
      <c r="U904" s="4"/>
      <c r="V904" s="4"/>
      <c r="W904" s="4"/>
      <c r="X904" s="4"/>
      <c r="Y904" s="4"/>
      <c r="Z904" s="4"/>
    </row>
    <row r="905" spans="1:26">
      <c r="A905" s="10"/>
      <c r="B905" s="10"/>
      <c r="C905" s="4"/>
      <c r="D905" s="10"/>
      <c r="E905" s="10"/>
      <c r="F905" s="4"/>
      <c r="G905" s="4"/>
      <c r="H905" s="4"/>
      <c r="I905" s="4"/>
      <c r="J905" s="4"/>
      <c r="K905" s="4"/>
      <c r="L905" s="4"/>
      <c r="M905" s="4"/>
      <c r="N905" s="4"/>
      <c r="O905" s="4"/>
      <c r="P905" s="4"/>
      <c r="Q905" s="4"/>
      <c r="R905" s="4"/>
      <c r="S905" s="4"/>
      <c r="T905" s="4"/>
      <c r="U905" s="4"/>
      <c r="V905" s="4"/>
      <c r="W905" s="4"/>
      <c r="X905" s="4"/>
      <c r="Y905" s="4"/>
      <c r="Z905" s="4"/>
    </row>
    <row r="906" spans="1:26">
      <c r="A906" s="10"/>
      <c r="B906" s="10"/>
      <c r="C906" s="4"/>
      <c r="D906" s="10"/>
      <c r="E906" s="10"/>
      <c r="F906" s="4"/>
      <c r="G906" s="4"/>
      <c r="H906" s="4"/>
      <c r="I906" s="4"/>
      <c r="J906" s="4"/>
      <c r="K906" s="4"/>
      <c r="L906" s="4"/>
      <c r="M906" s="4"/>
      <c r="N906" s="4"/>
      <c r="O906" s="4"/>
      <c r="P906" s="4"/>
      <c r="Q906" s="4"/>
      <c r="R906" s="4"/>
      <c r="S906" s="4"/>
      <c r="T906" s="4"/>
      <c r="U906" s="4"/>
      <c r="V906" s="4"/>
      <c r="W906" s="4"/>
      <c r="X906" s="4"/>
      <c r="Y906" s="4"/>
      <c r="Z906" s="4"/>
    </row>
    <row r="907" spans="1:26">
      <c r="A907" s="10"/>
      <c r="B907" s="10"/>
      <c r="C907" s="4"/>
      <c r="D907" s="10"/>
      <c r="E907" s="10"/>
      <c r="F907" s="4"/>
      <c r="G907" s="4"/>
      <c r="H907" s="4"/>
      <c r="I907" s="4"/>
      <c r="J907" s="4"/>
      <c r="K907" s="4"/>
      <c r="L907" s="4"/>
      <c r="M907" s="4"/>
      <c r="N907" s="4"/>
      <c r="O907" s="4"/>
      <c r="P907" s="4"/>
      <c r="Q907" s="4"/>
      <c r="R907" s="4"/>
      <c r="S907" s="4"/>
      <c r="T907" s="4"/>
      <c r="U907" s="4"/>
      <c r="V907" s="4"/>
      <c r="W907" s="4"/>
      <c r="X907" s="4"/>
      <c r="Y907" s="4"/>
      <c r="Z907" s="4"/>
    </row>
    <row r="908" spans="1:26">
      <c r="A908" s="10"/>
      <c r="B908" s="10"/>
      <c r="C908" s="4"/>
      <c r="D908" s="10"/>
      <c r="E908" s="10"/>
      <c r="F908" s="4"/>
      <c r="G908" s="4"/>
      <c r="H908" s="4"/>
      <c r="I908" s="4"/>
      <c r="J908" s="4"/>
      <c r="K908" s="4"/>
      <c r="L908" s="4"/>
      <c r="M908" s="4"/>
      <c r="N908" s="4"/>
      <c r="O908" s="4"/>
      <c r="P908" s="4"/>
      <c r="Q908" s="4"/>
      <c r="R908" s="4"/>
      <c r="S908" s="4"/>
      <c r="T908" s="4"/>
      <c r="U908" s="4"/>
      <c r="V908" s="4"/>
      <c r="W908" s="4"/>
      <c r="X908" s="4"/>
      <c r="Y908" s="4"/>
      <c r="Z908" s="4"/>
    </row>
    <row r="909" spans="1:26">
      <c r="A909" s="10"/>
      <c r="B909" s="10"/>
      <c r="C909" s="4"/>
      <c r="D909" s="10"/>
      <c r="E909" s="10"/>
      <c r="F909" s="4"/>
      <c r="G909" s="4"/>
      <c r="H909" s="4"/>
      <c r="I909" s="4"/>
      <c r="J909" s="4"/>
      <c r="K909" s="4"/>
      <c r="L909" s="4"/>
      <c r="M909" s="4"/>
      <c r="N909" s="4"/>
      <c r="O909" s="4"/>
      <c r="P909" s="4"/>
      <c r="Q909" s="4"/>
      <c r="R909" s="4"/>
      <c r="S909" s="4"/>
      <c r="T909" s="4"/>
      <c r="U909" s="4"/>
      <c r="V909" s="4"/>
      <c r="W909" s="4"/>
      <c r="X909" s="4"/>
      <c r="Y909" s="4"/>
      <c r="Z909" s="4"/>
    </row>
    <row r="910" spans="1:26">
      <c r="A910" s="10"/>
      <c r="B910" s="10"/>
      <c r="C910" s="4"/>
      <c r="D910" s="10"/>
      <c r="E910" s="10"/>
      <c r="F910" s="4"/>
      <c r="G910" s="4"/>
      <c r="H910" s="4"/>
      <c r="I910" s="4"/>
      <c r="J910" s="4"/>
      <c r="K910" s="4"/>
      <c r="L910" s="4"/>
      <c r="M910" s="4"/>
      <c r="N910" s="4"/>
      <c r="O910" s="4"/>
      <c r="P910" s="4"/>
      <c r="Q910" s="4"/>
      <c r="R910" s="4"/>
      <c r="S910" s="4"/>
      <c r="T910" s="4"/>
      <c r="U910" s="4"/>
      <c r="V910" s="4"/>
      <c r="W910" s="4"/>
      <c r="X910" s="4"/>
      <c r="Y910" s="4"/>
      <c r="Z910" s="4"/>
    </row>
    <row r="911" spans="1:26">
      <c r="A911" s="10"/>
      <c r="B911" s="10"/>
      <c r="C911" s="4"/>
      <c r="D911" s="10"/>
      <c r="E911" s="10"/>
      <c r="F911" s="4"/>
      <c r="G911" s="4"/>
      <c r="H911" s="4"/>
      <c r="I911" s="4"/>
      <c r="J911" s="4"/>
      <c r="K911" s="4"/>
      <c r="L911" s="4"/>
      <c r="M911" s="4"/>
      <c r="N911" s="4"/>
      <c r="O911" s="4"/>
      <c r="P911" s="4"/>
      <c r="Q911" s="4"/>
      <c r="R911" s="4"/>
      <c r="S911" s="4"/>
      <c r="T911" s="4"/>
      <c r="U911" s="4"/>
      <c r="V911" s="4"/>
      <c r="W911" s="4"/>
      <c r="X911" s="4"/>
      <c r="Y911" s="4"/>
      <c r="Z911" s="4"/>
    </row>
    <row r="912" spans="1:26">
      <c r="A912" s="10"/>
      <c r="B912" s="10"/>
      <c r="C912" s="4"/>
      <c r="D912" s="10"/>
      <c r="E912" s="10"/>
      <c r="F912" s="4"/>
      <c r="G912" s="4"/>
      <c r="H912" s="4"/>
      <c r="I912" s="4"/>
      <c r="J912" s="4"/>
      <c r="K912" s="4"/>
      <c r="L912" s="4"/>
      <c r="M912" s="4"/>
      <c r="N912" s="4"/>
      <c r="O912" s="4"/>
      <c r="P912" s="4"/>
      <c r="Q912" s="4"/>
      <c r="R912" s="4"/>
      <c r="S912" s="4"/>
      <c r="T912" s="4"/>
      <c r="U912" s="4"/>
      <c r="V912" s="4"/>
      <c r="W912" s="4"/>
      <c r="X912" s="4"/>
      <c r="Y912" s="4"/>
      <c r="Z912" s="4"/>
    </row>
    <row r="913" spans="1:26">
      <c r="A913" s="10"/>
      <c r="B913" s="10"/>
      <c r="C913" s="4"/>
      <c r="D913" s="10"/>
      <c r="E913" s="10"/>
      <c r="F913" s="4"/>
      <c r="G913" s="4"/>
      <c r="H913" s="4"/>
      <c r="I913" s="4"/>
      <c r="J913" s="4"/>
      <c r="K913" s="4"/>
      <c r="L913" s="4"/>
      <c r="M913" s="4"/>
      <c r="N913" s="4"/>
      <c r="O913" s="4"/>
      <c r="P913" s="4"/>
      <c r="Q913" s="4"/>
      <c r="R913" s="4"/>
      <c r="S913" s="4"/>
      <c r="T913" s="4"/>
      <c r="U913" s="4"/>
      <c r="V913" s="4"/>
      <c r="W913" s="4"/>
      <c r="X913" s="4"/>
      <c r="Y913" s="4"/>
      <c r="Z913" s="4"/>
    </row>
    <row r="914" spans="1:26">
      <c r="A914" s="10"/>
      <c r="B914" s="10"/>
      <c r="C914" s="4"/>
      <c r="D914" s="10"/>
      <c r="E914" s="10"/>
      <c r="F914" s="4"/>
      <c r="G914" s="4"/>
      <c r="H914" s="4"/>
      <c r="I914" s="4"/>
      <c r="J914" s="4"/>
      <c r="K914" s="4"/>
      <c r="L914" s="4"/>
      <c r="M914" s="4"/>
      <c r="N914" s="4"/>
      <c r="O914" s="4"/>
      <c r="P914" s="4"/>
      <c r="Q914" s="4"/>
      <c r="R914" s="4"/>
      <c r="S914" s="4"/>
      <c r="T914" s="4"/>
      <c r="U914" s="4"/>
      <c r="V914" s="4"/>
      <c r="W914" s="4"/>
      <c r="X914" s="4"/>
      <c r="Y914" s="4"/>
      <c r="Z914" s="4"/>
    </row>
    <row r="915" spans="1:26">
      <c r="A915" s="10"/>
      <c r="B915" s="10"/>
      <c r="C915" s="4"/>
      <c r="D915" s="10"/>
      <c r="E915" s="10"/>
      <c r="F915" s="4"/>
      <c r="G915" s="4"/>
      <c r="H915" s="4"/>
      <c r="I915" s="4"/>
      <c r="J915" s="4"/>
      <c r="K915" s="4"/>
      <c r="L915" s="4"/>
      <c r="M915" s="4"/>
      <c r="N915" s="4"/>
      <c r="O915" s="4"/>
      <c r="P915" s="4"/>
      <c r="Q915" s="4"/>
      <c r="R915" s="4"/>
      <c r="S915" s="4"/>
      <c r="T915" s="4"/>
      <c r="U915" s="4"/>
      <c r="V915" s="4"/>
      <c r="W915" s="4"/>
      <c r="X915" s="4"/>
      <c r="Y915" s="4"/>
      <c r="Z915" s="4"/>
    </row>
    <row r="916" spans="1:26">
      <c r="A916" s="10"/>
      <c r="B916" s="10"/>
      <c r="C916" s="4"/>
      <c r="D916" s="10"/>
      <c r="E916" s="10"/>
      <c r="F916" s="4"/>
      <c r="G916" s="4"/>
      <c r="H916" s="4"/>
      <c r="I916" s="4"/>
      <c r="J916" s="4"/>
      <c r="K916" s="4"/>
      <c r="L916" s="4"/>
      <c r="M916" s="4"/>
      <c r="N916" s="4"/>
      <c r="O916" s="4"/>
      <c r="P916" s="4"/>
      <c r="Q916" s="4"/>
      <c r="R916" s="4"/>
      <c r="S916" s="4"/>
      <c r="T916" s="4"/>
      <c r="U916" s="4"/>
      <c r="V916" s="4"/>
      <c r="W916" s="4"/>
      <c r="X916" s="4"/>
      <c r="Y916" s="4"/>
      <c r="Z916" s="4"/>
    </row>
    <row r="917" spans="1:26">
      <c r="A917" s="10"/>
      <c r="B917" s="10"/>
      <c r="C917" s="4"/>
      <c r="D917" s="10"/>
      <c r="E917" s="10"/>
      <c r="F917" s="4"/>
      <c r="G917" s="4"/>
      <c r="H917" s="4"/>
      <c r="I917" s="4"/>
      <c r="J917" s="4"/>
      <c r="K917" s="4"/>
      <c r="L917" s="4"/>
      <c r="M917" s="4"/>
      <c r="N917" s="4"/>
      <c r="O917" s="4"/>
      <c r="P917" s="4"/>
      <c r="Q917" s="4"/>
      <c r="R917" s="4"/>
      <c r="S917" s="4"/>
      <c r="T917" s="4"/>
      <c r="U917" s="4"/>
      <c r="V917" s="4"/>
      <c r="W917" s="4"/>
      <c r="X917" s="4"/>
      <c r="Y917" s="4"/>
      <c r="Z917" s="4"/>
    </row>
    <row r="918" spans="1:26">
      <c r="A918" s="10"/>
      <c r="B918" s="10"/>
      <c r="C918" s="4"/>
      <c r="D918" s="10"/>
      <c r="E918" s="10"/>
      <c r="F918" s="4"/>
      <c r="G918" s="4"/>
      <c r="H918" s="4"/>
      <c r="I918" s="4"/>
      <c r="J918" s="4"/>
      <c r="K918" s="4"/>
      <c r="L918" s="4"/>
      <c r="M918" s="4"/>
      <c r="N918" s="4"/>
      <c r="O918" s="4"/>
      <c r="P918" s="4"/>
      <c r="Q918" s="4"/>
      <c r="R918" s="4"/>
      <c r="S918" s="4"/>
      <c r="T918" s="4"/>
      <c r="U918" s="4"/>
      <c r="V918" s="4"/>
      <c r="W918" s="4"/>
      <c r="X918" s="4"/>
      <c r="Y918" s="4"/>
      <c r="Z918" s="4"/>
    </row>
    <row r="919" spans="1:26">
      <c r="A919" s="10"/>
      <c r="B919" s="10"/>
      <c r="C919" s="4"/>
      <c r="D919" s="10"/>
      <c r="E919" s="10"/>
      <c r="F919" s="4"/>
      <c r="G919" s="4"/>
      <c r="H919" s="4"/>
      <c r="I919" s="4"/>
      <c r="J919" s="4"/>
      <c r="K919" s="4"/>
      <c r="L919" s="4"/>
      <c r="M919" s="4"/>
      <c r="N919" s="4"/>
      <c r="O919" s="4"/>
      <c r="P919" s="4"/>
      <c r="Q919" s="4"/>
      <c r="R919" s="4"/>
      <c r="S919" s="4"/>
      <c r="T919" s="4"/>
      <c r="U919" s="4"/>
      <c r="V919" s="4"/>
      <c r="W919" s="4"/>
      <c r="X919" s="4"/>
      <c r="Y919" s="4"/>
      <c r="Z919" s="4"/>
    </row>
    <row r="920" spans="1:26">
      <c r="A920" s="10"/>
      <c r="B920" s="10"/>
      <c r="C920" s="4"/>
      <c r="D920" s="10"/>
      <c r="E920" s="10"/>
      <c r="F920" s="4"/>
      <c r="G920" s="4"/>
      <c r="H920" s="4"/>
      <c r="I920" s="4"/>
      <c r="J920" s="4"/>
      <c r="K920" s="4"/>
      <c r="L920" s="4"/>
      <c r="M920" s="4"/>
      <c r="N920" s="4"/>
      <c r="O920" s="4"/>
      <c r="P920" s="4"/>
      <c r="Q920" s="4"/>
      <c r="R920" s="4"/>
      <c r="S920" s="4"/>
      <c r="T920" s="4"/>
      <c r="U920" s="4"/>
      <c r="V920" s="4"/>
      <c r="W920" s="4"/>
      <c r="X920" s="4"/>
      <c r="Y920" s="4"/>
      <c r="Z920" s="4"/>
    </row>
    <row r="921" spans="1:26">
      <c r="A921" s="10"/>
      <c r="B921" s="10"/>
      <c r="C921" s="4"/>
      <c r="D921" s="10"/>
      <c r="E921" s="10"/>
      <c r="F921" s="4"/>
      <c r="G921" s="4"/>
      <c r="H921" s="4"/>
      <c r="I921" s="4"/>
      <c r="J921" s="4"/>
      <c r="K921" s="4"/>
      <c r="L921" s="4"/>
      <c r="M921" s="4"/>
      <c r="N921" s="4"/>
      <c r="O921" s="4"/>
      <c r="P921" s="4"/>
      <c r="Q921" s="4"/>
      <c r="R921" s="4"/>
      <c r="S921" s="4"/>
      <c r="T921" s="4"/>
      <c r="U921" s="4"/>
      <c r="V921" s="4"/>
      <c r="W921" s="4"/>
      <c r="X921" s="4"/>
      <c r="Y921" s="4"/>
      <c r="Z921" s="4"/>
    </row>
    <row r="922" spans="1:26">
      <c r="A922" s="10"/>
      <c r="B922" s="10"/>
      <c r="C922" s="4"/>
      <c r="D922" s="10"/>
      <c r="E922" s="10"/>
      <c r="F922" s="4"/>
      <c r="G922" s="4"/>
      <c r="H922" s="4"/>
      <c r="I922" s="4"/>
      <c r="J922" s="4"/>
      <c r="K922" s="4"/>
      <c r="L922" s="4"/>
      <c r="M922" s="4"/>
      <c r="N922" s="4"/>
      <c r="O922" s="4"/>
      <c r="P922" s="4"/>
      <c r="Q922" s="4"/>
      <c r="R922" s="4"/>
      <c r="S922" s="4"/>
      <c r="T922" s="4"/>
      <c r="U922" s="4"/>
      <c r="V922" s="4"/>
      <c r="W922" s="4"/>
      <c r="X922" s="4"/>
      <c r="Y922" s="4"/>
      <c r="Z922" s="4"/>
    </row>
    <row r="923" spans="1:26">
      <c r="A923" s="10"/>
      <c r="B923" s="10"/>
      <c r="C923" s="4"/>
      <c r="D923" s="10"/>
      <c r="E923" s="10"/>
      <c r="F923" s="4"/>
      <c r="G923" s="4"/>
      <c r="H923" s="4"/>
      <c r="I923" s="4"/>
      <c r="J923" s="4"/>
      <c r="K923" s="4"/>
      <c r="L923" s="4"/>
      <c r="M923" s="4"/>
      <c r="N923" s="4"/>
      <c r="O923" s="4"/>
      <c r="P923" s="4"/>
      <c r="Q923" s="4"/>
      <c r="R923" s="4"/>
      <c r="S923" s="4"/>
      <c r="T923" s="4"/>
      <c r="U923" s="4"/>
      <c r="V923" s="4"/>
      <c r="W923" s="4"/>
      <c r="X923" s="4"/>
      <c r="Y923" s="4"/>
      <c r="Z923" s="4"/>
    </row>
    <row r="924" spans="1:26">
      <c r="A924" s="10"/>
      <c r="B924" s="10"/>
      <c r="C924" s="4"/>
      <c r="D924" s="10"/>
      <c r="E924" s="10"/>
      <c r="F924" s="4"/>
      <c r="G924" s="4"/>
      <c r="H924" s="4"/>
      <c r="I924" s="4"/>
      <c r="J924" s="4"/>
      <c r="K924" s="4"/>
      <c r="L924" s="4"/>
      <c r="M924" s="4"/>
      <c r="N924" s="4"/>
      <c r="O924" s="4"/>
      <c r="P924" s="4"/>
      <c r="Q924" s="4"/>
      <c r="R924" s="4"/>
      <c r="S924" s="4"/>
      <c r="T924" s="4"/>
      <c r="U924" s="4"/>
      <c r="V924" s="4"/>
      <c r="W924" s="4"/>
      <c r="X924" s="4"/>
      <c r="Y924" s="4"/>
      <c r="Z924" s="4"/>
    </row>
    <row r="925" spans="1:26">
      <c r="A925" s="10"/>
      <c r="B925" s="10"/>
      <c r="C925" s="4"/>
      <c r="D925" s="10"/>
      <c r="E925" s="10"/>
      <c r="F925" s="4"/>
      <c r="G925" s="4"/>
      <c r="H925" s="4"/>
      <c r="I925" s="4"/>
      <c r="J925" s="4"/>
      <c r="K925" s="4"/>
      <c r="L925" s="4"/>
      <c r="M925" s="4"/>
      <c r="N925" s="4"/>
      <c r="O925" s="4"/>
      <c r="P925" s="4"/>
      <c r="Q925" s="4"/>
      <c r="R925" s="4"/>
      <c r="S925" s="4"/>
      <c r="T925" s="4"/>
      <c r="U925" s="4"/>
      <c r="V925" s="4"/>
      <c r="W925" s="4"/>
      <c r="X925" s="4"/>
      <c r="Y925" s="4"/>
      <c r="Z925" s="4"/>
    </row>
    <row r="926" spans="1:26">
      <c r="A926" s="10"/>
      <c r="B926" s="10"/>
      <c r="C926" s="4"/>
      <c r="D926" s="10"/>
      <c r="E926" s="10"/>
      <c r="F926" s="4"/>
      <c r="G926" s="4"/>
      <c r="H926" s="4"/>
      <c r="I926" s="4"/>
      <c r="J926" s="4"/>
      <c r="K926" s="4"/>
      <c r="L926" s="4"/>
      <c r="M926" s="4"/>
      <c r="N926" s="4"/>
      <c r="O926" s="4"/>
      <c r="P926" s="4"/>
      <c r="Q926" s="4"/>
      <c r="R926" s="4"/>
      <c r="S926" s="4"/>
      <c r="T926" s="4"/>
      <c r="U926" s="4"/>
      <c r="V926" s="4"/>
      <c r="W926" s="4"/>
      <c r="X926" s="4"/>
      <c r="Y926" s="4"/>
      <c r="Z926" s="4"/>
    </row>
    <row r="927" spans="1:26">
      <c r="A927" s="10"/>
      <c r="B927" s="10"/>
      <c r="C927" s="4"/>
      <c r="D927" s="10"/>
      <c r="E927" s="10"/>
      <c r="F927" s="4"/>
      <c r="G927" s="4"/>
      <c r="H927" s="4"/>
      <c r="I927" s="4"/>
      <c r="J927" s="4"/>
      <c r="K927" s="4"/>
      <c r="L927" s="4"/>
      <c r="M927" s="4"/>
      <c r="N927" s="4"/>
      <c r="O927" s="4"/>
      <c r="P927" s="4"/>
      <c r="Q927" s="4"/>
      <c r="R927" s="4"/>
      <c r="S927" s="4"/>
      <c r="T927" s="4"/>
      <c r="U927" s="4"/>
      <c r="V927" s="4"/>
      <c r="W927" s="4"/>
      <c r="X927" s="4"/>
      <c r="Y927" s="4"/>
      <c r="Z927" s="4"/>
    </row>
    <row r="928" spans="1:26">
      <c r="A928" s="10"/>
      <c r="B928" s="10"/>
      <c r="C928" s="4"/>
      <c r="D928" s="10"/>
      <c r="E928" s="10"/>
      <c r="F928" s="4"/>
      <c r="G928" s="4"/>
      <c r="H928" s="4"/>
      <c r="I928" s="4"/>
      <c r="J928" s="4"/>
      <c r="K928" s="4"/>
      <c r="L928" s="4"/>
      <c r="M928" s="4"/>
      <c r="N928" s="4"/>
      <c r="O928" s="4"/>
      <c r="P928" s="4"/>
      <c r="Q928" s="4"/>
      <c r="R928" s="4"/>
      <c r="S928" s="4"/>
      <c r="T928" s="4"/>
      <c r="U928" s="4"/>
      <c r="V928" s="4"/>
      <c r="W928" s="4"/>
      <c r="X928" s="4"/>
      <c r="Y928" s="4"/>
      <c r="Z928" s="4"/>
    </row>
    <row r="929" spans="1:26">
      <c r="A929" s="10"/>
      <c r="B929" s="10"/>
      <c r="C929" s="4"/>
      <c r="D929" s="10"/>
      <c r="E929" s="10"/>
      <c r="F929" s="4"/>
      <c r="G929" s="4"/>
      <c r="H929" s="4"/>
      <c r="I929" s="4"/>
      <c r="J929" s="4"/>
      <c r="K929" s="4"/>
      <c r="L929" s="4"/>
      <c r="M929" s="4"/>
      <c r="N929" s="4"/>
      <c r="O929" s="4"/>
      <c r="P929" s="4"/>
      <c r="Q929" s="4"/>
      <c r="R929" s="4"/>
      <c r="S929" s="4"/>
      <c r="T929" s="4"/>
      <c r="U929" s="4"/>
      <c r="V929" s="4"/>
      <c r="W929" s="4"/>
      <c r="X929" s="4"/>
      <c r="Y929" s="4"/>
      <c r="Z929" s="4"/>
    </row>
    <row r="930" spans="1:26">
      <c r="A930" s="10"/>
      <c r="B930" s="10"/>
      <c r="C930" s="4"/>
      <c r="D930" s="10"/>
      <c r="E930" s="10"/>
      <c r="F930" s="4"/>
      <c r="G930" s="4"/>
      <c r="H930" s="4"/>
      <c r="I930" s="4"/>
      <c r="J930" s="4"/>
      <c r="K930" s="4"/>
      <c r="L930" s="4"/>
      <c r="M930" s="4"/>
      <c r="N930" s="4"/>
      <c r="O930" s="4"/>
      <c r="P930" s="4"/>
      <c r="Q930" s="4"/>
      <c r="R930" s="4"/>
      <c r="S930" s="4"/>
      <c r="T930" s="4"/>
      <c r="U930" s="4"/>
      <c r="V930" s="4"/>
      <c r="W930" s="4"/>
      <c r="X930" s="4"/>
      <c r="Y930" s="4"/>
      <c r="Z930" s="4"/>
    </row>
    <row r="931" spans="1:26">
      <c r="A931" s="10"/>
      <c r="B931" s="10"/>
      <c r="C931" s="4"/>
      <c r="D931" s="10"/>
      <c r="E931" s="10"/>
      <c r="F931" s="4"/>
      <c r="G931" s="4"/>
      <c r="H931" s="4"/>
      <c r="I931" s="4"/>
      <c r="J931" s="4"/>
      <c r="K931" s="4"/>
      <c r="L931" s="4"/>
      <c r="M931" s="4"/>
      <c r="N931" s="4"/>
      <c r="O931" s="4"/>
      <c r="P931" s="4"/>
      <c r="Q931" s="4"/>
      <c r="R931" s="4"/>
      <c r="S931" s="4"/>
      <c r="T931" s="4"/>
      <c r="U931" s="4"/>
      <c r="V931" s="4"/>
      <c r="W931" s="4"/>
      <c r="X931" s="4"/>
      <c r="Y931" s="4"/>
      <c r="Z931" s="4"/>
    </row>
    <row r="932" spans="1:26">
      <c r="A932" s="10"/>
      <c r="B932" s="10"/>
      <c r="C932" s="4"/>
      <c r="D932" s="10"/>
      <c r="E932" s="10"/>
      <c r="F932" s="4"/>
      <c r="G932" s="4"/>
      <c r="H932" s="4"/>
      <c r="I932" s="4"/>
      <c r="J932" s="4"/>
      <c r="K932" s="4"/>
      <c r="L932" s="4"/>
      <c r="M932" s="4"/>
      <c r="N932" s="4"/>
      <c r="O932" s="4"/>
      <c r="P932" s="4"/>
      <c r="Q932" s="4"/>
      <c r="R932" s="4"/>
      <c r="S932" s="4"/>
      <c r="T932" s="4"/>
      <c r="U932" s="4"/>
      <c r="V932" s="4"/>
      <c r="W932" s="4"/>
      <c r="X932" s="4"/>
      <c r="Y932" s="4"/>
      <c r="Z932" s="4"/>
    </row>
    <row r="933" spans="1:26">
      <c r="A933" s="10"/>
      <c r="B933" s="10"/>
      <c r="C933" s="4"/>
      <c r="D933" s="10"/>
      <c r="E933" s="10"/>
      <c r="F933" s="4"/>
      <c r="G933" s="4"/>
      <c r="H933" s="4"/>
      <c r="I933" s="4"/>
      <c r="J933" s="4"/>
      <c r="K933" s="4"/>
      <c r="L933" s="4"/>
      <c r="M933" s="4"/>
      <c r="N933" s="4"/>
      <c r="O933" s="4"/>
      <c r="P933" s="4"/>
      <c r="Q933" s="4"/>
      <c r="R933" s="4"/>
      <c r="S933" s="4"/>
      <c r="T933" s="4"/>
      <c r="U933" s="4"/>
      <c r="V933" s="4"/>
      <c r="W933" s="4"/>
      <c r="X933" s="4"/>
      <c r="Y933" s="4"/>
      <c r="Z933" s="4"/>
    </row>
    <row r="934" spans="1:26">
      <c r="A934" s="10"/>
      <c r="B934" s="10"/>
      <c r="C934" s="4"/>
      <c r="D934" s="10"/>
      <c r="E934" s="10"/>
      <c r="F934" s="4"/>
      <c r="G934" s="4"/>
      <c r="H934" s="4"/>
      <c r="I934" s="4"/>
      <c r="J934" s="4"/>
      <c r="K934" s="4"/>
      <c r="L934" s="4"/>
      <c r="M934" s="4"/>
      <c r="N934" s="4"/>
      <c r="O934" s="4"/>
      <c r="P934" s="4"/>
      <c r="Q934" s="4"/>
      <c r="R934" s="4"/>
      <c r="S934" s="4"/>
      <c r="T934" s="4"/>
      <c r="U934" s="4"/>
      <c r="V934" s="4"/>
      <c r="W934" s="4"/>
      <c r="X934" s="4"/>
      <c r="Y934" s="4"/>
      <c r="Z934" s="4"/>
    </row>
    <row r="935" spans="1:26">
      <c r="A935" s="10"/>
      <c r="B935" s="10"/>
      <c r="C935" s="4"/>
      <c r="D935" s="10"/>
      <c r="E935" s="10"/>
      <c r="F935" s="4"/>
      <c r="G935" s="4"/>
      <c r="H935" s="4"/>
      <c r="I935" s="4"/>
      <c r="J935" s="4"/>
      <c r="K935" s="4"/>
      <c r="L935" s="4"/>
      <c r="M935" s="4"/>
      <c r="N935" s="4"/>
      <c r="O935" s="4"/>
      <c r="P935" s="4"/>
      <c r="Q935" s="4"/>
      <c r="R935" s="4"/>
      <c r="S935" s="4"/>
      <c r="T935" s="4"/>
      <c r="U935" s="4"/>
      <c r="V935" s="4"/>
      <c r="W935" s="4"/>
      <c r="X935" s="4"/>
      <c r="Y935" s="4"/>
      <c r="Z935" s="4"/>
    </row>
    <row r="936" spans="1:26">
      <c r="A936" s="10"/>
      <c r="B936" s="10"/>
      <c r="C936" s="4"/>
      <c r="D936" s="10"/>
      <c r="E936" s="10"/>
      <c r="F936" s="4"/>
      <c r="G936" s="4"/>
      <c r="H936" s="4"/>
      <c r="I936" s="4"/>
      <c r="J936" s="4"/>
      <c r="K936" s="4"/>
      <c r="L936" s="4"/>
      <c r="M936" s="4"/>
      <c r="N936" s="4"/>
      <c r="O936" s="4"/>
      <c r="P936" s="4"/>
      <c r="Q936" s="4"/>
      <c r="R936" s="4"/>
      <c r="S936" s="4"/>
      <c r="T936" s="4"/>
      <c r="U936" s="4"/>
      <c r="V936" s="4"/>
      <c r="W936" s="4"/>
      <c r="X936" s="4"/>
      <c r="Y936" s="4"/>
      <c r="Z936" s="4"/>
    </row>
    <row r="937" spans="1:26">
      <c r="A937" s="10"/>
      <c r="B937" s="10"/>
      <c r="C937" s="4"/>
      <c r="D937" s="10"/>
      <c r="E937" s="10"/>
      <c r="F937" s="4"/>
      <c r="G937" s="4"/>
      <c r="H937" s="4"/>
      <c r="I937" s="4"/>
      <c r="J937" s="4"/>
      <c r="K937" s="4"/>
      <c r="L937" s="4"/>
      <c r="M937" s="4"/>
      <c r="N937" s="4"/>
      <c r="O937" s="4"/>
      <c r="P937" s="4"/>
      <c r="Q937" s="4"/>
      <c r="R937" s="4"/>
      <c r="S937" s="4"/>
      <c r="T937" s="4"/>
      <c r="U937" s="4"/>
      <c r="V937" s="4"/>
      <c r="W937" s="4"/>
      <c r="X937" s="4"/>
      <c r="Y937" s="4"/>
      <c r="Z937" s="4"/>
    </row>
    <row r="938" spans="1:26">
      <c r="A938" s="10"/>
      <c r="B938" s="10"/>
      <c r="C938" s="4"/>
      <c r="D938" s="10"/>
      <c r="E938" s="10"/>
      <c r="F938" s="4"/>
      <c r="G938" s="4"/>
      <c r="H938" s="4"/>
      <c r="I938" s="4"/>
      <c r="J938" s="4"/>
      <c r="K938" s="4"/>
      <c r="L938" s="4"/>
      <c r="M938" s="4"/>
      <c r="N938" s="4"/>
      <c r="O938" s="4"/>
      <c r="P938" s="4"/>
      <c r="Q938" s="4"/>
      <c r="R938" s="4"/>
      <c r="S938" s="4"/>
      <c r="T938" s="4"/>
      <c r="U938" s="4"/>
      <c r="V938" s="4"/>
      <c r="W938" s="4"/>
      <c r="X938" s="4"/>
      <c r="Y938" s="4"/>
      <c r="Z938" s="4"/>
    </row>
    <row r="939" spans="1:26">
      <c r="A939" s="10"/>
      <c r="B939" s="10"/>
      <c r="C939" s="4"/>
      <c r="D939" s="10"/>
      <c r="E939" s="10"/>
      <c r="F939" s="4"/>
      <c r="G939" s="4"/>
      <c r="H939" s="4"/>
      <c r="I939" s="4"/>
      <c r="J939" s="4"/>
      <c r="K939" s="4"/>
      <c r="L939" s="4"/>
      <c r="M939" s="4"/>
      <c r="N939" s="4"/>
      <c r="O939" s="4"/>
      <c r="P939" s="4"/>
      <c r="Q939" s="4"/>
      <c r="R939" s="4"/>
      <c r="S939" s="4"/>
      <c r="T939" s="4"/>
      <c r="U939" s="4"/>
      <c r="V939" s="4"/>
      <c r="W939" s="4"/>
      <c r="X939" s="4"/>
      <c r="Y939" s="4"/>
      <c r="Z939" s="4"/>
    </row>
    <row r="940" spans="1:26">
      <c r="A940" s="10"/>
      <c r="B940" s="10"/>
      <c r="C940" s="4"/>
      <c r="D940" s="10"/>
      <c r="E940" s="10"/>
      <c r="F940" s="4"/>
      <c r="G940" s="4"/>
      <c r="H940" s="4"/>
      <c r="I940" s="4"/>
      <c r="J940" s="4"/>
      <c r="K940" s="4"/>
      <c r="L940" s="4"/>
      <c r="M940" s="4"/>
      <c r="N940" s="4"/>
      <c r="O940" s="4"/>
      <c r="P940" s="4"/>
      <c r="Q940" s="4"/>
      <c r="R940" s="4"/>
      <c r="S940" s="4"/>
      <c r="T940" s="4"/>
      <c r="U940" s="4"/>
      <c r="V940" s="4"/>
      <c r="W940" s="4"/>
      <c r="X940" s="4"/>
      <c r="Y940" s="4"/>
      <c r="Z940" s="4"/>
    </row>
    <row r="941" spans="1:26">
      <c r="A941" s="10"/>
      <c r="B941" s="10"/>
      <c r="C941" s="4"/>
      <c r="D941" s="10"/>
      <c r="E941" s="10"/>
      <c r="F941" s="4"/>
      <c r="G941" s="4"/>
      <c r="H941" s="4"/>
      <c r="I941" s="4"/>
      <c r="J941" s="4"/>
      <c r="K941" s="4"/>
      <c r="L941" s="4"/>
      <c r="M941" s="4"/>
      <c r="N941" s="4"/>
      <c r="O941" s="4"/>
      <c r="P941" s="4"/>
      <c r="Q941" s="4"/>
      <c r="R941" s="4"/>
      <c r="S941" s="4"/>
      <c r="T941" s="4"/>
      <c r="U941" s="4"/>
      <c r="V941" s="4"/>
      <c r="W941" s="4"/>
      <c r="X941" s="4"/>
      <c r="Y941" s="4"/>
      <c r="Z941" s="4"/>
    </row>
    <row r="942" spans="1:26">
      <c r="A942" s="10"/>
      <c r="B942" s="10"/>
      <c r="C942" s="4"/>
      <c r="D942" s="10"/>
      <c r="E942" s="10"/>
      <c r="F942" s="4"/>
      <c r="G942" s="4"/>
      <c r="H942" s="4"/>
      <c r="I942" s="4"/>
      <c r="J942" s="4"/>
      <c r="K942" s="4"/>
      <c r="L942" s="4"/>
      <c r="M942" s="4"/>
      <c r="N942" s="4"/>
      <c r="O942" s="4"/>
      <c r="P942" s="4"/>
      <c r="Q942" s="4"/>
      <c r="R942" s="4"/>
      <c r="S942" s="4"/>
      <c r="T942" s="4"/>
      <c r="U942" s="4"/>
      <c r="V942" s="4"/>
      <c r="W942" s="4"/>
      <c r="X942" s="4"/>
      <c r="Y942" s="4"/>
      <c r="Z942" s="4"/>
    </row>
    <row r="943" spans="1:26">
      <c r="A943" s="10"/>
      <c r="B943" s="10"/>
      <c r="C943" s="4"/>
      <c r="D943" s="10"/>
      <c r="E943" s="10"/>
      <c r="F943" s="4"/>
      <c r="G943" s="4"/>
      <c r="H943" s="4"/>
      <c r="I943" s="4"/>
      <c r="J943" s="4"/>
      <c r="K943" s="4"/>
      <c r="L943" s="4"/>
      <c r="M943" s="4"/>
      <c r="N943" s="4"/>
      <c r="O943" s="4"/>
      <c r="P943" s="4"/>
      <c r="Q943" s="4"/>
      <c r="R943" s="4"/>
      <c r="S943" s="4"/>
      <c r="T943" s="4"/>
      <c r="U943" s="4"/>
      <c r="V943" s="4"/>
      <c r="W943" s="4"/>
      <c r="X943" s="4"/>
      <c r="Y943" s="4"/>
      <c r="Z943" s="4"/>
    </row>
    <row r="944" spans="1:26">
      <c r="A944" s="10"/>
      <c r="B944" s="10"/>
      <c r="C944" s="4"/>
      <c r="D944" s="10"/>
      <c r="E944" s="10"/>
      <c r="F944" s="4"/>
      <c r="G944" s="4"/>
      <c r="H944" s="4"/>
      <c r="I944" s="4"/>
      <c r="J944" s="4"/>
      <c r="K944" s="4"/>
      <c r="L944" s="4"/>
      <c r="M944" s="4"/>
      <c r="N944" s="4"/>
      <c r="O944" s="4"/>
      <c r="P944" s="4"/>
      <c r="Q944" s="4"/>
      <c r="R944" s="4"/>
      <c r="S944" s="4"/>
      <c r="T944" s="4"/>
      <c r="U944" s="4"/>
      <c r="V944" s="4"/>
      <c r="W944" s="4"/>
      <c r="X944" s="4"/>
      <c r="Y944" s="4"/>
      <c r="Z944" s="4"/>
    </row>
    <row r="945" spans="1:26">
      <c r="A945" s="10"/>
      <c r="B945" s="10"/>
      <c r="C945" s="4"/>
      <c r="D945" s="10"/>
      <c r="E945" s="10"/>
      <c r="F945" s="4"/>
      <c r="G945" s="4"/>
      <c r="H945" s="4"/>
      <c r="I945" s="4"/>
      <c r="J945" s="4"/>
      <c r="K945" s="4"/>
      <c r="L945" s="4"/>
      <c r="M945" s="4"/>
      <c r="N945" s="4"/>
      <c r="O945" s="4"/>
      <c r="P945" s="4"/>
      <c r="Q945" s="4"/>
      <c r="R945" s="4"/>
      <c r="S945" s="4"/>
      <c r="T945" s="4"/>
      <c r="U945" s="4"/>
      <c r="V945" s="4"/>
      <c r="W945" s="4"/>
      <c r="X945" s="4"/>
      <c r="Y945" s="4"/>
      <c r="Z945" s="4"/>
    </row>
    <row r="946" spans="1:26">
      <c r="A946" s="10"/>
      <c r="B946" s="10"/>
      <c r="C946" s="4"/>
      <c r="D946" s="10"/>
      <c r="E946" s="10"/>
      <c r="F946" s="4"/>
      <c r="G946" s="4"/>
      <c r="H946" s="4"/>
      <c r="I946" s="4"/>
      <c r="J946" s="4"/>
      <c r="K946" s="4"/>
      <c r="L946" s="4"/>
      <c r="M946" s="4"/>
      <c r="N946" s="4"/>
      <c r="O946" s="4"/>
      <c r="P946" s="4"/>
      <c r="Q946" s="4"/>
      <c r="R946" s="4"/>
      <c r="S946" s="4"/>
      <c r="T946" s="4"/>
      <c r="U946" s="4"/>
      <c r="V946" s="4"/>
      <c r="W946" s="4"/>
      <c r="X946" s="4"/>
      <c r="Y946" s="4"/>
      <c r="Z946" s="4"/>
    </row>
    <row r="947" spans="1:26">
      <c r="A947" s="10"/>
      <c r="B947" s="10"/>
      <c r="C947" s="4"/>
      <c r="D947" s="10"/>
      <c r="E947" s="10"/>
      <c r="F947" s="4"/>
      <c r="G947" s="4"/>
      <c r="H947" s="4"/>
      <c r="I947" s="4"/>
      <c r="J947" s="4"/>
      <c r="K947" s="4"/>
      <c r="L947" s="4"/>
      <c r="M947" s="4"/>
      <c r="N947" s="4"/>
      <c r="O947" s="4"/>
      <c r="P947" s="4"/>
      <c r="Q947" s="4"/>
      <c r="R947" s="4"/>
      <c r="S947" s="4"/>
      <c r="T947" s="4"/>
      <c r="U947" s="4"/>
      <c r="V947" s="4"/>
      <c r="W947" s="4"/>
      <c r="X947" s="4"/>
      <c r="Y947" s="4"/>
      <c r="Z947" s="4"/>
    </row>
    <row r="948" spans="1:26">
      <c r="A948" s="10"/>
      <c r="B948" s="10"/>
      <c r="C948" s="4"/>
      <c r="D948" s="10"/>
      <c r="E948" s="10"/>
      <c r="F948" s="4"/>
      <c r="G948" s="4"/>
      <c r="H948" s="4"/>
      <c r="I948" s="4"/>
      <c r="J948" s="4"/>
      <c r="K948" s="4"/>
      <c r="L948" s="4"/>
      <c r="M948" s="4"/>
      <c r="N948" s="4"/>
      <c r="O948" s="4"/>
      <c r="P948" s="4"/>
      <c r="Q948" s="4"/>
      <c r="R948" s="4"/>
      <c r="S948" s="4"/>
      <c r="T948" s="4"/>
      <c r="U948" s="4"/>
      <c r="V948" s="4"/>
      <c r="W948" s="4"/>
      <c r="X948" s="4"/>
      <c r="Y948" s="4"/>
      <c r="Z948" s="4"/>
    </row>
    <row r="949" spans="1:26">
      <c r="A949" s="10"/>
      <c r="B949" s="10"/>
      <c r="C949" s="4"/>
      <c r="D949" s="10"/>
      <c r="E949" s="10"/>
      <c r="F949" s="4"/>
      <c r="G949" s="4"/>
      <c r="H949" s="4"/>
      <c r="I949" s="4"/>
      <c r="J949" s="4"/>
      <c r="K949" s="4"/>
      <c r="L949" s="4"/>
      <c r="M949" s="4"/>
      <c r="N949" s="4"/>
      <c r="O949" s="4"/>
      <c r="P949" s="4"/>
      <c r="Q949" s="4"/>
      <c r="R949" s="4"/>
      <c r="S949" s="4"/>
      <c r="T949" s="4"/>
      <c r="U949" s="4"/>
      <c r="V949" s="4"/>
      <c r="W949" s="4"/>
      <c r="X949" s="4"/>
      <c r="Y949" s="4"/>
      <c r="Z949" s="4"/>
    </row>
    <row r="950" spans="1:26">
      <c r="A950" s="10"/>
      <c r="B950" s="10"/>
      <c r="C950" s="4"/>
      <c r="D950" s="10"/>
      <c r="E950" s="10"/>
      <c r="F950" s="4"/>
      <c r="G950" s="4"/>
      <c r="H950" s="4"/>
      <c r="I950" s="4"/>
      <c r="J950" s="4"/>
      <c r="K950" s="4"/>
      <c r="L950" s="4"/>
      <c r="M950" s="4"/>
      <c r="N950" s="4"/>
      <c r="O950" s="4"/>
      <c r="P950" s="4"/>
      <c r="Q950" s="4"/>
      <c r="R950" s="4"/>
      <c r="S950" s="4"/>
      <c r="T950" s="4"/>
      <c r="U950" s="4"/>
      <c r="V950" s="4"/>
      <c r="W950" s="4"/>
      <c r="X950" s="4"/>
      <c r="Y950" s="4"/>
      <c r="Z950" s="4"/>
    </row>
    <row r="951" spans="1:26">
      <c r="A951" s="10"/>
      <c r="B951" s="10"/>
      <c r="C951" s="4"/>
      <c r="D951" s="10"/>
      <c r="E951" s="10"/>
      <c r="F951" s="4"/>
      <c r="G951" s="4"/>
      <c r="H951" s="4"/>
      <c r="I951" s="4"/>
      <c r="J951" s="4"/>
      <c r="K951" s="4"/>
      <c r="L951" s="4"/>
      <c r="M951" s="4"/>
      <c r="N951" s="4"/>
      <c r="O951" s="4"/>
      <c r="P951" s="4"/>
      <c r="Q951" s="4"/>
      <c r="R951" s="4"/>
      <c r="S951" s="4"/>
      <c r="T951" s="4"/>
      <c r="U951" s="4"/>
      <c r="V951" s="4"/>
      <c r="W951" s="4"/>
      <c r="X951" s="4"/>
      <c r="Y951" s="4"/>
      <c r="Z951" s="4"/>
    </row>
    <row r="952" spans="1:26">
      <c r="A952" s="10"/>
      <c r="B952" s="10"/>
      <c r="C952" s="4"/>
      <c r="D952" s="10"/>
      <c r="E952" s="10"/>
      <c r="F952" s="4"/>
      <c r="G952" s="4"/>
      <c r="H952" s="4"/>
      <c r="I952" s="4"/>
      <c r="J952" s="4"/>
      <c r="K952" s="4"/>
      <c r="L952" s="4"/>
      <c r="M952" s="4"/>
      <c r="N952" s="4"/>
      <c r="O952" s="4"/>
      <c r="P952" s="4"/>
      <c r="Q952" s="4"/>
      <c r="R952" s="4"/>
      <c r="S952" s="4"/>
      <c r="T952" s="4"/>
      <c r="U952" s="4"/>
      <c r="V952" s="4"/>
      <c r="W952" s="4"/>
      <c r="X952" s="4"/>
      <c r="Y952" s="4"/>
      <c r="Z952" s="4"/>
    </row>
    <row r="953" spans="1:26">
      <c r="A953" s="10"/>
      <c r="B953" s="10"/>
      <c r="C953" s="4"/>
      <c r="D953" s="10"/>
      <c r="E953" s="10"/>
      <c r="F953" s="4"/>
      <c r="G953" s="4"/>
      <c r="H953" s="4"/>
      <c r="I953" s="4"/>
      <c r="J953" s="4"/>
      <c r="K953" s="4"/>
      <c r="L953" s="4"/>
      <c r="M953" s="4"/>
      <c r="N953" s="4"/>
      <c r="O953" s="4"/>
      <c r="P953" s="4"/>
      <c r="Q953" s="4"/>
      <c r="R953" s="4"/>
      <c r="S953" s="4"/>
      <c r="T953" s="4"/>
      <c r="U953" s="4"/>
      <c r="V953" s="4"/>
      <c r="W953" s="4"/>
      <c r="X953" s="4"/>
      <c r="Y953" s="4"/>
      <c r="Z953" s="4"/>
    </row>
    <row r="954" spans="1:26">
      <c r="A954" s="10"/>
      <c r="B954" s="10"/>
      <c r="C954" s="4"/>
      <c r="D954" s="10"/>
      <c r="E954" s="10"/>
      <c r="F954" s="4"/>
      <c r="G954" s="4"/>
      <c r="H954" s="4"/>
      <c r="I954" s="4"/>
      <c r="J954" s="4"/>
      <c r="K954" s="4"/>
      <c r="L954" s="4"/>
      <c r="M954" s="4"/>
      <c r="N954" s="4"/>
      <c r="O954" s="4"/>
      <c r="P954" s="4"/>
      <c r="Q954" s="4"/>
      <c r="R954" s="4"/>
      <c r="S954" s="4"/>
      <c r="T954" s="4"/>
      <c r="U954" s="4"/>
      <c r="V954" s="4"/>
      <c r="W954" s="4"/>
      <c r="X954" s="4"/>
      <c r="Y954" s="4"/>
      <c r="Z954" s="4"/>
    </row>
    <row r="955" spans="1:26">
      <c r="A955" s="10"/>
      <c r="B955" s="10"/>
      <c r="C955" s="4"/>
      <c r="D955" s="10"/>
      <c r="E955" s="10"/>
      <c r="F955" s="4"/>
      <c r="G955" s="4"/>
      <c r="H955" s="4"/>
      <c r="I955" s="4"/>
      <c r="J955" s="4"/>
      <c r="K955" s="4"/>
      <c r="L955" s="4"/>
      <c r="M955" s="4"/>
      <c r="N955" s="4"/>
      <c r="O955" s="4"/>
      <c r="P955" s="4"/>
      <c r="Q955" s="4"/>
      <c r="R955" s="4"/>
      <c r="S955" s="4"/>
      <c r="T955" s="4"/>
      <c r="U955" s="4"/>
      <c r="V955" s="4"/>
      <c r="W955" s="4"/>
      <c r="X955" s="4"/>
      <c r="Y955" s="4"/>
      <c r="Z955" s="4"/>
    </row>
    <row r="956" spans="1:26">
      <c r="A956" s="10"/>
      <c r="B956" s="10"/>
      <c r="C956" s="4"/>
      <c r="D956" s="10"/>
      <c r="E956" s="10"/>
      <c r="F956" s="4"/>
      <c r="G956" s="4"/>
      <c r="H956" s="4"/>
      <c r="I956" s="4"/>
      <c r="J956" s="4"/>
      <c r="K956" s="4"/>
      <c r="L956" s="4"/>
      <c r="M956" s="4"/>
      <c r="N956" s="4"/>
      <c r="O956" s="4"/>
      <c r="P956" s="4"/>
      <c r="Q956" s="4"/>
      <c r="R956" s="4"/>
      <c r="S956" s="4"/>
      <c r="T956" s="4"/>
      <c r="U956" s="4"/>
      <c r="V956" s="4"/>
      <c r="W956" s="4"/>
      <c r="X956" s="4"/>
      <c r="Y956" s="4"/>
      <c r="Z956" s="4"/>
    </row>
    <row r="957" spans="1:26">
      <c r="A957" s="10"/>
      <c r="B957" s="10"/>
      <c r="C957" s="4"/>
      <c r="D957" s="10"/>
      <c r="E957" s="10"/>
      <c r="F957" s="4"/>
      <c r="G957" s="4"/>
      <c r="H957" s="4"/>
      <c r="I957" s="4"/>
      <c r="J957" s="4"/>
      <c r="K957" s="4"/>
      <c r="L957" s="4"/>
      <c r="M957" s="4"/>
      <c r="N957" s="4"/>
      <c r="O957" s="4"/>
      <c r="P957" s="4"/>
      <c r="Q957" s="4"/>
      <c r="R957" s="4"/>
      <c r="S957" s="4"/>
      <c r="T957" s="4"/>
      <c r="U957" s="4"/>
      <c r="V957" s="4"/>
      <c r="W957" s="4"/>
      <c r="X957" s="4"/>
      <c r="Y957" s="4"/>
      <c r="Z957" s="4"/>
    </row>
    <row r="958" spans="1:26">
      <c r="A958" s="10"/>
      <c r="B958" s="10"/>
      <c r="C958" s="4"/>
      <c r="D958" s="10"/>
      <c r="E958" s="10"/>
      <c r="F958" s="4"/>
      <c r="G958" s="4"/>
      <c r="H958" s="4"/>
      <c r="I958" s="4"/>
      <c r="J958" s="4"/>
      <c r="K958" s="4"/>
      <c r="L958" s="4"/>
      <c r="M958" s="4"/>
      <c r="N958" s="4"/>
      <c r="O958" s="4"/>
      <c r="P958" s="4"/>
      <c r="Q958" s="4"/>
      <c r="R958" s="4"/>
      <c r="S958" s="4"/>
      <c r="T958" s="4"/>
      <c r="U958" s="4"/>
      <c r="V958" s="4"/>
      <c r="W958" s="4"/>
      <c r="X958" s="4"/>
      <c r="Y958" s="4"/>
      <c r="Z958" s="4"/>
    </row>
    <row r="959" spans="1:26">
      <c r="A959" s="10"/>
      <c r="B959" s="10"/>
      <c r="C959" s="4"/>
      <c r="D959" s="10"/>
      <c r="E959" s="10"/>
      <c r="F959" s="4"/>
      <c r="G959" s="4"/>
      <c r="H959" s="4"/>
      <c r="I959" s="4"/>
      <c r="J959" s="4"/>
      <c r="K959" s="4"/>
      <c r="L959" s="4"/>
      <c r="M959" s="4"/>
      <c r="N959" s="4"/>
      <c r="O959" s="4"/>
      <c r="P959" s="4"/>
      <c r="Q959" s="4"/>
      <c r="R959" s="4"/>
      <c r="S959" s="4"/>
      <c r="T959" s="4"/>
      <c r="U959" s="4"/>
      <c r="V959" s="4"/>
      <c r="W959" s="4"/>
      <c r="X959" s="4"/>
      <c r="Y959" s="4"/>
      <c r="Z959" s="4"/>
    </row>
    <row r="960" spans="1:26">
      <c r="A960" s="10"/>
      <c r="B960" s="10"/>
      <c r="C960" s="4"/>
      <c r="D960" s="10"/>
      <c r="E960" s="10"/>
      <c r="F960" s="4"/>
      <c r="G960" s="4"/>
      <c r="H960" s="4"/>
      <c r="I960" s="4"/>
      <c r="J960" s="4"/>
      <c r="K960" s="4"/>
      <c r="L960" s="4"/>
      <c r="M960" s="4"/>
      <c r="N960" s="4"/>
      <c r="O960" s="4"/>
      <c r="P960" s="4"/>
      <c r="Q960" s="4"/>
      <c r="R960" s="4"/>
      <c r="S960" s="4"/>
      <c r="T960" s="4"/>
      <c r="U960" s="4"/>
      <c r="V960" s="4"/>
      <c r="W960" s="4"/>
      <c r="X960" s="4"/>
      <c r="Y960" s="4"/>
      <c r="Z960" s="4"/>
    </row>
    <row r="961" spans="1:26">
      <c r="A961" s="10"/>
      <c r="B961" s="10"/>
      <c r="C961" s="4"/>
      <c r="D961" s="10"/>
      <c r="E961" s="10"/>
      <c r="F961" s="4"/>
      <c r="G961" s="4"/>
      <c r="H961" s="4"/>
      <c r="I961" s="4"/>
      <c r="J961" s="4"/>
      <c r="K961" s="4"/>
      <c r="L961" s="4"/>
      <c r="M961" s="4"/>
      <c r="N961" s="4"/>
      <c r="O961" s="4"/>
      <c r="P961" s="4"/>
      <c r="Q961" s="4"/>
      <c r="R961" s="4"/>
      <c r="S961" s="4"/>
      <c r="T961" s="4"/>
      <c r="U961" s="4"/>
      <c r="V961" s="4"/>
      <c r="W961" s="4"/>
      <c r="X961" s="4"/>
      <c r="Y961" s="4"/>
      <c r="Z961" s="4"/>
    </row>
    <row r="962" spans="1:26">
      <c r="A962" s="10"/>
      <c r="B962" s="10"/>
      <c r="C962" s="4"/>
      <c r="D962" s="10"/>
      <c r="E962" s="10"/>
      <c r="F962" s="4"/>
      <c r="G962" s="4"/>
      <c r="H962" s="4"/>
      <c r="I962" s="4"/>
      <c r="J962" s="4"/>
      <c r="K962" s="4"/>
      <c r="L962" s="4"/>
      <c r="M962" s="4"/>
      <c r="N962" s="4"/>
      <c r="O962" s="4"/>
      <c r="P962" s="4"/>
      <c r="Q962" s="4"/>
      <c r="R962" s="4"/>
      <c r="S962" s="4"/>
      <c r="T962" s="4"/>
      <c r="U962" s="4"/>
      <c r="V962" s="4"/>
      <c r="W962" s="4"/>
      <c r="X962" s="4"/>
      <c r="Y962" s="4"/>
      <c r="Z962" s="4"/>
    </row>
    <row r="963" spans="1:26">
      <c r="A963" s="10"/>
      <c r="B963" s="10"/>
      <c r="C963" s="4"/>
      <c r="D963" s="10"/>
      <c r="E963" s="10"/>
      <c r="F963" s="4"/>
      <c r="G963" s="4"/>
      <c r="H963" s="4"/>
      <c r="I963" s="4"/>
      <c r="J963" s="4"/>
      <c r="K963" s="4"/>
      <c r="L963" s="4"/>
      <c r="M963" s="4"/>
      <c r="N963" s="4"/>
      <c r="O963" s="4"/>
      <c r="P963" s="4"/>
      <c r="Q963" s="4"/>
      <c r="R963" s="4"/>
      <c r="S963" s="4"/>
      <c r="T963" s="4"/>
      <c r="U963" s="4"/>
      <c r="V963" s="4"/>
      <c r="W963" s="4"/>
      <c r="X963" s="4"/>
      <c r="Y963" s="4"/>
      <c r="Z963" s="4"/>
    </row>
    <row r="964" spans="1:26">
      <c r="A964" s="10"/>
      <c r="B964" s="10"/>
      <c r="C964" s="4"/>
      <c r="D964" s="10"/>
      <c r="E964" s="10"/>
      <c r="F964" s="4"/>
      <c r="G964" s="4"/>
      <c r="H964" s="4"/>
      <c r="I964" s="4"/>
      <c r="J964" s="4"/>
      <c r="K964" s="4"/>
      <c r="L964" s="4"/>
      <c r="M964" s="4"/>
      <c r="N964" s="4"/>
      <c r="O964" s="4"/>
      <c r="P964" s="4"/>
      <c r="Q964" s="4"/>
      <c r="R964" s="4"/>
      <c r="S964" s="4"/>
      <c r="T964" s="4"/>
      <c r="U964" s="4"/>
      <c r="V964" s="4"/>
      <c r="W964" s="4"/>
      <c r="X964" s="4"/>
      <c r="Y964" s="4"/>
      <c r="Z964" s="4"/>
    </row>
    <row r="965" spans="1:26">
      <c r="A965" s="10"/>
      <c r="B965" s="10"/>
      <c r="C965" s="4"/>
      <c r="D965" s="10"/>
      <c r="E965" s="10"/>
      <c r="F965" s="4"/>
      <c r="G965" s="4"/>
      <c r="H965" s="4"/>
      <c r="I965" s="4"/>
      <c r="J965" s="4"/>
      <c r="K965" s="4"/>
      <c r="L965" s="4"/>
      <c r="M965" s="4"/>
      <c r="N965" s="4"/>
      <c r="O965" s="4"/>
      <c r="P965" s="4"/>
      <c r="Q965" s="4"/>
      <c r="R965" s="4"/>
      <c r="S965" s="4"/>
      <c r="T965" s="4"/>
      <c r="U965" s="4"/>
      <c r="V965" s="4"/>
      <c r="W965" s="4"/>
      <c r="X965" s="4"/>
      <c r="Y965" s="4"/>
      <c r="Z965" s="4"/>
    </row>
    <row r="966" spans="1:26">
      <c r="A966" s="10"/>
      <c r="B966" s="10"/>
      <c r="C966" s="4"/>
      <c r="D966" s="10"/>
      <c r="E966" s="10"/>
      <c r="F966" s="4"/>
      <c r="G966" s="4"/>
      <c r="H966" s="4"/>
      <c r="I966" s="4"/>
      <c r="J966" s="4"/>
      <c r="K966" s="4"/>
      <c r="L966" s="4"/>
      <c r="M966" s="4"/>
      <c r="N966" s="4"/>
      <c r="O966" s="4"/>
      <c r="P966" s="4"/>
      <c r="Q966" s="4"/>
      <c r="R966" s="4"/>
      <c r="S966" s="4"/>
      <c r="T966" s="4"/>
      <c r="U966" s="4"/>
      <c r="V966" s="4"/>
      <c r="W966" s="4"/>
      <c r="X966" s="4"/>
      <c r="Y966" s="4"/>
      <c r="Z966" s="4"/>
    </row>
    <row r="967" spans="1:26">
      <c r="A967" s="10"/>
      <c r="B967" s="10"/>
      <c r="C967" s="4"/>
      <c r="D967" s="10"/>
      <c r="E967" s="10"/>
      <c r="F967" s="4"/>
      <c r="G967" s="4"/>
      <c r="H967" s="4"/>
      <c r="I967" s="4"/>
      <c r="J967" s="4"/>
      <c r="K967" s="4"/>
      <c r="L967" s="4"/>
      <c r="M967" s="4"/>
      <c r="N967" s="4"/>
      <c r="O967" s="4"/>
      <c r="P967" s="4"/>
      <c r="Q967" s="4"/>
      <c r="R967" s="4"/>
      <c r="S967" s="4"/>
      <c r="T967" s="4"/>
      <c r="U967" s="4"/>
      <c r="V967" s="4"/>
      <c r="W967" s="4"/>
      <c r="X967" s="4"/>
      <c r="Y967" s="4"/>
      <c r="Z967" s="4"/>
    </row>
    <row r="968" spans="1:26">
      <c r="A968" s="10"/>
      <c r="B968" s="10"/>
      <c r="C968" s="4"/>
      <c r="D968" s="10"/>
      <c r="E968" s="10"/>
      <c r="F968" s="4"/>
      <c r="G968" s="4"/>
      <c r="H968" s="4"/>
      <c r="I968" s="4"/>
      <c r="J968" s="4"/>
      <c r="K968" s="4"/>
      <c r="L968" s="4"/>
      <c r="M968" s="4"/>
      <c r="N968" s="4"/>
      <c r="O968" s="4"/>
      <c r="P968" s="4"/>
      <c r="Q968" s="4"/>
      <c r="R968" s="4"/>
      <c r="S968" s="4"/>
      <c r="T968" s="4"/>
      <c r="U968" s="4"/>
      <c r="V968" s="4"/>
      <c r="W968" s="4"/>
      <c r="X968" s="4"/>
      <c r="Y968" s="4"/>
      <c r="Z968" s="4"/>
    </row>
    <row r="969" spans="1:26">
      <c r="A969" s="10"/>
      <c r="B969" s="10"/>
      <c r="C969" s="4"/>
      <c r="D969" s="10"/>
      <c r="E969" s="10"/>
      <c r="F969" s="4"/>
      <c r="G969" s="4"/>
      <c r="H969" s="4"/>
      <c r="I969" s="4"/>
      <c r="J969" s="4"/>
      <c r="K969" s="4"/>
      <c r="L969" s="4"/>
      <c r="M969" s="4"/>
      <c r="N969" s="4"/>
      <c r="O969" s="4"/>
      <c r="P969" s="4"/>
      <c r="Q969" s="4"/>
      <c r="R969" s="4"/>
      <c r="S969" s="4"/>
      <c r="T969" s="4"/>
      <c r="U969" s="4"/>
      <c r="V969" s="4"/>
      <c r="W969" s="4"/>
      <c r="X969" s="4"/>
      <c r="Y969" s="4"/>
      <c r="Z969" s="4"/>
    </row>
    <row r="970" spans="1:26">
      <c r="A970" s="10"/>
      <c r="B970" s="10"/>
      <c r="C970" s="4"/>
      <c r="D970" s="10"/>
      <c r="E970" s="10"/>
      <c r="F970" s="4"/>
      <c r="G970" s="4"/>
      <c r="H970" s="4"/>
      <c r="I970" s="4"/>
      <c r="J970" s="4"/>
      <c r="K970" s="4"/>
      <c r="L970" s="4"/>
      <c r="M970" s="4"/>
      <c r="N970" s="4"/>
      <c r="O970" s="4"/>
      <c r="P970" s="4"/>
      <c r="Q970" s="4"/>
      <c r="R970" s="4"/>
      <c r="S970" s="4"/>
      <c r="T970" s="4"/>
      <c r="U970" s="4"/>
      <c r="V970" s="4"/>
      <c r="W970" s="4"/>
      <c r="X970" s="4"/>
      <c r="Y970" s="4"/>
      <c r="Z970" s="4"/>
    </row>
    <row r="971" spans="1:26">
      <c r="A971" s="10"/>
      <c r="B971" s="10"/>
      <c r="C971" s="4"/>
      <c r="D971" s="10"/>
      <c r="E971" s="10"/>
      <c r="F971" s="4"/>
      <c r="G971" s="4"/>
      <c r="H971" s="4"/>
      <c r="I971" s="4"/>
      <c r="J971" s="4"/>
      <c r="K971" s="4"/>
      <c r="L971" s="4"/>
      <c r="M971" s="4"/>
      <c r="N971" s="4"/>
      <c r="O971" s="4"/>
      <c r="P971" s="4"/>
      <c r="Q971" s="4"/>
      <c r="R971" s="4"/>
      <c r="S971" s="4"/>
      <c r="T971" s="4"/>
      <c r="U971" s="4"/>
      <c r="V971" s="4"/>
      <c r="W971" s="4"/>
      <c r="X971" s="4"/>
      <c r="Y971" s="4"/>
      <c r="Z971" s="4"/>
    </row>
    <row r="972" spans="1:26">
      <c r="A972" s="10"/>
      <c r="B972" s="10"/>
      <c r="C972" s="4"/>
      <c r="D972" s="10"/>
      <c r="E972" s="10"/>
      <c r="F972" s="4"/>
      <c r="G972" s="4"/>
      <c r="H972" s="4"/>
      <c r="I972" s="4"/>
      <c r="J972" s="4"/>
      <c r="K972" s="4"/>
      <c r="L972" s="4"/>
      <c r="M972" s="4"/>
      <c r="N972" s="4"/>
      <c r="O972" s="4"/>
      <c r="P972" s="4"/>
      <c r="Q972" s="4"/>
      <c r="R972" s="4"/>
      <c r="S972" s="4"/>
      <c r="T972" s="4"/>
      <c r="U972" s="4"/>
      <c r="V972" s="4"/>
      <c r="W972" s="4"/>
      <c r="X972" s="4"/>
      <c r="Y972" s="4"/>
      <c r="Z972" s="4"/>
    </row>
    <row r="973" spans="1:26">
      <c r="A973" s="10"/>
      <c r="B973" s="10"/>
      <c r="C973" s="4"/>
      <c r="D973" s="10"/>
      <c r="E973" s="10"/>
      <c r="F973" s="4"/>
      <c r="G973" s="4"/>
      <c r="H973" s="4"/>
      <c r="I973" s="4"/>
      <c r="J973" s="4"/>
      <c r="K973" s="4"/>
      <c r="L973" s="4"/>
      <c r="M973" s="4"/>
      <c r="N973" s="4"/>
      <c r="O973" s="4"/>
      <c r="P973" s="4"/>
      <c r="Q973" s="4"/>
      <c r="R973" s="4"/>
      <c r="S973" s="4"/>
      <c r="T973" s="4"/>
      <c r="U973" s="4"/>
      <c r="V973" s="4"/>
      <c r="W973" s="4"/>
      <c r="X973" s="4"/>
      <c r="Y973" s="4"/>
      <c r="Z973" s="4"/>
    </row>
    <row r="974" spans="1:26">
      <c r="A974" s="10"/>
      <c r="B974" s="10"/>
      <c r="C974" s="4"/>
      <c r="D974" s="10"/>
      <c r="E974" s="10"/>
      <c r="F974" s="4"/>
      <c r="G974" s="4"/>
      <c r="H974" s="4"/>
      <c r="I974" s="4"/>
      <c r="J974" s="4"/>
      <c r="K974" s="4"/>
      <c r="L974" s="4"/>
      <c r="M974" s="4"/>
      <c r="N974" s="4"/>
      <c r="O974" s="4"/>
      <c r="P974" s="4"/>
      <c r="Q974" s="4"/>
      <c r="R974" s="4"/>
      <c r="S974" s="4"/>
      <c r="T974" s="4"/>
      <c r="U974" s="4"/>
      <c r="V974" s="4"/>
      <c r="W974" s="4"/>
      <c r="X974" s="4"/>
      <c r="Y974" s="4"/>
      <c r="Z974" s="4"/>
    </row>
    <row r="975" spans="1:26">
      <c r="A975" s="10"/>
      <c r="B975" s="10"/>
      <c r="C975" s="4"/>
      <c r="D975" s="10"/>
      <c r="E975" s="10"/>
      <c r="F975" s="4"/>
      <c r="G975" s="4"/>
      <c r="H975" s="4"/>
      <c r="I975" s="4"/>
      <c r="J975" s="4"/>
      <c r="K975" s="4"/>
      <c r="L975" s="4"/>
      <c r="M975" s="4"/>
      <c r="N975" s="4"/>
      <c r="O975" s="4"/>
      <c r="P975" s="4"/>
      <c r="Q975" s="4"/>
      <c r="R975" s="4"/>
      <c r="S975" s="4"/>
      <c r="T975" s="4"/>
      <c r="U975" s="4"/>
      <c r="V975" s="4"/>
      <c r="W975" s="4"/>
      <c r="X975" s="4"/>
      <c r="Y975" s="4"/>
      <c r="Z975" s="4"/>
    </row>
    <row r="976" spans="1:26">
      <c r="A976" s="10"/>
      <c r="B976" s="10"/>
      <c r="C976" s="4"/>
      <c r="D976" s="10"/>
      <c r="E976" s="10"/>
      <c r="F976" s="4"/>
      <c r="G976" s="4"/>
      <c r="H976" s="4"/>
      <c r="I976" s="4"/>
      <c r="J976" s="4"/>
      <c r="K976" s="4"/>
      <c r="L976" s="4"/>
      <c r="M976" s="4"/>
      <c r="N976" s="4"/>
      <c r="O976" s="4"/>
      <c r="P976" s="4"/>
      <c r="Q976" s="4"/>
      <c r="R976" s="4"/>
      <c r="S976" s="4"/>
      <c r="T976" s="4"/>
      <c r="U976" s="4"/>
      <c r="V976" s="4"/>
      <c r="W976" s="4"/>
      <c r="X976" s="4"/>
      <c r="Y976" s="4"/>
      <c r="Z976" s="4"/>
    </row>
    <row r="977" spans="1:26">
      <c r="A977" s="10"/>
      <c r="B977" s="10"/>
      <c r="C977" s="4"/>
      <c r="D977" s="10"/>
      <c r="E977" s="10"/>
      <c r="F977" s="4"/>
      <c r="G977" s="4"/>
      <c r="H977" s="4"/>
      <c r="I977" s="4"/>
      <c r="J977" s="4"/>
      <c r="K977" s="4"/>
      <c r="L977" s="4"/>
      <c r="M977" s="4"/>
      <c r="N977" s="4"/>
      <c r="O977" s="4"/>
      <c r="P977" s="4"/>
      <c r="Q977" s="4"/>
      <c r="R977" s="4"/>
      <c r="S977" s="4"/>
      <c r="T977" s="4"/>
      <c r="U977" s="4"/>
      <c r="V977" s="4"/>
      <c r="W977" s="4"/>
      <c r="X977" s="4"/>
      <c r="Y977" s="4"/>
      <c r="Z977" s="4"/>
    </row>
    <row r="978" spans="1:26">
      <c r="A978" s="10"/>
      <c r="B978" s="10"/>
      <c r="C978" s="4"/>
      <c r="D978" s="10"/>
      <c r="E978" s="10"/>
      <c r="F978" s="4"/>
      <c r="G978" s="4"/>
      <c r="H978" s="4"/>
      <c r="I978" s="4"/>
      <c r="J978" s="4"/>
      <c r="K978" s="4"/>
      <c r="L978" s="4"/>
      <c r="M978" s="4"/>
      <c r="N978" s="4"/>
      <c r="O978" s="4"/>
      <c r="P978" s="4"/>
      <c r="Q978" s="4"/>
      <c r="R978" s="4"/>
      <c r="S978" s="4"/>
      <c r="T978" s="4"/>
      <c r="U978" s="4"/>
      <c r="V978" s="4"/>
      <c r="W978" s="4"/>
      <c r="X978" s="4"/>
      <c r="Y978" s="4"/>
      <c r="Z978" s="4"/>
    </row>
    <row r="979" spans="1:26">
      <c r="A979" s="10"/>
      <c r="B979" s="10"/>
      <c r="C979" s="4"/>
      <c r="D979" s="10"/>
      <c r="E979" s="10"/>
      <c r="F979" s="4"/>
      <c r="G979" s="4"/>
      <c r="H979" s="4"/>
      <c r="I979" s="4"/>
      <c r="J979" s="4"/>
      <c r="K979" s="4"/>
      <c r="L979" s="4"/>
      <c r="M979" s="4"/>
      <c r="N979" s="4"/>
      <c r="O979" s="4"/>
      <c r="P979" s="4"/>
      <c r="Q979" s="4"/>
      <c r="R979" s="4"/>
      <c r="S979" s="4"/>
      <c r="T979" s="4"/>
      <c r="U979" s="4"/>
      <c r="V979" s="4"/>
      <c r="W979" s="4"/>
      <c r="X979" s="4"/>
      <c r="Y979" s="4"/>
      <c r="Z979" s="4"/>
    </row>
    <row r="980" spans="1:26">
      <c r="A980" s="10"/>
      <c r="B980" s="10"/>
      <c r="C980" s="4"/>
      <c r="D980" s="10"/>
      <c r="E980" s="10"/>
      <c r="F980" s="4"/>
      <c r="G980" s="4"/>
      <c r="H980" s="4"/>
      <c r="I980" s="4"/>
      <c r="J980" s="4"/>
      <c r="K980" s="4"/>
      <c r="L980" s="4"/>
      <c r="M980" s="4"/>
      <c r="N980" s="4"/>
      <c r="O980" s="4"/>
      <c r="P980" s="4"/>
      <c r="Q980" s="4"/>
      <c r="R980" s="4"/>
      <c r="S980" s="4"/>
      <c r="T980" s="4"/>
      <c r="U980" s="4"/>
      <c r="V980" s="4"/>
      <c r="W980" s="4"/>
      <c r="X980" s="4"/>
      <c r="Y980" s="4"/>
      <c r="Z980" s="4"/>
    </row>
    <row r="981" spans="1:26">
      <c r="A981" s="10"/>
      <c r="B981" s="10"/>
      <c r="C981" s="4"/>
      <c r="D981" s="10"/>
      <c r="E981" s="10"/>
      <c r="F981" s="4"/>
      <c r="G981" s="4"/>
      <c r="H981" s="4"/>
      <c r="I981" s="4"/>
      <c r="J981" s="4"/>
      <c r="K981" s="4"/>
      <c r="L981" s="4"/>
      <c r="M981" s="4"/>
      <c r="N981" s="4"/>
      <c r="O981" s="4"/>
      <c r="P981" s="4"/>
      <c r="Q981" s="4"/>
      <c r="R981" s="4"/>
      <c r="S981" s="4"/>
      <c r="T981" s="4"/>
      <c r="U981" s="4"/>
      <c r="V981" s="4"/>
      <c r="W981" s="4"/>
      <c r="X981" s="4"/>
      <c r="Y981" s="4"/>
      <c r="Z981" s="4"/>
    </row>
    <row r="982" spans="1:26">
      <c r="A982" s="10"/>
      <c r="B982" s="10"/>
      <c r="C982" s="4"/>
      <c r="D982" s="10"/>
      <c r="E982" s="10"/>
      <c r="F982" s="4"/>
      <c r="G982" s="4"/>
      <c r="H982" s="4"/>
      <c r="I982" s="4"/>
      <c r="J982" s="4"/>
      <c r="K982" s="4"/>
      <c r="L982" s="4"/>
      <c r="M982" s="4"/>
      <c r="N982" s="4"/>
      <c r="O982" s="4"/>
      <c r="P982" s="4"/>
      <c r="Q982" s="4"/>
      <c r="R982" s="4"/>
      <c r="S982" s="4"/>
      <c r="T982" s="4"/>
      <c r="U982" s="4"/>
      <c r="V982" s="4"/>
      <c r="W982" s="4"/>
      <c r="X982" s="4"/>
      <c r="Y982" s="4"/>
      <c r="Z982" s="4"/>
    </row>
    <row r="983" spans="1:26">
      <c r="A983" s="10"/>
      <c r="B983" s="10"/>
      <c r="C983" s="4"/>
      <c r="D983" s="10"/>
      <c r="E983" s="10"/>
      <c r="F983" s="4"/>
      <c r="G983" s="4"/>
      <c r="H983" s="4"/>
      <c r="I983" s="4"/>
      <c r="J983" s="4"/>
      <c r="K983" s="4"/>
      <c r="L983" s="4"/>
      <c r="M983" s="4"/>
      <c r="N983" s="4"/>
      <c r="O983" s="4"/>
      <c r="P983" s="4"/>
      <c r="Q983" s="4"/>
      <c r="R983" s="4"/>
      <c r="S983" s="4"/>
      <c r="T983" s="4"/>
      <c r="U983" s="4"/>
      <c r="V983" s="4"/>
      <c r="W983" s="4"/>
      <c r="X983" s="4"/>
      <c r="Y983" s="4"/>
      <c r="Z983" s="4"/>
    </row>
    <row r="984" spans="1:26">
      <c r="A984" s="10"/>
      <c r="B984" s="10"/>
      <c r="C984" s="4"/>
      <c r="D984" s="10"/>
      <c r="E984" s="10"/>
      <c r="F984" s="4"/>
      <c r="G984" s="4"/>
      <c r="H984" s="4"/>
      <c r="I984" s="4"/>
      <c r="J984" s="4"/>
      <c r="K984" s="4"/>
      <c r="L984" s="4"/>
      <c r="M984" s="4"/>
      <c r="N984" s="4"/>
      <c r="O984" s="4"/>
      <c r="P984" s="4"/>
      <c r="Q984" s="4"/>
      <c r="R984" s="4"/>
      <c r="S984" s="4"/>
      <c r="T984" s="4"/>
      <c r="U984" s="4"/>
      <c r="V984" s="4"/>
      <c r="W984" s="4"/>
      <c r="X984" s="4"/>
      <c r="Y984" s="4"/>
      <c r="Z984" s="4"/>
    </row>
    <row r="985" spans="1:26">
      <c r="A985" s="10"/>
      <c r="B985" s="10"/>
      <c r="C985" s="4"/>
      <c r="D985" s="10"/>
      <c r="E985" s="10"/>
      <c r="F985" s="4"/>
      <c r="G985" s="4"/>
      <c r="H985" s="4"/>
      <c r="I985" s="4"/>
      <c r="J985" s="4"/>
      <c r="K985" s="4"/>
      <c r="L985" s="4"/>
      <c r="M985" s="4"/>
      <c r="N985" s="4"/>
      <c r="O985" s="4"/>
      <c r="P985" s="4"/>
      <c r="Q985" s="4"/>
      <c r="R985" s="4"/>
      <c r="S985" s="4"/>
      <c r="T985" s="4"/>
      <c r="U985" s="4"/>
      <c r="V985" s="4"/>
      <c r="W985" s="4"/>
      <c r="X985" s="4"/>
      <c r="Y985" s="4"/>
      <c r="Z985" s="4"/>
    </row>
    <row r="986" spans="1:26">
      <c r="A986" s="10"/>
      <c r="B986" s="10"/>
      <c r="C986" s="4"/>
      <c r="D986" s="10"/>
      <c r="E986" s="10"/>
      <c r="F986" s="4"/>
      <c r="G986" s="4"/>
      <c r="H986" s="4"/>
      <c r="I986" s="4"/>
      <c r="J986" s="4"/>
      <c r="K986" s="4"/>
      <c r="L986" s="4"/>
      <c r="M986" s="4"/>
      <c r="N986" s="4"/>
      <c r="O986" s="4"/>
      <c r="P986" s="4"/>
      <c r="Q986" s="4"/>
      <c r="R986" s="4"/>
      <c r="S986" s="4"/>
      <c r="T986" s="4"/>
      <c r="U986" s="4"/>
      <c r="V986" s="4"/>
      <c r="W986" s="4"/>
      <c r="X986" s="4"/>
      <c r="Y986" s="4"/>
      <c r="Z986" s="4"/>
    </row>
    <row r="987" spans="1:26">
      <c r="A987" s="10"/>
      <c r="B987" s="10"/>
      <c r="C987" s="4"/>
      <c r="D987" s="10"/>
      <c r="E987" s="10"/>
      <c r="F987" s="4"/>
      <c r="G987" s="4"/>
      <c r="H987" s="4"/>
      <c r="I987" s="4"/>
      <c r="J987" s="4"/>
      <c r="K987" s="4"/>
      <c r="L987" s="4"/>
      <c r="M987" s="4"/>
      <c r="N987" s="4"/>
      <c r="O987" s="4"/>
      <c r="P987" s="4"/>
      <c r="Q987" s="4"/>
      <c r="R987" s="4"/>
      <c r="S987" s="4"/>
      <c r="T987" s="4"/>
      <c r="U987" s="4"/>
      <c r="V987" s="4"/>
      <c r="W987" s="4"/>
      <c r="X987" s="4"/>
      <c r="Y987" s="4"/>
      <c r="Z987" s="4"/>
    </row>
    <row r="988" spans="1:26">
      <c r="A988" s="10"/>
      <c r="B988" s="10"/>
      <c r="C988" s="4"/>
      <c r="D988" s="10"/>
      <c r="E988" s="10"/>
      <c r="F988" s="4"/>
      <c r="G988" s="4"/>
      <c r="H988" s="4"/>
      <c r="I988" s="4"/>
      <c r="J988" s="4"/>
      <c r="K988" s="4"/>
      <c r="L988" s="4"/>
      <c r="M988" s="4"/>
      <c r="N988" s="4"/>
      <c r="O988" s="4"/>
      <c r="P988" s="4"/>
      <c r="Q988" s="4"/>
      <c r="R988" s="4"/>
      <c r="S988" s="4"/>
      <c r="T988" s="4"/>
      <c r="U988" s="4"/>
      <c r="V988" s="4"/>
      <c r="W988" s="4"/>
      <c r="X988" s="4"/>
      <c r="Y988" s="4"/>
      <c r="Z988" s="4"/>
    </row>
    <row r="989" spans="1:26">
      <c r="A989" s="10"/>
      <c r="B989" s="10"/>
      <c r="C989" s="4"/>
      <c r="D989" s="10"/>
      <c r="E989" s="10"/>
      <c r="F989" s="4"/>
      <c r="G989" s="4"/>
      <c r="H989" s="4"/>
      <c r="I989" s="4"/>
      <c r="J989" s="4"/>
      <c r="K989" s="4"/>
      <c r="L989" s="4"/>
      <c r="M989" s="4"/>
      <c r="N989" s="4"/>
      <c r="O989" s="4"/>
      <c r="P989" s="4"/>
      <c r="Q989" s="4"/>
      <c r="R989" s="4"/>
      <c r="S989" s="4"/>
      <c r="T989" s="4"/>
      <c r="U989" s="4"/>
      <c r="V989" s="4"/>
      <c r="W989" s="4"/>
      <c r="X989" s="4"/>
      <c r="Y989" s="4"/>
      <c r="Z989" s="4"/>
    </row>
    <row r="990" spans="1:26">
      <c r="A990" s="10"/>
      <c r="B990" s="10"/>
      <c r="C990" s="4"/>
      <c r="D990" s="10"/>
      <c r="E990" s="10"/>
      <c r="F990" s="4"/>
      <c r="G990" s="4"/>
      <c r="H990" s="4"/>
      <c r="I990" s="4"/>
      <c r="J990" s="4"/>
      <c r="K990" s="4"/>
      <c r="L990" s="4"/>
      <c r="M990" s="4"/>
      <c r="N990" s="4"/>
      <c r="O990" s="4"/>
      <c r="P990" s="4"/>
      <c r="Q990" s="4"/>
      <c r="R990" s="4"/>
      <c r="S990" s="4"/>
      <c r="T990" s="4"/>
      <c r="U990" s="4"/>
      <c r="V990" s="4"/>
      <c r="W990" s="4"/>
      <c r="X990" s="4"/>
      <c r="Y990" s="4"/>
      <c r="Z990" s="4"/>
    </row>
    <row r="991" spans="1:26">
      <c r="A991" s="10"/>
      <c r="B991" s="10"/>
      <c r="C991" s="4"/>
      <c r="D991" s="10"/>
      <c r="E991" s="10"/>
      <c r="F991" s="4"/>
      <c r="G991" s="4"/>
      <c r="H991" s="4"/>
      <c r="I991" s="4"/>
      <c r="J991" s="4"/>
      <c r="K991" s="4"/>
      <c r="L991" s="4"/>
      <c r="M991" s="4"/>
      <c r="N991" s="4"/>
      <c r="O991" s="4"/>
      <c r="P991" s="4"/>
      <c r="Q991" s="4"/>
      <c r="R991" s="4"/>
      <c r="S991" s="4"/>
      <c r="T991" s="4"/>
      <c r="U991" s="4"/>
      <c r="V991" s="4"/>
      <c r="W991" s="4"/>
      <c r="X991" s="4"/>
      <c r="Y991" s="4"/>
      <c r="Z991" s="4"/>
    </row>
    <row r="992" spans="1:26">
      <c r="A992" s="10"/>
      <c r="B992" s="10"/>
      <c r="C992" s="4"/>
      <c r="D992" s="10"/>
      <c r="E992" s="10"/>
      <c r="F992" s="4"/>
      <c r="G992" s="4"/>
      <c r="H992" s="4"/>
      <c r="I992" s="4"/>
      <c r="J992" s="4"/>
      <c r="K992" s="4"/>
      <c r="L992" s="4"/>
      <c r="M992" s="4"/>
      <c r="N992" s="4"/>
      <c r="O992" s="4"/>
      <c r="P992" s="4"/>
      <c r="Q992" s="4"/>
      <c r="R992" s="4"/>
      <c r="S992" s="4"/>
      <c r="T992" s="4"/>
      <c r="U992" s="4"/>
      <c r="V992" s="4"/>
      <c r="W992" s="4"/>
      <c r="X992" s="4"/>
      <c r="Y992" s="4"/>
      <c r="Z992" s="4"/>
    </row>
    <row r="993" spans="1:26">
      <c r="A993" s="10"/>
      <c r="B993" s="10"/>
      <c r="C993" s="4"/>
      <c r="D993" s="10"/>
      <c r="E993" s="10"/>
      <c r="F993" s="4"/>
      <c r="G993" s="4"/>
      <c r="H993" s="4"/>
      <c r="I993" s="4"/>
      <c r="J993" s="4"/>
      <c r="K993" s="4"/>
      <c r="L993" s="4"/>
      <c r="M993" s="4"/>
      <c r="N993" s="4"/>
      <c r="O993" s="4"/>
      <c r="P993" s="4"/>
      <c r="Q993" s="4"/>
      <c r="R993" s="4"/>
      <c r="S993" s="4"/>
      <c r="T993" s="4"/>
      <c r="U993" s="4"/>
      <c r="V993" s="4"/>
      <c r="W993" s="4"/>
      <c r="X993" s="4"/>
      <c r="Y993" s="4"/>
      <c r="Z993" s="4"/>
    </row>
    <row r="994" spans="1:26">
      <c r="A994" s="10"/>
      <c r="B994" s="10"/>
      <c r="C994" s="4"/>
      <c r="D994" s="10"/>
      <c r="E994" s="10"/>
      <c r="F994" s="4"/>
      <c r="G994" s="4"/>
      <c r="H994" s="4"/>
      <c r="I994" s="4"/>
      <c r="J994" s="4"/>
      <c r="K994" s="4"/>
      <c r="L994" s="4"/>
      <c r="M994" s="4"/>
      <c r="N994" s="4"/>
      <c r="O994" s="4"/>
      <c r="P994" s="4"/>
      <c r="Q994" s="4"/>
      <c r="R994" s="4"/>
      <c r="S994" s="4"/>
      <c r="T994" s="4"/>
      <c r="U994" s="4"/>
      <c r="V994" s="4"/>
      <c r="W994" s="4"/>
      <c r="X994" s="4"/>
      <c r="Y994" s="4"/>
      <c r="Z994" s="4"/>
    </row>
    <row r="995" spans="1:26">
      <c r="A995" s="10"/>
      <c r="B995" s="10"/>
      <c r="C995" s="4"/>
      <c r="D995" s="10"/>
      <c r="E995" s="10"/>
      <c r="F995" s="4"/>
      <c r="G995" s="4"/>
      <c r="H995" s="4"/>
      <c r="I995" s="4"/>
      <c r="J995" s="4"/>
      <c r="K995" s="4"/>
      <c r="L995" s="4"/>
      <c r="M995" s="4"/>
      <c r="N995" s="4"/>
      <c r="O995" s="4"/>
      <c r="P995" s="4"/>
      <c r="Q995" s="4"/>
      <c r="R995" s="4"/>
      <c r="S995" s="4"/>
      <c r="T995" s="4"/>
      <c r="U995" s="4"/>
      <c r="V995" s="4"/>
      <c r="W995" s="4"/>
      <c r="X995" s="4"/>
      <c r="Y995" s="4"/>
      <c r="Z995" s="4"/>
    </row>
    <row r="996" spans="1:26">
      <c r="A996" s="10"/>
      <c r="B996" s="10"/>
      <c r="C996" s="4"/>
      <c r="D996" s="10"/>
      <c r="E996" s="10"/>
      <c r="F996" s="4"/>
      <c r="G996" s="4"/>
      <c r="H996" s="4"/>
      <c r="I996" s="4"/>
      <c r="J996" s="4"/>
      <c r="K996" s="4"/>
      <c r="L996" s="4"/>
      <c r="M996" s="4"/>
      <c r="N996" s="4"/>
      <c r="O996" s="4"/>
      <c r="P996" s="4"/>
      <c r="Q996" s="4"/>
      <c r="R996" s="4"/>
      <c r="S996" s="4"/>
      <c r="T996" s="4"/>
      <c r="U996" s="4"/>
      <c r="V996" s="4"/>
      <c r="W996" s="4"/>
      <c r="X996" s="4"/>
      <c r="Y996" s="4"/>
      <c r="Z996" s="4"/>
    </row>
    <row r="997" spans="1:26">
      <c r="A997" s="10"/>
      <c r="B997" s="10"/>
      <c r="C997" s="4"/>
      <c r="D997" s="10"/>
      <c r="E997" s="10"/>
      <c r="F997" s="4"/>
      <c r="G997" s="4"/>
      <c r="H997" s="4"/>
      <c r="I997" s="4"/>
      <c r="J997" s="4"/>
      <c r="K997" s="4"/>
      <c r="L997" s="4"/>
      <c r="M997" s="4"/>
      <c r="N997" s="4"/>
      <c r="O997" s="4"/>
      <c r="P997" s="4"/>
      <c r="Q997" s="4"/>
      <c r="R997" s="4"/>
      <c r="S997" s="4"/>
      <c r="T997" s="4"/>
      <c r="U997" s="4"/>
      <c r="V997" s="4"/>
      <c r="W997" s="4"/>
      <c r="X997" s="4"/>
      <c r="Y997" s="4"/>
      <c r="Z997" s="4"/>
    </row>
    <row r="998" spans="1:26">
      <c r="A998" s="10"/>
      <c r="B998" s="10"/>
      <c r="C998" s="4"/>
      <c r="D998" s="10"/>
      <c r="E998" s="10"/>
      <c r="F998" s="4"/>
      <c r="G998" s="4"/>
      <c r="H998" s="4"/>
      <c r="I998" s="4"/>
      <c r="J998" s="4"/>
      <c r="K998" s="4"/>
      <c r="L998" s="4"/>
      <c r="M998" s="4"/>
      <c r="N998" s="4"/>
      <c r="O998" s="4"/>
      <c r="P998" s="4"/>
      <c r="Q998" s="4"/>
      <c r="R998" s="4"/>
      <c r="S998" s="4"/>
      <c r="T998" s="4"/>
      <c r="U998" s="4"/>
      <c r="V998" s="4"/>
      <c r="W998" s="4"/>
      <c r="X998" s="4"/>
      <c r="Y998" s="4"/>
      <c r="Z998" s="4"/>
    </row>
    <row r="999" spans="1:26">
      <c r="A999" s="10"/>
      <c r="B999" s="10"/>
      <c r="C999" s="4"/>
      <c r="D999" s="10"/>
      <c r="E999" s="10"/>
      <c r="F999" s="4"/>
      <c r="G999" s="4"/>
      <c r="H999" s="4"/>
      <c r="I999" s="4"/>
      <c r="J999" s="4"/>
      <c r="K999" s="4"/>
      <c r="L999" s="4"/>
      <c r="M999" s="4"/>
      <c r="N999" s="4"/>
      <c r="O999" s="4"/>
      <c r="P999" s="4"/>
      <c r="Q999" s="4"/>
      <c r="R999" s="4"/>
      <c r="S999" s="4"/>
      <c r="T999" s="4"/>
      <c r="U999" s="4"/>
      <c r="V999" s="4"/>
      <c r="W999" s="4"/>
      <c r="X999" s="4"/>
      <c r="Y999" s="4"/>
      <c r="Z999" s="4"/>
    </row>
    <row r="1000" spans="1:26">
      <c r="A1000" s="10"/>
      <c r="B1000" s="10"/>
      <c r="C1000" s="4"/>
      <c r="D1000" s="10"/>
      <c r="E1000" s="10"/>
      <c r="F1000" s="4"/>
      <c r="G1000" s="4"/>
      <c r="H1000" s="4"/>
      <c r="I1000" s="4"/>
      <c r="J1000" s="4"/>
      <c r="K1000" s="4"/>
      <c r="L1000" s="4"/>
      <c r="M1000" s="4"/>
      <c r="N1000" s="4"/>
      <c r="O1000" s="4"/>
      <c r="P1000" s="4"/>
      <c r="Q1000" s="4"/>
      <c r="R1000" s="4"/>
      <c r="S1000" s="4"/>
      <c r="T1000" s="4"/>
      <c r="U1000" s="4"/>
      <c r="V1000" s="4"/>
      <c r="W1000" s="4"/>
      <c r="X1000" s="4"/>
      <c r="Y1000" s="4"/>
      <c r="Z1000" s="4"/>
    </row>
    <row r="1001" spans="1:26">
      <c r="A1001" s="10"/>
      <c r="B1001" s="10"/>
      <c r="C1001" s="4"/>
      <c r="D1001" s="10"/>
      <c r="E1001" s="10"/>
      <c r="F1001" s="4"/>
      <c r="G1001" s="4"/>
      <c r="H1001" s="4"/>
      <c r="I1001" s="4"/>
      <c r="J1001" s="4"/>
      <c r="K1001" s="4"/>
      <c r="L1001" s="4"/>
      <c r="M1001" s="4"/>
      <c r="N1001" s="4"/>
      <c r="O1001" s="4"/>
      <c r="P1001" s="4"/>
      <c r="Q1001" s="4"/>
      <c r="R1001" s="4"/>
      <c r="S1001" s="4"/>
      <c r="T1001" s="4"/>
      <c r="U1001" s="4"/>
      <c r="V1001" s="4"/>
      <c r="W1001" s="4"/>
      <c r="X1001" s="4"/>
      <c r="Y1001" s="4"/>
      <c r="Z1001" s="4"/>
    </row>
    <row r="1002" spans="1:26">
      <c r="A1002" s="10"/>
      <c r="B1002" s="10"/>
      <c r="C1002" s="4"/>
      <c r="D1002" s="10"/>
      <c r="E1002" s="10"/>
      <c r="F1002" s="4"/>
      <c r="G1002" s="4"/>
      <c r="H1002" s="4"/>
      <c r="I1002" s="4"/>
      <c r="J1002" s="4"/>
      <c r="K1002" s="4"/>
      <c r="L1002" s="4"/>
      <c r="M1002" s="4"/>
      <c r="N1002" s="4"/>
      <c r="O1002" s="4"/>
      <c r="P1002" s="4"/>
      <c r="Q1002" s="4"/>
      <c r="R1002" s="4"/>
      <c r="S1002" s="4"/>
      <c r="T1002" s="4"/>
      <c r="U1002" s="4"/>
      <c r="V1002" s="4"/>
      <c r="W1002" s="4"/>
      <c r="X1002" s="4"/>
      <c r="Y1002" s="4"/>
      <c r="Z1002" s="4"/>
    </row>
    <row r="1003" spans="1:26">
      <c r="A1003" s="10"/>
      <c r="B1003" s="10"/>
      <c r="C1003" s="4"/>
      <c r="D1003" s="10"/>
      <c r="E1003" s="10"/>
      <c r="F1003" s="4"/>
      <c r="G1003" s="4"/>
      <c r="H1003" s="4"/>
      <c r="I1003" s="4"/>
      <c r="J1003" s="4"/>
      <c r="K1003" s="4"/>
      <c r="L1003" s="4"/>
      <c r="M1003" s="4"/>
      <c r="N1003" s="4"/>
      <c r="O1003" s="4"/>
      <c r="P1003" s="4"/>
      <c r="Q1003" s="4"/>
      <c r="R1003" s="4"/>
      <c r="S1003" s="4"/>
      <c r="T1003" s="4"/>
      <c r="U1003" s="4"/>
      <c r="V1003" s="4"/>
      <c r="W1003" s="4"/>
      <c r="X1003" s="4"/>
      <c r="Y1003" s="4"/>
      <c r="Z1003" s="4"/>
    </row>
    <row r="1004" spans="1:26">
      <c r="A1004" s="10"/>
      <c r="B1004" s="10"/>
      <c r="C1004" s="4"/>
      <c r="D1004" s="10"/>
      <c r="E1004" s="10"/>
      <c r="F1004" s="4"/>
      <c r="G1004" s="4"/>
      <c r="H1004" s="4"/>
      <c r="I1004" s="4"/>
      <c r="J1004" s="4"/>
      <c r="K1004" s="4"/>
      <c r="L1004" s="4"/>
      <c r="M1004" s="4"/>
      <c r="N1004" s="4"/>
      <c r="O1004" s="4"/>
      <c r="P1004" s="4"/>
      <c r="Q1004" s="4"/>
      <c r="R1004" s="4"/>
      <c r="S1004" s="4"/>
      <c r="T1004" s="4"/>
      <c r="U1004" s="4"/>
      <c r="V1004" s="4"/>
      <c r="W1004" s="4"/>
      <c r="X1004" s="4"/>
      <c r="Y1004" s="4"/>
      <c r="Z1004" s="4"/>
    </row>
    <row r="1005" spans="1:26">
      <c r="A1005" s="10"/>
      <c r="B1005" s="10"/>
      <c r="C1005" s="4"/>
      <c r="D1005" s="10"/>
      <c r="E1005" s="10"/>
      <c r="F1005" s="4"/>
      <c r="G1005" s="4"/>
      <c r="H1005" s="4"/>
      <c r="I1005" s="4"/>
      <c r="J1005" s="4"/>
      <c r="K1005" s="4"/>
      <c r="L1005" s="4"/>
      <c r="M1005" s="4"/>
      <c r="N1005" s="4"/>
      <c r="O1005" s="4"/>
      <c r="P1005" s="4"/>
      <c r="Q1005" s="4"/>
      <c r="R1005" s="4"/>
      <c r="S1005" s="4"/>
      <c r="T1005" s="4"/>
      <c r="U1005" s="4"/>
      <c r="V1005" s="4"/>
      <c r="W1005" s="4"/>
      <c r="X1005" s="4"/>
      <c r="Y1005" s="4"/>
      <c r="Z1005" s="4"/>
    </row>
  </sheetData>
  <hyperlinks>
    <hyperlink ref="B15" r:id="rId1" xr:uid="{00000000-0004-0000-0000-000000000000}"/>
    <hyperlink ref="D15" r:id="rId2" xr:uid="{00000000-0004-0000-0000-000001000000}"/>
    <hyperlink ref="E15" r:id="rId3" xr:uid="{00000000-0004-0000-0000-000002000000}"/>
    <hyperlink ref="B17" r:id="rId4" xr:uid="{00000000-0004-0000-0000-000003000000}"/>
    <hyperlink ref="E17" r:id="rId5" xr:uid="{00000000-0004-0000-0000-000004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082EC7-7108-4845-990A-B19F0CD37F9F}">
  <dimension ref="A1:G6"/>
  <sheetViews>
    <sheetView workbookViewId="0">
      <selection activeCell="G2" sqref="G2"/>
    </sheetView>
  </sheetViews>
  <sheetFormatPr defaultRowHeight="13.2"/>
  <cols>
    <col min="1" max="1" width="17.21875" style="212" customWidth="1"/>
    <col min="2" max="2" width="91.33203125" style="212" customWidth="1"/>
    <col min="3" max="3" width="32.88671875" style="214" customWidth="1"/>
    <col min="4" max="4" width="24" style="212" customWidth="1"/>
    <col min="5" max="5" width="24.44140625" style="212" customWidth="1"/>
    <col min="6" max="6" width="22.6640625" style="212" customWidth="1"/>
    <col min="7" max="7" width="29.109375" style="212" bestFit="1" customWidth="1"/>
    <col min="8" max="16384" width="8.88671875" style="212"/>
  </cols>
  <sheetData>
    <row r="1" spans="1:7">
      <c r="B1" s="213" t="s">
        <v>1769</v>
      </c>
      <c r="C1" s="214" t="s">
        <v>1764</v>
      </c>
      <c r="D1" s="212" t="s">
        <v>1765</v>
      </c>
      <c r="E1" s="212" t="s">
        <v>12</v>
      </c>
      <c r="F1" s="212" t="s">
        <v>1766</v>
      </c>
      <c r="G1" s="212" t="s">
        <v>1773</v>
      </c>
    </row>
    <row r="2" spans="1:7" ht="52.8">
      <c r="A2" s="212" t="s">
        <v>1760</v>
      </c>
      <c r="B2" s="216" t="s">
        <v>1770</v>
      </c>
      <c r="G2" s="212" t="s">
        <v>1782</v>
      </c>
    </row>
    <row r="3" spans="1:7" ht="158.4">
      <c r="A3" s="212" t="s">
        <v>1761</v>
      </c>
      <c r="B3" s="216" t="s">
        <v>1771</v>
      </c>
      <c r="C3" s="215" t="s">
        <v>1776</v>
      </c>
      <c r="D3" s="215" t="s">
        <v>1777</v>
      </c>
      <c r="E3" s="214" t="s">
        <v>1778</v>
      </c>
      <c r="F3" s="214" t="s">
        <v>1779</v>
      </c>
      <c r="G3" s="214" t="s">
        <v>1774</v>
      </c>
    </row>
    <row r="4" spans="1:7" ht="105.6">
      <c r="A4" s="212" t="s">
        <v>1762</v>
      </c>
      <c r="B4" s="216" t="s">
        <v>1781</v>
      </c>
      <c r="D4" s="212" t="s">
        <v>1775</v>
      </c>
      <c r="G4" s="214" t="s">
        <v>1780</v>
      </c>
    </row>
    <row r="5" spans="1:7" ht="52.8">
      <c r="A5" s="212" t="s">
        <v>1763</v>
      </c>
      <c r="B5" s="216" t="s">
        <v>1772</v>
      </c>
    </row>
    <row r="6" spans="1:7" ht="26.4">
      <c r="A6" s="213" t="s">
        <v>1768</v>
      </c>
      <c r="B6" s="213"/>
      <c r="C6" s="215" t="s">
        <v>1767</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46F60-D1D4-498C-89D8-833BF671388C}">
  <sheetPr filterMode="1"/>
  <dimension ref="A1:BL345"/>
  <sheetViews>
    <sheetView zoomScale="70" zoomScaleNormal="70" workbookViewId="0">
      <pane ySplit="1" topLeftCell="A139" activePane="bottomLeft" state="frozen"/>
      <selection activeCell="B1" sqref="B1"/>
      <selection pane="bottomLeft" activeCell="B1" sqref="B1:BJ146"/>
    </sheetView>
  </sheetViews>
  <sheetFormatPr defaultColWidth="9" defaultRowHeight="32.4" customHeight="1"/>
  <cols>
    <col min="1" max="1" width="18.33203125" style="290" hidden="1" customWidth="1"/>
    <col min="2" max="2" width="14.21875" style="290" bestFit="1" customWidth="1"/>
    <col min="3" max="3" width="22.88671875" style="258" bestFit="1" customWidth="1"/>
    <col min="4" max="4" width="9.6640625" style="258" hidden="1" customWidth="1"/>
    <col min="5" max="5" width="16.77734375" style="290" hidden="1" customWidth="1"/>
    <col min="6" max="6" width="36" style="290" bestFit="1" customWidth="1"/>
    <col min="7" max="7" width="22" style="159" hidden="1" customWidth="1"/>
    <col min="8" max="8" width="42" style="159" hidden="1" customWidth="1"/>
    <col min="9" max="9" width="28.88671875" style="159" hidden="1" customWidth="1"/>
    <col min="10" max="10" width="16.33203125" style="290" hidden="1" customWidth="1"/>
    <col min="11" max="11" width="52.88671875" style="159" hidden="1" customWidth="1"/>
    <col min="12" max="12" width="10.21875" style="159" hidden="1" customWidth="1"/>
    <col min="13" max="13" width="27.88671875" style="193" bestFit="1" customWidth="1"/>
    <col min="14" max="14" width="38.33203125" style="306" hidden="1" customWidth="1"/>
    <col min="15" max="15" width="31.77734375" style="290" hidden="1" customWidth="1"/>
    <col min="16" max="17" width="90.88671875" style="498" hidden="1" customWidth="1"/>
    <col min="18" max="18" width="25.109375" style="159" hidden="1" customWidth="1"/>
    <col min="19" max="19" width="39.6640625" style="159" hidden="1" customWidth="1"/>
    <col min="20" max="20" width="30.44140625" style="159" hidden="1" customWidth="1"/>
    <col min="21" max="21" width="27.6640625" style="165" hidden="1" customWidth="1"/>
    <col min="22" max="22" width="28.33203125" style="159" hidden="1" customWidth="1"/>
    <col min="23" max="23" width="31.6640625" style="500" customWidth="1"/>
    <col min="24" max="24" width="26.6640625" style="314" hidden="1" customWidth="1"/>
    <col min="25" max="25" width="27.77734375" style="316" hidden="1" customWidth="1"/>
    <col min="26" max="26" width="31.88671875" style="316" hidden="1" customWidth="1"/>
    <col min="27" max="27" width="53.6640625" style="159" hidden="1" customWidth="1"/>
    <col min="28" max="28" width="38.33203125" style="159" hidden="1" customWidth="1"/>
    <col min="29" max="29" width="16.77734375" style="159" hidden="1" customWidth="1"/>
    <col min="30" max="30" width="32.77734375" style="159" hidden="1" customWidth="1"/>
    <col min="31" max="31" width="42.21875" style="159" hidden="1" customWidth="1"/>
    <col min="32" max="32" width="44.6640625" style="159" hidden="1" customWidth="1"/>
    <col min="33" max="33" width="21.109375" style="159" hidden="1" customWidth="1"/>
    <col min="34" max="34" width="23.88671875" style="159" hidden="1" customWidth="1"/>
    <col min="35" max="35" width="19.6640625" style="159" hidden="1" customWidth="1"/>
    <col min="36" max="36" width="19" style="165" hidden="1" customWidth="1"/>
    <col min="37" max="37" width="19.44140625" style="165" hidden="1" customWidth="1"/>
    <col min="38" max="38" width="23.77734375" style="193" bestFit="1" customWidth="1"/>
    <col min="39" max="39" width="35.77734375" style="306" hidden="1" customWidth="1"/>
    <col min="40" max="40" width="23.77734375" style="306" hidden="1" customWidth="1"/>
    <col min="41" max="41" width="26.88671875" style="306" hidden="1" customWidth="1"/>
    <col min="42" max="42" width="27.77734375" style="306" hidden="1" customWidth="1"/>
    <col min="43" max="43" width="34.44140625" style="159" hidden="1" customWidth="1"/>
    <col min="44" max="44" width="52.88671875" style="159" hidden="1" customWidth="1"/>
    <col min="45" max="45" width="31.6640625" style="159" hidden="1" customWidth="1"/>
    <col min="46" max="46" width="17.109375" style="159" hidden="1" customWidth="1"/>
    <col min="47" max="47" width="31.5546875" style="159" hidden="1" customWidth="1"/>
    <col min="48" max="48" width="12" style="159" hidden="1" customWidth="1"/>
    <col min="49" max="49" width="11.44140625" style="159" hidden="1" customWidth="1"/>
    <col min="50" max="50" width="12" style="165" hidden="1" customWidth="1"/>
    <col min="51" max="51" width="16" style="159" hidden="1" customWidth="1"/>
    <col min="52" max="52" width="36.77734375" style="159" hidden="1" customWidth="1"/>
    <col min="53" max="53" width="14.21875" style="193" bestFit="1" customWidth="1"/>
    <col min="54" max="54" width="20.33203125" style="306" hidden="1" customWidth="1"/>
    <col min="55" max="55" width="44" style="306" hidden="1" customWidth="1"/>
    <col min="56" max="56" width="39.5546875" style="159" hidden="1" customWidth="1"/>
    <col min="57" max="57" width="35.44140625" style="159" hidden="1" customWidth="1"/>
    <col min="58" max="58" width="25.109375" style="159" hidden="1" customWidth="1"/>
    <col min="59" max="59" width="25.21875" style="159" hidden="1" customWidth="1"/>
    <col min="60" max="60" width="27.109375" style="159" hidden="1" customWidth="1"/>
    <col min="61" max="61" width="21.88671875" style="159" hidden="1" customWidth="1"/>
    <col min="62" max="62" width="37" style="159" customWidth="1"/>
    <col min="63" max="63" width="28.88671875" style="211" hidden="1" customWidth="1"/>
    <col min="64" max="16384" width="9" style="159"/>
  </cols>
  <sheetData>
    <row r="1" spans="1:63" s="218" customFormat="1" ht="41.4">
      <c r="A1" s="340" t="s">
        <v>1904</v>
      </c>
      <c r="B1" s="422" t="s">
        <v>1905</v>
      </c>
      <c r="C1" s="423" t="s">
        <v>53</v>
      </c>
      <c r="D1" s="341" t="s">
        <v>1931</v>
      </c>
      <c r="E1" s="340" t="s">
        <v>1915</v>
      </c>
      <c r="F1" s="422" t="s">
        <v>1835</v>
      </c>
      <c r="G1" s="424" t="s">
        <v>1906</v>
      </c>
      <c r="H1" s="342" t="s">
        <v>1893</v>
      </c>
      <c r="I1" s="424" t="s">
        <v>1907</v>
      </c>
      <c r="J1" s="340" t="s">
        <v>1908</v>
      </c>
      <c r="K1" s="342" t="s">
        <v>1916</v>
      </c>
      <c r="L1" s="424" t="s">
        <v>1909</v>
      </c>
      <c r="M1" s="425" t="s">
        <v>1899</v>
      </c>
      <c r="N1" s="343" t="s">
        <v>1998</v>
      </c>
      <c r="O1" s="343" t="s">
        <v>1557</v>
      </c>
      <c r="P1" s="343" t="s">
        <v>2022</v>
      </c>
      <c r="Q1" s="343" t="s">
        <v>1917</v>
      </c>
      <c r="R1" s="343" t="s">
        <v>1910</v>
      </c>
      <c r="S1" s="343" t="s">
        <v>1925</v>
      </c>
      <c r="T1" s="343" t="s">
        <v>2012</v>
      </c>
      <c r="U1" s="343" t="s">
        <v>1926</v>
      </c>
      <c r="V1" s="343" t="s">
        <v>2004</v>
      </c>
      <c r="W1" s="499" t="s">
        <v>1918</v>
      </c>
      <c r="X1" s="426" t="s">
        <v>1900</v>
      </c>
      <c r="Y1" s="344" t="s">
        <v>1999</v>
      </c>
      <c r="Z1" s="344" t="s">
        <v>1911</v>
      </c>
      <c r="AA1" s="344" t="s">
        <v>1560</v>
      </c>
      <c r="AB1" s="345" t="s">
        <v>61</v>
      </c>
      <c r="AC1" s="345" t="s">
        <v>1664</v>
      </c>
      <c r="AD1" s="345" t="s">
        <v>62</v>
      </c>
      <c r="AE1" s="345" t="s">
        <v>63</v>
      </c>
      <c r="AF1" s="345" t="s">
        <v>1912</v>
      </c>
      <c r="AG1" s="345" t="s">
        <v>1913</v>
      </c>
      <c r="AH1" s="345" t="s">
        <v>1919</v>
      </c>
      <c r="AI1" s="345" t="s">
        <v>2013</v>
      </c>
      <c r="AJ1" s="345" t="s">
        <v>1920</v>
      </c>
      <c r="AK1" s="345" t="s">
        <v>2005</v>
      </c>
      <c r="AL1" s="427" t="s">
        <v>1901</v>
      </c>
      <c r="AM1" s="346" t="s">
        <v>2001</v>
      </c>
      <c r="AN1" s="427" t="s">
        <v>1902</v>
      </c>
      <c r="AO1" s="346" t="s">
        <v>2000</v>
      </c>
      <c r="AP1" s="346" t="s">
        <v>1927</v>
      </c>
      <c r="AQ1" s="346" t="s">
        <v>65</v>
      </c>
      <c r="AR1" s="346" t="s">
        <v>66</v>
      </c>
      <c r="AS1" s="346" t="s">
        <v>1928</v>
      </c>
      <c r="AT1" s="346" t="s">
        <v>1929</v>
      </c>
      <c r="AU1" s="346" t="s">
        <v>67</v>
      </c>
      <c r="AV1" s="346" t="s">
        <v>1922</v>
      </c>
      <c r="AW1" s="346" t="s">
        <v>2014</v>
      </c>
      <c r="AX1" s="346" t="s">
        <v>1921</v>
      </c>
      <c r="AY1" s="346" t="s">
        <v>2006</v>
      </c>
      <c r="AZ1" s="347" t="s">
        <v>68</v>
      </c>
      <c r="BA1" s="428" t="s">
        <v>1903</v>
      </c>
      <c r="BB1" s="348" t="s">
        <v>2002</v>
      </c>
      <c r="BC1" s="348" t="s">
        <v>1930</v>
      </c>
      <c r="BD1" s="347" t="s">
        <v>1548</v>
      </c>
      <c r="BE1" s="347" t="s">
        <v>1549</v>
      </c>
      <c r="BF1" s="347" t="s">
        <v>1923</v>
      </c>
      <c r="BG1" s="347" t="s">
        <v>2015</v>
      </c>
      <c r="BH1" s="347" t="s">
        <v>1924</v>
      </c>
      <c r="BI1" s="347" t="s">
        <v>2007</v>
      </c>
      <c r="BJ1" s="429" t="s">
        <v>1561</v>
      </c>
      <c r="BK1" s="349" t="s">
        <v>1914</v>
      </c>
    </row>
    <row r="2" spans="1:63" s="218" customFormat="1" ht="27.6" hidden="1">
      <c r="A2" s="332">
        <v>0</v>
      </c>
      <c r="B2" s="332">
        <v>1</v>
      </c>
      <c r="C2" s="333" t="s">
        <v>1783</v>
      </c>
      <c r="D2" s="333" t="s">
        <v>1624</v>
      </c>
      <c r="E2" s="334"/>
      <c r="F2" s="334" t="s">
        <v>1784</v>
      </c>
      <c r="G2" s="334" t="s">
        <v>1784</v>
      </c>
      <c r="H2" s="334" t="str">
        <f>_xlfn.CONCAT("'&lt;br&gt;','&lt;b&gt;','",F2, ": ','&lt;/b&gt;',",G2, ",'&lt;/br&gt;',")</f>
        <v>'&lt;br&gt;','&lt;b&gt;','type : ','&lt;/b&gt;',type ,'&lt;/br&gt;',</v>
      </c>
      <c r="I2" s="334" t="s">
        <v>1995</v>
      </c>
      <c r="J2" s="332" t="s">
        <v>1846</v>
      </c>
      <c r="K2" s="334"/>
      <c r="L2" s="334"/>
      <c r="M2" s="335"/>
      <c r="N2" s="335"/>
      <c r="O2" s="336"/>
      <c r="P2" s="336"/>
      <c r="Q2" s="336"/>
      <c r="R2" s="336"/>
      <c r="S2" s="336"/>
      <c r="T2" s="336"/>
      <c r="U2" s="336"/>
      <c r="V2" s="336"/>
      <c r="W2" s="337"/>
      <c r="X2" s="164"/>
      <c r="Y2" s="164"/>
      <c r="Z2" s="164"/>
      <c r="AA2" s="164"/>
      <c r="AB2" s="164"/>
      <c r="AC2" s="164"/>
      <c r="AD2" s="164"/>
      <c r="AE2" s="164"/>
      <c r="AF2" s="164"/>
      <c r="AG2" s="164"/>
      <c r="AH2" s="164"/>
      <c r="AI2" s="164"/>
      <c r="AJ2" s="338"/>
      <c r="AK2" s="303"/>
      <c r="AL2" s="199"/>
      <c r="AM2" s="163"/>
      <c r="AN2" s="163"/>
      <c r="AO2" s="163"/>
      <c r="AP2" s="163"/>
      <c r="AQ2" s="163"/>
      <c r="AR2" s="199"/>
      <c r="AS2" s="163"/>
      <c r="AT2" s="163"/>
      <c r="AU2" s="199"/>
      <c r="AV2" s="163"/>
      <c r="AW2" s="163"/>
      <c r="AX2" s="163"/>
      <c r="AY2" s="163"/>
      <c r="AZ2" s="199"/>
      <c r="BA2" s="163"/>
      <c r="BB2" s="163"/>
      <c r="BC2" s="163"/>
      <c r="BD2" s="163"/>
      <c r="BE2" s="159"/>
      <c r="BF2" s="159"/>
      <c r="BG2" s="159"/>
      <c r="BH2" s="159"/>
      <c r="BI2" s="159"/>
      <c r="BJ2" s="339"/>
      <c r="BK2" s="159"/>
    </row>
    <row r="3" spans="1:63" s="218" customFormat="1" ht="41.4" hidden="1">
      <c r="A3" s="289">
        <v>0</v>
      </c>
      <c r="B3" s="289">
        <v>2</v>
      </c>
      <c r="C3" s="239" t="s">
        <v>1783</v>
      </c>
      <c r="D3" s="239" t="s">
        <v>1624</v>
      </c>
      <c r="E3" s="235"/>
      <c r="F3" s="235" t="s">
        <v>1785</v>
      </c>
      <c r="G3" s="235" t="s">
        <v>1785</v>
      </c>
      <c r="H3" s="235" t="str">
        <f>_xlfn.CONCAT("'&lt;br&gt;','&lt;b&gt;','",F3, ": ','&lt;/b&gt;',",G3, ",'&lt;/br&gt;',")</f>
        <v>'&lt;br&gt;','&lt;b&gt;','modified : ','&lt;/b&gt;',modified ,'&lt;/br&gt;',</v>
      </c>
      <c r="I3" s="235" t="s">
        <v>1978</v>
      </c>
      <c r="J3" s="289" t="s">
        <v>1745</v>
      </c>
      <c r="K3" s="235" t="s">
        <v>1845</v>
      </c>
      <c r="L3" s="235"/>
      <c r="M3" s="192"/>
      <c r="N3" s="192"/>
      <c r="O3" s="9"/>
      <c r="P3" s="9"/>
      <c r="Q3" s="9"/>
      <c r="R3" s="9"/>
      <c r="S3" s="9"/>
      <c r="T3" s="9"/>
      <c r="U3" s="9"/>
      <c r="V3" s="9"/>
      <c r="W3" s="308"/>
      <c r="X3" s="319"/>
      <c r="Y3" s="374"/>
      <c r="Z3" s="319"/>
      <c r="AA3" s="319"/>
      <c r="AB3" s="319"/>
      <c r="AC3" s="319"/>
      <c r="AD3" s="319"/>
      <c r="AE3" s="307"/>
      <c r="AF3" s="307"/>
      <c r="AG3" s="307"/>
      <c r="AH3" s="307"/>
      <c r="AI3" s="379"/>
      <c r="AJ3" s="194"/>
      <c r="AK3" s="264"/>
      <c r="AL3" s="12"/>
      <c r="AM3" s="13"/>
      <c r="AN3" s="13"/>
      <c r="AO3" s="13"/>
      <c r="AP3" s="13"/>
      <c r="AQ3" s="13"/>
      <c r="AR3" s="12"/>
      <c r="AS3" s="13"/>
      <c r="AT3" s="13"/>
      <c r="AU3" s="12"/>
      <c r="AV3" s="13"/>
      <c r="AW3" s="13"/>
      <c r="AX3" s="13"/>
      <c r="AY3" s="13"/>
      <c r="AZ3" s="12"/>
      <c r="BA3" s="13"/>
      <c r="BB3" s="13"/>
      <c r="BC3" s="13"/>
      <c r="BD3" s="13"/>
      <c r="BE3" s="282"/>
      <c r="BF3" s="282"/>
      <c r="BG3" s="282"/>
      <c r="BH3" s="282"/>
      <c r="BI3" s="282"/>
      <c r="BJ3" s="282"/>
      <c r="BK3" s="159"/>
    </row>
    <row r="4" spans="1:63" s="218" customFormat="1" ht="41.4" hidden="1">
      <c r="A4" s="289">
        <v>0</v>
      </c>
      <c r="B4" s="289">
        <v>3</v>
      </c>
      <c r="C4" s="239" t="s">
        <v>1840</v>
      </c>
      <c r="D4" s="239" t="s">
        <v>1624</v>
      </c>
      <c r="E4" s="235"/>
      <c r="F4" s="235" t="s">
        <v>1837</v>
      </c>
      <c r="G4" s="235" t="s">
        <v>1837</v>
      </c>
      <c r="H4" s="235"/>
      <c r="I4" s="235" t="s">
        <v>1838</v>
      </c>
      <c r="J4" s="289" t="s">
        <v>1831</v>
      </c>
      <c r="K4" s="235" t="s">
        <v>1839</v>
      </c>
      <c r="L4" s="235"/>
      <c r="M4" s="192"/>
      <c r="N4" s="192"/>
      <c r="O4" s="9"/>
      <c r="P4" s="9"/>
      <c r="Q4" s="9"/>
      <c r="R4" s="9"/>
      <c r="S4" s="9"/>
      <c r="T4" s="9"/>
      <c r="U4" s="9"/>
      <c r="V4" s="9"/>
      <c r="W4" s="308"/>
      <c r="X4" s="319"/>
      <c r="Y4" s="374"/>
      <c r="Z4" s="319"/>
      <c r="AA4" s="319"/>
      <c r="AB4" s="259"/>
      <c r="AC4" s="259"/>
      <c r="AD4" s="259"/>
      <c r="AE4" s="307"/>
      <c r="AF4" s="307"/>
      <c r="AG4" s="307"/>
      <c r="AH4" s="307"/>
      <c r="AI4" s="379"/>
      <c r="AJ4" s="194"/>
      <c r="AK4" s="264"/>
      <c r="AL4" s="12"/>
      <c r="AM4" s="13"/>
      <c r="AN4" s="13"/>
      <c r="AO4" s="13"/>
      <c r="AP4" s="13"/>
      <c r="AQ4" s="13"/>
      <c r="AR4" s="12"/>
      <c r="AS4" s="13"/>
      <c r="AT4" s="13"/>
      <c r="AU4" s="12"/>
      <c r="AV4" s="13"/>
      <c r="AW4" s="13"/>
      <c r="AX4" s="13"/>
      <c r="AY4" s="13"/>
      <c r="AZ4" s="12"/>
      <c r="BA4" s="13"/>
      <c r="BB4" s="13"/>
      <c r="BC4" s="13"/>
      <c r="BD4" s="13"/>
      <c r="BE4" s="282"/>
      <c r="BF4" s="282"/>
      <c r="BG4" s="282"/>
      <c r="BH4" s="282"/>
      <c r="BI4" s="282"/>
      <c r="BJ4" s="282"/>
      <c r="BK4" s="159"/>
    </row>
    <row r="5" spans="1:63" s="218" customFormat="1" ht="69" hidden="1">
      <c r="A5" s="289">
        <v>0</v>
      </c>
      <c r="B5" s="289">
        <v>4</v>
      </c>
      <c r="C5" s="239" t="s">
        <v>1783</v>
      </c>
      <c r="D5" s="239" t="s">
        <v>1624</v>
      </c>
      <c r="E5" s="235"/>
      <c r="F5" s="235" t="s">
        <v>1786</v>
      </c>
      <c r="G5" s="235" t="s">
        <v>1786</v>
      </c>
      <c r="H5" s="235" t="str">
        <f>_xlfn.CONCAT("'&lt;br&gt;','&lt;b&gt;','",F5, ": ','&lt;/b&gt;',",G5, ",'&lt;/br&gt;',")</f>
        <v>'&lt;br&gt;','&lt;b&gt;','bibilographicCititation : ','&lt;/b&gt;',bibilographicCititation ,'&lt;/br&gt;',</v>
      </c>
      <c r="I5" s="235" t="s">
        <v>1787</v>
      </c>
      <c r="J5" s="289" t="s">
        <v>1888</v>
      </c>
      <c r="K5" s="235"/>
      <c r="L5" s="235"/>
      <c r="M5" s="192"/>
      <c r="N5" s="192"/>
      <c r="O5" s="9"/>
      <c r="P5" s="9"/>
      <c r="Q5" s="9"/>
      <c r="R5" s="9"/>
      <c r="S5" s="9"/>
      <c r="T5" s="9"/>
      <c r="U5" s="9"/>
      <c r="V5" s="9"/>
      <c r="W5" s="308"/>
      <c r="X5" s="307"/>
      <c r="Y5" s="374"/>
      <c r="Z5" s="307"/>
      <c r="AA5" s="262"/>
      <c r="AB5" s="217"/>
      <c r="AC5" s="217"/>
      <c r="AD5" s="217"/>
      <c r="AE5" s="307"/>
      <c r="AF5" s="307"/>
      <c r="AG5" s="319"/>
      <c r="AH5" s="319"/>
      <c r="AI5" s="379"/>
      <c r="AJ5" s="194"/>
      <c r="AK5" s="264"/>
      <c r="AL5" s="12"/>
      <c r="AM5" s="13"/>
      <c r="AN5" s="13"/>
      <c r="AO5" s="13"/>
      <c r="AP5" s="13"/>
      <c r="AQ5" s="13"/>
      <c r="AR5" s="12"/>
      <c r="AS5" s="13"/>
      <c r="AT5" s="13"/>
      <c r="AU5" s="12"/>
      <c r="AV5" s="13"/>
      <c r="AW5" s="13"/>
      <c r="AX5" s="13"/>
      <c r="AY5" s="13"/>
      <c r="AZ5" s="12"/>
      <c r="BA5" s="13"/>
      <c r="BB5" s="13"/>
      <c r="BC5" s="13"/>
      <c r="BD5" s="13"/>
      <c r="BE5" s="282"/>
      <c r="BF5" s="282"/>
      <c r="BG5" s="282"/>
      <c r="BH5" s="282"/>
      <c r="BI5" s="282"/>
      <c r="BJ5" s="282"/>
      <c r="BK5" s="159"/>
    </row>
    <row r="6" spans="1:63" s="218" customFormat="1" ht="55.2" hidden="1">
      <c r="A6" s="289">
        <v>0</v>
      </c>
      <c r="B6" s="289">
        <v>5</v>
      </c>
      <c r="C6" s="239" t="s">
        <v>1783</v>
      </c>
      <c r="D6" s="239" t="s">
        <v>1624</v>
      </c>
      <c r="E6" s="235"/>
      <c r="F6" s="235" t="s">
        <v>1843</v>
      </c>
      <c r="G6" s="235" t="s">
        <v>1843</v>
      </c>
      <c r="H6" s="235"/>
      <c r="I6" s="235" t="s">
        <v>1844</v>
      </c>
      <c r="J6" s="289" t="s">
        <v>1831</v>
      </c>
      <c r="K6" s="235" t="s">
        <v>1847</v>
      </c>
      <c r="L6" s="235"/>
      <c r="M6" s="192"/>
      <c r="N6" s="192"/>
      <c r="O6" s="9"/>
      <c r="P6" s="9"/>
      <c r="Q6" s="9"/>
      <c r="R6" s="9"/>
      <c r="S6" s="9"/>
      <c r="T6" s="9"/>
      <c r="U6" s="9"/>
      <c r="V6" s="9"/>
      <c r="W6" s="308"/>
      <c r="X6" s="319"/>
      <c r="Y6" s="374"/>
      <c r="Z6" s="319"/>
      <c r="AA6" s="319"/>
      <c r="AB6" s="259"/>
      <c r="AC6" s="259"/>
      <c r="AD6" s="259"/>
      <c r="AE6" s="307"/>
      <c r="AF6" s="307"/>
      <c r="AG6" s="307"/>
      <c r="AH6" s="307"/>
      <c r="AI6" s="379"/>
      <c r="AJ6" s="194"/>
      <c r="AK6" s="264"/>
      <c r="AL6" s="12"/>
      <c r="AM6" s="13"/>
      <c r="AN6" s="13"/>
      <c r="AO6" s="13"/>
      <c r="AP6" s="13"/>
      <c r="AQ6" s="13"/>
      <c r="AR6" s="12"/>
      <c r="AS6" s="13"/>
      <c r="AT6" s="13"/>
      <c r="AU6" s="12"/>
      <c r="AV6" s="13"/>
      <c r="AW6" s="13"/>
      <c r="AX6" s="13"/>
      <c r="AY6" s="13"/>
      <c r="AZ6" s="12"/>
      <c r="BA6" s="13"/>
      <c r="BB6" s="13"/>
      <c r="BC6" s="13"/>
      <c r="BD6" s="13"/>
      <c r="BE6" s="282"/>
      <c r="BF6" s="282"/>
      <c r="BG6" s="282"/>
      <c r="BH6" s="282"/>
      <c r="BI6" s="282"/>
      <c r="BJ6" s="282"/>
      <c r="BK6" s="159"/>
    </row>
    <row r="7" spans="1:63" s="218" customFormat="1" ht="41.4" hidden="1">
      <c r="A7" s="289">
        <v>0</v>
      </c>
      <c r="B7" s="289">
        <v>6</v>
      </c>
      <c r="C7" s="239" t="s">
        <v>1783</v>
      </c>
      <c r="D7" s="239" t="s">
        <v>1624</v>
      </c>
      <c r="E7" s="235"/>
      <c r="F7" s="235" t="s">
        <v>1788</v>
      </c>
      <c r="G7" s="235" t="s">
        <v>1788</v>
      </c>
      <c r="H7" s="235" t="str">
        <f>_xlfn.CONCAT("'&lt;br&gt;','&lt;b&gt;','",F7, ": ','&lt;/b&gt;',",G7, ",'&lt;/br&gt;',")</f>
        <v>'&lt;br&gt;','&lt;b&gt;','CollectionID : ','&lt;/b&gt;',CollectionID ,'&lt;/br&gt;',</v>
      </c>
      <c r="I7" s="235" t="s">
        <v>1789</v>
      </c>
      <c r="J7" s="289" t="s">
        <v>1888</v>
      </c>
      <c r="K7" s="235" t="s">
        <v>1848</v>
      </c>
      <c r="L7" s="235"/>
      <c r="M7" s="192"/>
      <c r="N7" s="192"/>
      <c r="O7" s="9"/>
      <c r="P7" s="9"/>
      <c r="Q7" s="9"/>
      <c r="R7" s="9"/>
      <c r="S7" s="9"/>
      <c r="T7" s="9"/>
      <c r="U7" s="9"/>
      <c r="V7" s="9"/>
      <c r="W7" s="308"/>
      <c r="X7" s="319"/>
      <c r="Y7" s="374"/>
      <c r="Z7" s="319"/>
      <c r="AA7" s="319"/>
      <c r="AB7" s="217"/>
      <c r="AC7" s="217"/>
      <c r="AD7" s="217"/>
      <c r="AE7" s="307"/>
      <c r="AF7" s="307"/>
      <c r="AG7" s="307"/>
      <c r="AH7" s="307"/>
      <c r="AI7" s="379"/>
      <c r="AJ7" s="194"/>
      <c r="AK7" s="264"/>
      <c r="AL7" s="12"/>
      <c r="AM7" s="13"/>
      <c r="AN7" s="13"/>
      <c r="AO7" s="13"/>
      <c r="AP7" s="13"/>
      <c r="AQ7" s="13"/>
      <c r="AR7" s="12"/>
      <c r="AS7" s="13"/>
      <c r="AT7" s="13"/>
      <c r="AU7" s="12"/>
      <c r="AV7" s="13"/>
      <c r="AW7" s="13"/>
      <c r="AX7" s="13"/>
      <c r="AY7" s="13"/>
      <c r="AZ7" s="12"/>
      <c r="BA7" s="13"/>
      <c r="BB7" s="13"/>
      <c r="BC7" s="13"/>
      <c r="BD7" s="13"/>
      <c r="BE7" s="282"/>
      <c r="BF7" s="282"/>
      <c r="BG7" s="282"/>
      <c r="BH7" s="282"/>
      <c r="BI7" s="282"/>
      <c r="BJ7" s="282"/>
      <c r="BK7" s="159"/>
    </row>
    <row r="8" spans="1:63" s="218" customFormat="1" ht="69" hidden="1">
      <c r="A8" s="289">
        <v>0</v>
      </c>
      <c r="B8" s="289">
        <v>7</v>
      </c>
      <c r="C8" s="239" t="s">
        <v>1783</v>
      </c>
      <c r="D8" s="239" t="s">
        <v>1624</v>
      </c>
      <c r="E8" s="235"/>
      <c r="F8" s="235" t="s">
        <v>1790</v>
      </c>
      <c r="G8" s="235" t="s">
        <v>1790</v>
      </c>
      <c r="H8" s="235" t="str">
        <f>_xlfn.CONCAT("'&lt;br&gt;','&lt;b&gt;','",F8, ": ','&lt;/b&gt;',",G8, ",'&lt;/br&gt;',")</f>
        <v>'&lt;br&gt;','&lt;b&gt;','datasetID : ','&lt;/b&gt;',datasetID ,'&lt;/br&gt;',</v>
      </c>
      <c r="I8" s="235" t="s">
        <v>1791</v>
      </c>
      <c r="J8" s="289" t="s">
        <v>1975</v>
      </c>
      <c r="K8" s="235" t="s">
        <v>1849</v>
      </c>
      <c r="L8" s="235"/>
      <c r="M8" s="192"/>
      <c r="N8" s="192"/>
      <c r="O8" s="9"/>
      <c r="P8" s="9"/>
      <c r="Q8" s="9"/>
      <c r="R8" s="9"/>
      <c r="S8" s="9"/>
      <c r="T8" s="9"/>
      <c r="U8" s="9"/>
      <c r="V8" s="9"/>
      <c r="W8" s="308"/>
      <c r="X8" s="319"/>
      <c r="Y8" s="374"/>
      <c r="Z8" s="319"/>
      <c r="AA8" s="319"/>
      <c r="AB8" s="217"/>
      <c r="AC8" s="217"/>
      <c r="AD8" s="217"/>
      <c r="AE8" s="307"/>
      <c r="AF8" s="307"/>
      <c r="AG8" s="307"/>
      <c r="AH8" s="307"/>
      <c r="AI8" s="379"/>
      <c r="AJ8" s="194"/>
      <c r="AK8" s="264"/>
      <c r="AL8" s="12"/>
      <c r="AM8" s="13"/>
      <c r="AN8" s="13"/>
      <c r="AO8" s="13"/>
      <c r="AP8" s="13"/>
      <c r="AQ8" s="13"/>
      <c r="AR8" s="12"/>
      <c r="AS8" s="13"/>
      <c r="AT8" s="13"/>
      <c r="AU8" s="12"/>
      <c r="AV8" s="13"/>
      <c r="AW8" s="13"/>
      <c r="AX8" s="13"/>
      <c r="AY8" s="13"/>
      <c r="AZ8" s="12"/>
      <c r="BA8" s="13"/>
      <c r="BB8" s="13"/>
      <c r="BC8" s="13"/>
      <c r="BD8" s="13"/>
      <c r="BE8" s="282"/>
      <c r="BF8" s="282"/>
      <c r="BG8" s="282"/>
      <c r="BH8" s="282"/>
      <c r="BI8" s="282"/>
      <c r="BJ8" s="282"/>
      <c r="BK8" s="159"/>
    </row>
    <row r="9" spans="1:63" s="218" customFormat="1" ht="41.4" hidden="1">
      <c r="A9" s="289">
        <v>0</v>
      </c>
      <c r="B9" s="289">
        <v>8</v>
      </c>
      <c r="C9" s="239" t="s">
        <v>1783</v>
      </c>
      <c r="D9" s="239" t="s">
        <v>1624</v>
      </c>
      <c r="E9" s="235"/>
      <c r="F9" s="235" t="s">
        <v>1865</v>
      </c>
      <c r="G9" s="235" t="s">
        <v>1864</v>
      </c>
      <c r="H9" s="235"/>
      <c r="I9" s="235" t="s">
        <v>1850</v>
      </c>
      <c r="J9" s="289" t="s">
        <v>1831</v>
      </c>
      <c r="K9" s="235" t="s">
        <v>1851</v>
      </c>
      <c r="L9" s="235"/>
      <c r="M9" s="192"/>
      <c r="N9" s="192"/>
      <c r="O9" s="9"/>
      <c r="P9" s="9"/>
      <c r="Q9" s="9"/>
      <c r="R9" s="9"/>
      <c r="S9" s="9"/>
      <c r="T9" s="9"/>
      <c r="U9" s="9"/>
      <c r="V9" s="9"/>
      <c r="W9" s="308"/>
      <c r="X9" s="319"/>
      <c r="Y9" s="374"/>
      <c r="Z9" s="319"/>
      <c r="AA9" s="319"/>
      <c r="AB9" s="262"/>
      <c r="AC9" s="262"/>
      <c r="AD9" s="262"/>
      <c r="AE9" s="307"/>
      <c r="AF9" s="307"/>
      <c r="AG9" s="307"/>
      <c r="AH9" s="307"/>
      <c r="AI9" s="379"/>
      <c r="AJ9" s="194"/>
      <c r="AK9" s="264"/>
      <c r="AL9" s="12"/>
      <c r="AM9" s="13"/>
      <c r="AN9" s="13"/>
      <c r="AO9" s="13"/>
      <c r="AP9" s="13"/>
      <c r="AQ9" s="13"/>
      <c r="AR9" s="12"/>
      <c r="AS9" s="13"/>
      <c r="AT9" s="13"/>
      <c r="AU9" s="12"/>
      <c r="AV9" s="13"/>
      <c r="AW9" s="13"/>
      <c r="AX9" s="13"/>
      <c r="AY9" s="13"/>
      <c r="AZ9" s="12"/>
      <c r="BA9" s="13"/>
      <c r="BB9" s="13"/>
      <c r="BC9" s="13"/>
      <c r="BD9" s="13"/>
      <c r="BE9" s="282"/>
      <c r="BF9" s="282"/>
      <c r="BG9" s="282"/>
      <c r="BH9" s="282"/>
      <c r="BI9" s="282"/>
      <c r="BJ9" s="282"/>
      <c r="BK9" s="159"/>
    </row>
    <row r="10" spans="1:63" s="218" customFormat="1" ht="69" hidden="1">
      <c r="A10" s="289">
        <v>0</v>
      </c>
      <c r="B10" s="289">
        <v>9</v>
      </c>
      <c r="C10" s="239" t="s">
        <v>1783</v>
      </c>
      <c r="D10" s="239" t="s">
        <v>1624</v>
      </c>
      <c r="E10" s="235"/>
      <c r="F10" s="235" t="s">
        <v>1863</v>
      </c>
      <c r="G10" s="235" t="s">
        <v>1793</v>
      </c>
      <c r="H10" s="235" t="str">
        <f>_xlfn.CONCAT("'&lt;br&gt;','&lt;b&gt;','",F10, ": ','&lt;/b&gt;',",G10, ",'&lt;/br&gt;',")</f>
        <v>'&lt;br&gt;','&lt;b&gt;','Institution Code: ','&lt;/b&gt;',institutionCode,'&lt;/br&gt;',</v>
      </c>
      <c r="I10" s="235" t="s">
        <v>1792</v>
      </c>
      <c r="J10" s="289" t="s">
        <v>1888</v>
      </c>
      <c r="K10" s="235" t="s">
        <v>1880</v>
      </c>
      <c r="L10" s="235"/>
      <c r="M10" s="192"/>
      <c r="N10" s="192"/>
      <c r="O10" s="9"/>
      <c r="P10" s="9"/>
      <c r="Q10" s="9"/>
      <c r="R10" s="9"/>
      <c r="S10" s="9"/>
      <c r="T10" s="9"/>
      <c r="U10" s="9"/>
      <c r="V10" s="9"/>
      <c r="W10" s="308"/>
      <c r="X10" s="319"/>
      <c r="Y10" s="374"/>
      <c r="Z10" s="319"/>
      <c r="AA10" s="319"/>
      <c r="AB10" s="217"/>
      <c r="AC10" s="217"/>
      <c r="AD10" s="217"/>
      <c r="AE10" s="307"/>
      <c r="AF10" s="307"/>
      <c r="AG10" s="307"/>
      <c r="AH10" s="307"/>
      <c r="AI10" s="379"/>
      <c r="AJ10" s="194"/>
      <c r="AK10" s="264"/>
      <c r="AL10" s="12"/>
      <c r="AM10" s="13"/>
      <c r="AN10" s="13"/>
      <c r="AO10" s="13"/>
      <c r="AP10" s="13"/>
      <c r="AQ10" s="13"/>
      <c r="AR10" s="12"/>
      <c r="AS10" s="13"/>
      <c r="AT10" s="13"/>
      <c r="AU10" s="12"/>
      <c r="AV10" s="13"/>
      <c r="AW10" s="13"/>
      <c r="AX10" s="13"/>
      <c r="AY10" s="13"/>
      <c r="AZ10" s="12"/>
      <c r="BA10" s="13"/>
      <c r="BB10" s="13"/>
      <c r="BC10" s="13"/>
      <c r="BD10" s="13"/>
      <c r="BE10" s="282"/>
      <c r="BF10" s="282"/>
      <c r="BG10" s="282"/>
      <c r="BH10" s="282"/>
      <c r="BI10" s="282"/>
      <c r="BJ10" s="282"/>
      <c r="BK10" s="159"/>
    </row>
    <row r="11" spans="1:63" s="218" customFormat="1" ht="110.4" hidden="1">
      <c r="A11" s="7">
        <v>1</v>
      </c>
      <c r="B11" s="7">
        <v>1</v>
      </c>
      <c r="C11" s="203" t="s">
        <v>73</v>
      </c>
      <c r="D11" s="203"/>
      <c r="E11" s="7"/>
      <c r="F11" s="7" t="s">
        <v>115</v>
      </c>
      <c r="G11" s="203"/>
      <c r="H11" s="203"/>
      <c r="I11" s="203"/>
      <c r="J11" s="7"/>
      <c r="K11" s="203"/>
      <c r="L11" s="203"/>
      <c r="M11" s="13"/>
      <c r="N11" s="13"/>
      <c r="O11" s="13"/>
      <c r="P11" s="13"/>
      <c r="Q11" s="13"/>
      <c r="R11" s="13"/>
      <c r="S11" s="13"/>
      <c r="T11" s="13"/>
      <c r="U11" s="13"/>
      <c r="V11" s="13"/>
      <c r="W11" s="173"/>
      <c r="X11" s="13"/>
      <c r="Y11" s="13"/>
      <c r="Z11" s="13"/>
      <c r="AA11" s="13"/>
      <c r="AB11" s="13"/>
      <c r="AC11" s="13"/>
      <c r="AD11" s="13"/>
      <c r="AE11" s="307"/>
      <c r="AF11" s="307"/>
      <c r="AG11" s="307"/>
      <c r="AH11" s="307"/>
      <c r="AI11" s="379"/>
      <c r="AJ11" s="167"/>
      <c r="AK11" s="13"/>
      <c r="AL11" s="12"/>
      <c r="AM11" s="13"/>
      <c r="AN11" s="13"/>
      <c r="AO11" s="13"/>
      <c r="AP11" s="13"/>
      <c r="AQ11" s="13"/>
      <c r="AR11" s="12"/>
      <c r="AS11" s="13"/>
      <c r="AT11" s="13"/>
      <c r="AU11" s="12"/>
      <c r="AV11" s="13"/>
      <c r="AW11" s="13"/>
      <c r="AX11" s="13"/>
      <c r="AY11" s="13"/>
      <c r="AZ11" s="12" t="s">
        <v>116</v>
      </c>
      <c r="BA11" s="13" t="s">
        <v>117</v>
      </c>
      <c r="BB11" s="13"/>
      <c r="BC11" s="13"/>
      <c r="BD11" s="13" t="s">
        <v>118</v>
      </c>
      <c r="BE11" s="237" t="s">
        <v>119</v>
      </c>
      <c r="BF11" s="237"/>
      <c r="BG11" s="237"/>
      <c r="BH11" s="237"/>
      <c r="BI11" s="237"/>
      <c r="BJ11" s="5">
        <f>COUNTIF(M11,"*")+COUNTIF(W11,"*")+COUNTIF(AL11,"*")+COUNTIF(AZ11,"*")</f>
        <v>1</v>
      </c>
      <c r="BK11" s="211" t="s">
        <v>1756</v>
      </c>
    </row>
    <row r="12" spans="1:63" ht="276" hidden="1">
      <c r="A12" s="7">
        <v>1</v>
      </c>
      <c r="B12" s="7">
        <v>2</v>
      </c>
      <c r="C12" s="203" t="s">
        <v>73</v>
      </c>
      <c r="D12" s="203"/>
      <c r="E12" s="7"/>
      <c r="F12" s="7" t="s">
        <v>120</v>
      </c>
      <c r="G12" s="203"/>
      <c r="H12" s="203"/>
      <c r="I12" s="266"/>
      <c r="J12" s="7"/>
      <c r="K12" s="266"/>
      <c r="L12" s="266"/>
      <c r="M12" s="13"/>
      <c r="N12" s="13"/>
      <c r="O12" s="13"/>
      <c r="P12" s="13"/>
      <c r="Q12" s="13"/>
      <c r="R12" s="13"/>
      <c r="S12" s="13"/>
      <c r="T12" s="13"/>
      <c r="U12" s="167"/>
      <c r="V12" s="13"/>
      <c r="W12" s="13"/>
      <c r="X12" s="13"/>
      <c r="Y12" s="13"/>
      <c r="Z12" s="13"/>
      <c r="AA12" s="13"/>
      <c r="AB12" s="260"/>
      <c r="AC12" s="260"/>
      <c r="AD12" s="260"/>
      <c r="AE12" s="307"/>
      <c r="AF12" s="307"/>
      <c r="AG12" s="307"/>
      <c r="AH12" s="307"/>
      <c r="AI12" s="379"/>
      <c r="AJ12" s="167"/>
      <c r="AK12" s="13"/>
      <c r="AL12" s="12"/>
      <c r="AM12" s="13"/>
      <c r="AN12" s="13"/>
      <c r="AO12" s="13"/>
      <c r="AP12" s="13"/>
      <c r="AQ12" s="13"/>
      <c r="AR12" s="12"/>
      <c r="AS12" s="13"/>
      <c r="AT12" s="13"/>
      <c r="AU12" s="12"/>
      <c r="AV12" s="13"/>
      <c r="AW12" s="13"/>
      <c r="AX12" s="13"/>
      <c r="AY12" s="13"/>
      <c r="AZ12" s="12" t="s">
        <v>121</v>
      </c>
      <c r="BA12" s="13" t="s">
        <v>122</v>
      </c>
      <c r="BB12" s="13"/>
      <c r="BC12" s="13"/>
      <c r="BD12" s="13" t="s">
        <v>123</v>
      </c>
      <c r="BE12" s="319" t="s">
        <v>124</v>
      </c>
      <c r="BF12" s="319"/>
      <c r="BG12" s="379"/>
      <c r="BH12" s="319"/>
      <c r="BI12" s="379"/>
      <c r="BJ12" s="5">
        <f>COUNTIF(M12,"*")+COUNTIF(W12,"*")+COUNTIF(AL12,"*")+COUNTIF(AZ12,"*")</f>
        <v>1</v>
      </c>
      <c r="BK12" s="211" t="s">
        <v>1756</v>
      </c>
    </row>
    <row r="13" spans="1:63" ht="41.4" hidden="1">
      <c r="A13" s="7">
        <v>1</v>
      </c>
      <c r="B13" s="7">
        <v>3</v>
      </c>
      <c r="C13" s="203" t="s">
        <v>73</v>
      </c>
      <c r="D13" s="203"/>
      <c r="E13" s="7"/>
      <c r="F13" s="7" t="s">
        <v>125</v>
      </c>
      <c r="G13" s="203"/>
      <c r="H13" s="203"/>
      <c r="I13" s="7"/>
      <c r="J13" s="7"/>
      <c r="K13" s="7"/>
      <c r="L13" s="7"/>
      <c r="M13" s="13"/>
      <c r="N13" s="13"/>
      <c r="O13" s="13"/>
      <c r="P13" s="13"/>
      <c r="Q13" s="13"/>
      <c r="R13" s="13"/>
      <c r="S13" s="13"/>
      <c r="T13" s="13"/>
      <c r="U13" s="167"/>
      <c r="V13" s="13"/>
      <c r="W13" s="13"/>
      <c r="X13" s="13"/>
      <c r="Y13" s="13"/>
      <c r="Z13" s="13"/>
      <c r="AA13" s="13"/>
      <c r="AB13" s="13"/>
      <c r="AC13" s="13"/>
      <c r="AD13" s="13"/>
      <c r="AE13" s="13"/>
      <c r="AF13" s="13"/>
      <c r="AG13" s="163"/>
      <c r="AH13" s="163"/>
      <c r="AI13" s="163"/>
      <c r="AJ13" s="167"/>
      <c r="AK13" s="13"/>
      <c r="AL13" s="12"/>
      <c r="AM13" s="13"/>
      <c r="AN13" s="13"/>
      <c r="AO13" s="13"/>
      <c r="AP13" s="13"/>
      <c r="AQ13" s="13"/>
      <c r="AR13" s="12"/>
      <c r="AS13" s="13"/>
      <c r="AT13" s="13"/>
      <c r="AU13" s="12"/>
      <c r="AV13" s="13"/>
      <c r="AW13" s="13"/>
      <c r="AX13" s="13"/>
      <c r="AY13" s="13"/>
      <c r="AZ13" s="12" t="s">
        <v>125</v>
      </c>
      <c r="BA13" s="13" t="s">
        <v>126</v>
      </c>
      <c r="BB13" s="13"/>
      <c r="BC13" s="13"/>
      <c r="BD13" s="13" t="s">
        <v>127</v>
      </c>
      <c r="BE13" s="13" t="s">
        <v>89</v>
      </c>
      <c r="BF13" s="13"/>
      <c r="BG13" s="13"/>
      <c r="BH13" s="13"/>
      <c r="BI13" s="13"/>
      <c r="BJ13" s="5">
        <f>COUNTIF(M13,"*")+COUNTIF(W13,"*")+COUNTIF(AL13,"*")+COUNTIF(AZ13,"*")</f>
        <v>1</v>
      </c>
      <c r="BK13" s="211" t="s">
        <v>1756</v>
      </c>
    </row>
    <row r="14" spans="1:63" ht="13.8" hidden="1">
      <c r="A14" s="7">
        <v>1</v>
      </c>
      <c r="B14" s="7">
        <v>4</v>
      </c>
      <c r="C14" s="203" t="s">
        <v>73</v>
      </c>
      <c r="D14" s="203"/>
      <c r="E14" s="7"/>
      <c r="F14" s="7" t="s">
        <v>128</v>
      </c>
      <c r="G14" s="203"/>
      <c r="H14" s="203"/>
      <c r="I14" s="7"/>
      <c r="J14" s="7"/>
      <c r="K14" s="7"/>
      <c r="L14" s="7"/>
      <c r="M14" s="13"/>
      <c r="N14" s="13"/>
      <c r="O14" s="13"/>
      <c r="P14" s="13"/>
      <c r="Q14" s="13"/>
      <c r="R14" s="13"/>
      <c r="S14" s="13"/>
      <c r="T14" s="13"/>
      <c r="U14" s="167"/>
      <c r="V14" s="13"/>
      <c r="W14" s="13"/>
      <c r="X14" s="13"/>
      <c r="Y14" s="13"/>
      <c r="Z14" s="13"/>
      <c r="AA14" s="13"/>
      <c r="AB14" s="262"/>
      <c r="AC14" s="262"/>
      <c r="AD14" s="262"/>
      <c r="AE14" s="262"/>
      <c r="AF14" s="262"/>
      <c r="AG14" s="262"/>
      <c r="AH14" s="262"/>
      <c r="AI14" s="379"/>
      <c r="AJ14" s="167"/>
      <c r="AK14" s="13"/>
      <c r="AL14" s="12" t="s">
        <v>129</v>
      </c>
      <c r="AM14" s="13"/>
      <c r="AN14" s="13"/>
      <c r="AO14" s="13"/>
      <c r="AP14" s="13"/>
      <c r="AQ14" s="13"/>
      <c r="AR14" s="12" t="s">
        <v>130</v>
      </c>
      <c r="AS14" s="13" t="s">
        <v>130</v>
      </c>
      <c r="AT14" s="13"/>
      <c r="AU14" s="12"/>
      <c r="AV14" s="13"/>
      <c r="AW14" s="13"/>
      <c r="AX14" s="13"/>
      <c r="AY14" s="13"/>
      <c r="AZ14" s="12"/>
      <c r="BA14" s="13"/>
      <c r="BB14" s="13"/>
      <c r="BC14" s="13"/>
      <c r="BD14" s="13"/>
      <c r="BE14" s="13"/>
      <c r="BF14" s="13"/>
      <c r="BG14" s="13"/>
      <c r="BH14" s="13"/>
      <c r="BI14" s="13"/>
      <c r="BJ14" s="5">
        <f>COUNTIF(M14,"*")+COUNTIF(W14,"*")+COUNTIF(AL14,"*")+COUNTIF(AZ14,"*")</f>
        <v>1</v>
      </c>
    </row>
    <row r="15" spans="1:63" ht="13.8" hidden="1">
      <c r="A15" s="7">
        <v>1</v>
      </c>
      <c r="B15" s="7">
        <v>5</v>
      </c>
      <c r="C15" s="203" t="s">
        <v>73</v>
      </c>
      <c r="D15" s="203"/>
      <c r="E15" s="7"/>
      <c r="F15" s="7" t="s">
        <v>131</v>
      </c>
      <c r="G15" s="203"/>
      <c r="H15" s="203"/>
      <c r="I15" s="7"/>
      <c r="J15" s="7"/>
      <c r="K15" s="7"/>
      <c r="L15" s="293"/>
      <c r="M15" s="13"/>
      <c r="N15" s="13"/>
      <c r="O15" s="13"/>
      <c r="P15" s="13"/>
      <c r="Q15" s="13"/>
      <c r="R15" s="13"/>
      <c r="S15" s="13"/>
      <c r="T15" s="13"/>
      <c r="U15" s="167"/>
      <c r="V15" s="13"/>
      <c r="W15" s="13"/>
      <c r="X15" s="13"/>
      <c r="Y15" s="13"/>
      <c r="Z15" s="13"/>
      <c r="AA15" s="13"/>
      <c r="AB15" s="319"/>
      <c r="AC15" s="319"/>
      <c r="AD15" s="319"/>
      <c r="AE15" s="319"/>
      <c r="AF15" s="319"/>
      <c r="AG15" s="319"/>
      <c r="AH15" s="319"/>
      <c r="AI15" s="379"/>
      <c r="AJ15" s="167"/>
      <c r="AK15" s="13"/>
      <c r="AL15" s="12" t="s">
        <v>132</v>
      </c>
      <c r="AM15" s="13"/>
      <c r="AN15" s="13"/>
      <c r="AO15" s="13"/>
      <c r="AP15" s="13"/>
      <c r="AQ15" s="13"/>
      <c r="AR15" s="12" t="s">
        <v>133</v>
      </c>
      <c r="AS15" s="13" t="s">
        <v>133</v>
      </c>
      <c r="AT15" s="13"/>
      <c r="AU15" s="12"/>
      <c r="AV15" s="13"/>
      <c r="AW15" s="13"/>
      <c r="AX15" s="13"/>
      <c r="AY15" s="13"/>
      <c r="AZ15" s="12"/>
      <c r="BA15" s="13"/>
      <c r="BB15" s="13"/>
      <c r="BC15" s="13"/>
      <c r="BD15" s="13"/>
      <c r="BE15" s="13"/>
      <c r="BF15" s="13"/>
      <c r="BG15" s="13"/>
      <c r="BH15" s="13"/>
      <c r="BI15" s="13"/>
      <c r="BJ15" s="5">
        <f>COUNTIF(M15,"*")+COUNTIF(W15,"*")+COUNTIF(AL15,"*")+COUNTIF(AZ15,"*")</f>
        <v>1</v>
      </c>
    </row>
    <row r="16" spans="1:63" ht="27.6" hidden="1">
      <c r="A16" s="7">
        <v>1</v>
      </c>
      <c r="B16" s="7">
        <v>6</v>
      </c>
      <c r="C16" s="203" t="s">
        <v>73</v>
      </c>
      <c r="D16" s="203"/>
      <c r="E16" s="7"/>
      <c r="F16" s="7" t="s">
        <v>134</v>
      </c>
      <c r="G16" s="203"/>
      <c r="H16" s="203"/>
      <c r="I16" s="7"/>
      <c r="J16" s="7"/>
      <c r="K16" s="7"/>
      <c r="L16" s="7"/>
      <c r="M16" s="13"/>
      <c r="N16" s="13"/>
      <c r="O16" s="13"/>
      <c r="P16" s="13"/>
      <c r="Q16" s="13"/>
      <c r="R16" s="13"/>
      <c r="S16" s="13"/>
      <c r="T16" s="13"/>
      <c r="U16" s="167"/>
      <c r="V16" s="13"/>
      <c r="W16" s="13"/>
      <c r="X16" s="13"/>
      <c r="Y16" s="13"/>
      <c r="Z16" s="13"/>
      <c r="AA16" s="13"/>
      <c r="AB16" s="262"/>
      <c r="AC16" s="262"/>
      <c r="AD16" s="262"/>
      <c r="AE16" s="262"/>
      <c r="AF16" s="262"/>
      <c r="AG16" s="262"/>
      <c r="AH16" s="262"/>
      <c r="AI16" s="379"/>
      <c r="AJ16" s="167"/>
      <c r="AK16" s="13"/>
      <c r="AL16" s="12" t="s">
        <v>135</v>
      </c>
      <c r="AM16" s="13"/>
      <c r="AN16" s="13"/>
      <c r="AO16" s="13"/>
      <c r="AP16" s="13"/>
      <c r="AQ16" s="13"/>
      <c r="AR16" s="12" t="s">
        <v>134</v>
      </c>
      <c r="AS16" s="13" t="s">
        <v>134</v>
      </c>
      <c r="AT16" s="13"/>
      <c r="AU16" s="12"/>
      <c r="AV16" s="13"/>
      <c r="AW16" s="13"/>
      <c r="AX16" s="13"/>
      <c r="AY16" s="13"/>
      <c r="AZ16" s="12"/>
      <c r="BA16" s="13"/>
      <c r="BB16" s="13"/>
      <c r="BC16" s="13"/>
      <c r="BD16" s="13"/>
      <c r="BE16" s="13"/>
      <c r="BF16" s="13"/>
      <c r="BG16" s="13"/>
      <c r="BH16" s="13"/>
      <c r="BI16" s="13"/>
      <c r="BJ16" s="5">
        <f>COUNTIF(M16,"*")+COUNTIF(W16,"*")+COUNTIF(AL16,"*")+COUNTIF(AZ16,"*")</f>
        <v>1</v>
      </c>
    </row>
    <row r="17" spans="1:63" ht="13.8" hidden="1">
      <c r="A17" s="7">
        <v>1</v>
      </c>
      <c r="B17" s="7">
        <v>7</v>
      </c>
      <c r="C17" s="203" t="s">
        <v>73</v>
      </c>
      <c r="D17" s="203"/>
      <c r="E17" s="7"/>
      <c r="F17" s="7" t="s">
        <v>136</v>
      </c>
      <c r="G17" s="203"/>
      <c r="H17" s="203"/>
      <c r="I17" s="7"/>
      <c r="J17" s="7"/>
      <c r="K17" s="7"/>
      <c r="L17" s="7"/>
      <c r="M17" s="13"/>
      <c r="N17" s="13"/>
      <c r="O17" s="13"/>
      <c r="P17" s="13"/>
      <c r="Q17" s="13"/>
      <c r="R17" s="13"/>
      <c r="S17" s="13"/>
      <c r="T17" s="13"/>
      <c r="U17" s="167"/>
      <c r="V17" s="13"/>
      <c r="W17" s="13"/>
      <c r="X17" s="13"/>
      <c r="Y17" s="13"/>
      <c r="Z17" s="13"/>
      <c r="AA17" s="13"/>
      <c r="AB17" s="319"/>
      <c r="AC17" s="319"/>
      <c r="AD17" s="319"/>
      <c r="AE17" s="319"/>
      <c r="AF17" s="319"/>
      <c r="AG17" s="319"/>
      <c r="AH17" s="319"/>
      <c r="AI17" s="379"/>
      <c r="AJ17" s="167"/>
      <c r="AK17" s="13"/>
      <c r="AL17" s="12" t="s">
        <v>137</v>
      </c>
      <c r="AM17" s="13"/>
      <c r="AN17" s="13"/>
      <c r="AO17" s="13"/>
      <c r="AP17" s="13"/>
      <c r="AQ17" s="13"/>
      <c r="AR17" s="12" t="s">
        <v>138</v>
      </c>
      <c r="AS17" s="13" t="s">
        <v>138</v>
      </c>
      <c r="AT17" s="13"/>
      <c r="AU17" s="12"/>
      <c r="AV17" s="13"/>
      <c r="AW17" s="13"/>
      <c r="AX17" s="13"/>
      <c r="AY17" s="13"/>
      <c r="AZ17" s="12"/>
      <c r="BA17" s="13"/>
      <c r="BB17" s="13"/>
      <c r="BC17" s="13"/>
      <c r="BD17" s="13"/>
      <c r="BE17" s="13"/>
      <c r="BF17" s="13"/>
      <c r="BG17" s="13"/>
      <c r="BH17" s="13"/>
      <c r="BI17" s="13"/>
      <c r="BJ17" s="5">
        <f>COUNTIF(M17,"*")+COUNTIF(W17,"*")+COUNTIF(AL17,"*")+COUNTIF(AZ17,"*")</f>
        <v>1</v>
      </c>
    </row>
    <row r="18" spans="1:63" ht="13.8" hidden="1">
      <c r="A18" s="7">
        <v>1</v>
      </c>
      <c r="B18" s="7">
        <v>8</v>
      </c>
      <c r="C18" s="203" t="s">
        <v>73</v>
      </c>
      <c r="D18" s="203"/>
      <c r="E18" s="7"/>
      <c r="F18" s="7" t="s">
        <v>139</v>
      </c>
      <c r="G18" s="203"/>
      <c r="H18" s="203"/>
      <c r="I18" s="7"/>
      <c r="J18" s="7"/>
      <c r="K18" s="7"/>
      <c r="L18" s="7"/>
      <c r="M18" s="13"/>
      <c r="N18" s="13"/>
      <c r="O18" s="13"/>
      <c r="P18" s="13"/>
      <c r="Q18" s="13"/>
      <c r="R18" s="13"/>
      <c r="S18" s="13"/>
      <c r="T18" s="13"/>
      <c r="U18" s="167"/>
      <c r="V18" s="13"/>
      <c r="W18" s="13"/>
      <c r="X18" s="13"/>
      <c r="Y18" s="13"/>
      <c r="Z18" s="13"/>
      <c r="AA18" s="13"/>
      <c r="AB18" s="262"/>
      <c r="AC18" s="262"/>
      <c r="AD18" s="262"/>
      <c r="AE18" s="262"/>
      <c r="AF18" s="262"/>
      <c r="AG18" s="262"/>
      <c r="AH18" s="262"/>
      <c r="AI18" s="379"/>
      <c r="AJ18" s="167"/>
      <c r="AK18" s="13"/>
      <c r="AL18" s="12" t="s">
        <v>140</v>
      </c>
      <c r="AM18" s="13"/>
      <c r="AN18" s="13"/>
      <c r="AO18" s="13"/>
      <c r="AP18" s="13"/>
      <c r="AQ18" s="13"/>
      <c r="AR18" s="12" t="s">
        <v>141</v>
      </c>
      <c r="AS18" s="13" t="s">
        <v>141</v>
      </c>
      <c r="AT18" s="13"/>
      <c r="AU18" s="12"/>
      <c r="AV18" s="13"/>
      <c r="AW18" s="13"/>
      <c r="AX18" s="13"/>
      <c r="AY18" s="13"/>
      <c r="AZ18" s="12"/>
      <c r="BA18" s="13"/>
      <c r="BB18" s="13"/>
      <c r="BC18" s="13"/>
      <c r="BD18" s="13"/>
      <c r="BE18" s="13"/>
      <c r="BF18" s="13"/>
      <c r="BG18" s="13"/>
      <c r="BH18" s="13"/>
      <c r="BI18" s="13"/>
      <c r="BJ18" s="5">
        <f>COUNTIF(M18,"*")+COUNTIF(W18,"*")+COUNTIF(AL18,"*")+COUNTIF(AZ18,"*")</f>
        <v>1</v>
      </c>
    </row>
    <row r="19" spans="1:63" ht="47.4" hidden="1" customHeight="1">
      <c r="A19" s="7">
        <v>1</v>
      </c>
      <c r="B19" s="7">
        <v>9</v>
      </c>
      <c r="C19" s="203" t="s">
        <v>73</v>
      </c>
      <c r="D19" s="203"/>
      <c r="E19" s="7"/>
      <c r="F19" s="7" t="s">
        <v>142</v>
      </c>
      <c r="G19" s="203"/>
      <c r="H19" s="203"/>
      <c r="I19" s="7"/>
      <c r="J19" s="7"/>
      <c r="K19" s="7"/>
      <c r="L19" s="7"/>
      <c r="M19" s="13"/>
      <c r="N19" s="13"/>
      <c r="O19" s="13"/>
      <c r="P19" s="13"/>
      <c r="Q19" s="13"/>
      <c r="R19" s="13"/>
      <c r="S19" s="13"/>
      <c r="T19" s="13"/>
      <c r="U19" s="167"/>
      <c r="V19" s="13"/>
      <c r="W19" s="13"/>
      <c r="X19" s="13"/>
      <c r="Y19" s="13"/>
      <c r="Z19" s="13"/>
      <c r="AA19" s="13"/>
      <c r="AB19" s="13"/>
      <c r="AC19" s="13"/>
      <c r="AD19" s="13"/>
      <c r="AE19" s="13"/>
      <c r="AF19" s="13"/>
      <c r="AG19" s="13"/>
      <c r="AH19" s="13"/>
      <c r="AI19" s="13"/>
      <c r="AJ19" s="167"/>
      <c r="AK19" s="13"/>
      <c r="AL19" s="12"/>
      <c r="AM19" s="13"/>
      <c r="AN19" s="13"/>
      <c r="AO19" s="13"/>
      <c r="AP19" s="13"/>
      <c r="AQ19" s="13"/>
      <c r="AR19" s="12"/>
      <c r="AS19" s="13"/>
      <c r="AT19" s="13"/>
      <c r="AU19" s="12"/>
      <c r="AV19" s="13"/>
      <c r="AW19" s="13"/>
      <c r="AX19" s="13"/>
      <c r="AY19" s="13"/>
      <c r="AZ19" s="12" t="s">
        <v>142</v>
      </c>
      <c r="BA19" s="13" t="s">
        <v>143</v>
      </c>
      <c r="BB19" s="13"/>
      <c r="BC19" s="13"/>
      <c r="BD19" s="13" t="s">
        <v>144</v>
      </c>
      <c r="BE19" s="13" t="s">
        <v>80</v>
      </c>
      <c r="BF19" s="13"/>
      <c r="BG19" s="13"/>
      <c r="BH19" s="13"/>
      <c r="BI19" s="13"/>
      <c r="BJ19" s="5">
        <f>COUNTIF(M19,"*")+COUNTIF(W19,"*")+COUNTIF(AL19,"*")+COUNTIF(AZ19,"*")</f>
        <v>1</v>
      </c>
      <c r="BK19" s="211" t="s">
        <v>1756</v>
      </c>
    </row>
    <row r="20" spans="1:63" ht="41.4" hidden="1">
      <c r="A20" s="7">
        <v>1</v>
      </c>
      <c r="B20" s="7">
        <v>10</v>
      </c>
      <c r="C20" s="203" t="s">
        <v>73</v>
      </c>
      <c r="D20" s="203"/>
      <c r="E20" s="7"/>
      <c r="F20" s="7" t="s">
        <v>145</v>
      </c>
      <c r="G20" s="203"/>
      <c r="H20" s="203"/>
      <c r="I20" s="7"/>
      <c r="J20" s="7"/>
      <c r="K20" s="7"/>
      <c r="L20" s="7"/>
      <c r="M20" s="13"/>
      <c r="N20" s="13"/>
      <c r="O20" s="13"/>
      <c r="P20" s="13"/>
      <c r="Q20" s="13"/>
      <c r="R20" s="13"/>
      <c r="S20" s="13"/>
      <c r="T20" s="13"/>
      <c r="U20" s="167"/>
      <c r="V20" s="13"/>
      <c r="W20" s="13"/>
      <c r="X20" s="13"/>
      <c r="Y20" s="13"/>
      <c r="Z20" s="13"/>
      <c r="AA20" s="13"/>
      <c r="AB20" s="13"/>
      <c r="AC20" s="13"/>
      <c r="AD20" s="13"/>
      <c r="AE20" s="13"/>
      <c r="AF20" s="13"/>
      <c r="AG20" s="13"/>
      <c r="AH20" s="13"/>
      <c r="AI20" s="13"/>
      <c r="AJ20" s="167"/>
      <c r="AK20" s="13"/>
      <c r="AL20" s="12"/>
      <c r="AM20" s="13"/>
      <c r="AN20" s="13"/>
      <c r="AO20" s="13"/>
      <c r="AP20" s="13"/>
      <c r="AQ20" s="13"/>
      <c r="AR20" s="12"/>
      <c r="AS20" s="13"/>
      <c r="AT20" s="13"/>
      <c r="AU20" s="12"/>
      <c r="AV20" s="13"/>
      <c r="AW20" s="13"/>
      <c r="AX20" s="13"/>
      <c r="AY20" s="13"/>
      <c r="AZ20" s="12" t="s">
        <v>146</v>
      </c>
      <c r="BA20" s="13" t="s">
        <v>146</v>
      </c>
      <c r="BB20" s="13"/>
      <c r="BC20" s="13"/>
      <c r="BD20" s="13" t="s">
        <v>147</v>
      </c>
      <c r="BE20" s="13" t="s">
        <v>89</v>
      </c>
      <c r="BF20" s="13"/>
      <c r="BG20" s="13"/>
      <c r="BH20" s="13"/>
      <c r="BI20" s="13"/>
      <c r="BJ20" s="5">
        <f>COUNTIF(M20,"*")+COUNTIF(W20,"*")+COUNTIF(AL20,"*")+COUNTIF(AZ20,"*")</f>
        <v>1</v>
      </c>
      <c r="BK20" s="211" t="s">
        <v>1756</v>
      </c>
    </row>
    <row r="21" spans="1:63" ht="27.6" hidden="1">
      <c r="A21" s="7">
        <v>1</v>
      </c>
      <c r="B21" s="7">
        <v>11</v>
      </c>
      <c r="C21" s="203" t="s">
        <v>73</v>
      </c>
      <c r="D21" s="203"/>
      <c r="E21" s="7"/>
      <c r="F21" s="7" t="s">
        <v>148</v>
      </c>
      <c r="G21" s="203"/>
      <c r="H21" s="203"/>
      <c r="I21" s="7"/>
      <c r="J21" s="7"/>
      <c r="K21" s="7"/>
      <c r="L21" s="7"/>
      <c r="M21" s="13"/>
      <c r="N21" s="13"/>
      <c r="O21" s="13"/>
      <c r="P21" s="13"/>
      <c r="Q21" s="13"/>
      <c r="R21" s="13"/>
      <c r="S21" s="13"/>
      <c r="T21" s="13"/>
      <c r="U21" s="167"/>
      <c r="V21" s="13"/>
      <c r="W21" s="13"/>
      <c r="X21" s="13"/>
      <c r="Y21" s="13"/>
      <c r="Z21" s="13"/>
      <c r="AA21" s="13"/>
      <c r="AB21" s="13"/>
      <c r="AC21" s="13"/>
      <c r="AD21" s="13"/>
      <c r="AE21" s="13"/>
      <c r="AF21" s="13"/>
      <c r="AG21" s="13"/>
      <c r="AH21" s="13"/>
      <c r="AI21" s="13"/>
      <c r="AJ21" s="167"/>
      <c r="AK21" s="13"/>
      <c r="AL21" s="12"/>
      <c r="AM21" s="13"/>
      <c r="AN21" s="13"/>
      <c r="AO21" s="13"/>
      <c r="AP21" s="13"/>
      <c r="AQ21" s="13"/>
      <c r="AR21" s="12"/>
      <c r="AS21" s="13"/>
      <c r="AT21" s="13"/>
      <c r="AU21" s="12"/>
      <c r="AV21" s="13"/>
      <c r="AW21" s="13"/>
      <c r="AX21" s="13"/>
      <c r="AY21" s="13"/>
      <c r="AZ21" s="12" t="s">
        <v>52</v>
      </c>
      <c r="BA21" s="13" t="s">
        <v>52</v>
      </c>
      <c r="BB21" s="13"/>
      <c r="BC21" s="13"/>
      <c r="BD21" s="13" t="s">
        <v>149</v>
      </c>
      <c r="BE21" s="13" t="s">
        <v>89</v>
      </c>
      <c r="BF21" s="13"/>
      <c r="BG21" s="13"/>
      <c r="BH21" s="13"/>
      <c r="BI21" s="13"/>
      <c r="BJ21" s="5">
        <f>COUNTIF(M21,"*")+COUNTIF(W21,"*")+COUNTIF(AL21,"*")+COUNTIF(AZ21,"*")</f>
        <v>1</v>
      </c>
      <c r="BK21" s="211" t="s">
        <v>1756</v>
      </c>
    </row>
    <row r="22" spans="1:63" ht="27.6" hidden="1">
      <c r="A22" s="7">
        <v>1</v>
      </c>
      <c r="B22" s="7">
        <v>12</v>
      </c>
      <c r="C22" s="203" t="s">
        <v>73</v>
      </c>
      <c r="D22" s="203"/>
      <c r="E22" s="7"/>
      <c r="F22" s="7" t="s">
        <v>154</v>
      </c>
      <c r="G22" s="203"/>
      <c r="H22" s="203"/>
      <c r="I22" s="7"/>
      <c r="J22" s="7"/>
      <c r="K22" s="7"/>
      <c r="L22" s="7"/>
      <c r="M22" s="12"/>
      <c r="N22" s="13"/>
      <c r="O22" s="13"/>
      <c r="P22" s="13"/>
      <c r="Q22" s="13"/>
      <c r="R22" s="13"/>
      <c r="S22" s="13"/>
      <c r="T22" s="13"/>
      <c r="U22" s="167"/>
      <c r="V22" s="13"/>
      <c r="W22" s="13" t="s">
        <v>155</v>
      </c>
      <c r="X22" s="13" t="s">
        <v>155</v>
      </c>
      <c r="Y22" s="13"/>
      <c r="Z22" s="13"/>
      <c r="AA22" s="13" t="s">
        <v>156</v>
      </c>
      <c r="AB22" s="154" t="s">
        <v>80</v>
      </c>
      <c r="AC22" s="154" t="s">
        <v>80</v>
      </c>
      <c r="AD22" s="154" t="s">
        <v>80</v>
      </c>
      <c r="AE22" s="154" t="s">
        <v>80</v>
      </c>
      <c r="AF22" s="154" t="s">
        <v>80</v>
      </c>
      <c r="AG22" s="154"/>
      <c r="AH22" s="154"/>
      <c r="AI22" s="379"/>
      <c r="AJ22" s="167"/>
      <c r="AK22" s="13"/>
      <c r="AL22" s="12"/>
      <c r="AM22" s="13"/>
      <c r="AN22" s="13"/>
      <c r="AO22" s="13"/>
      <c r="AP22" s="13"/>
      <c r="AQ22" s="13"/>
      <c r="AR22" s="12"/>
      <c r="AS22" s="13"/>
      <c r="AT22" s="13"/>
      <c r="AU22" s="12"/>
      <c r="AV22" s="13"/>
      <c r="AW22" s="13"/>
      <c r="AX22" s="13"/>
      <c r="AY22" s="13"/>
      <c r="AZ22" s="12"/>
      <c r="BA22" s="13"/>
      <c r="BB22" s="13"/>
      <c r="BC22" s="13"/>
      <c r="BD22" s="13"/>
      <c r="BE22" s="13"/>
      <c r="BF22" s="13"/>
      <c r="BG22" s="13"/>
      <c r="BH22" s="13"/>
      <c r="BI22" s="13"/>
      <c r="BJ22" s="5">
        <f>COUNTIF(M22,"*")+COUNTIF(W22,"*")+COUNTIF(AL22,"*")+COUNTIF(AZ22,"*")</f>
        <v>1</v>
      </c>
      <c r="BK22" s="211" t="s">
        <v>1756</v>
      </c>
    </row>
    <row r="23" spans="1:63" ht="27.6" hidden="1">
      <c r="A23" s="7">
        <v>1</v>
      </c>
      <c r="B23" s="7">
        <v>13</v>
      </c>
      <c r="C23" s="203" t="s">
        <v>73</v>
      </c>
      <c r="D23" s="203"/>
      <c r="E23" s="7"/>
      <c r="F23" s="7" t="s">
        <v>157</v>
      </c>
      <c r="G23" s="203"/>
      <c r="H23" s="203"/>
      <c r="I23" s="7"/>
      <c r="J23" s="7"/>
      <c r="K23" s="7"/>
      <c r="L23" s="7"/>
      <c r="M23" s="12"/>
      <c r="N23" s="13"/>
      <c r="O23" s="13"/>
      <c r="P23" s="13"/>
      <c r="Q23" s="13"/>
      <c r="R23" s="13"/>
      <c r="S23" s="13"/>
      <c r="T23" s="13"/>
      <c r="U23" s="167"/>
      <c r="V23" s="13"/>
      <c r="W23" s="13" t="s">
        <v>158</v>
      </c>
      <c r="X23" s="13" t="s">
        <v>158</v>
      </c>
      <c r="Y23" s="13"/>
      <c r="Z23" s="13"/>
      <c r="AA23" s="13" t="s">
        <v>159</v>
      </c>
      <c r="AB23" s="154" t="s">
        <v>80</v>
      </c>
      <c r="AC23" s="154" t="s">
        <v>160</v>
      </c>
      <c r="AD23" s="154">
        <v>1</v>
      </c>
      <c r="AE23" s="262" t="s">
        <v>161</v>
      </c>
      <c r="AF23" s="262" t="s">
        <v>80</v>
      </c>
      <c r="AG23" s="262"/>
      <c r="AH23" s="262"/>
      <c r="AI23" s="379"/>
      <c r="AJ23" s="167"/>
      <c r="AK23" s="13"/>
      <c r="AL23" s="12"/>
      <c r="AM23" s="13"/>
      <c r="AN23" s="13"/>
      <c r="AO23" s="13"/>
      <c r="AP23" s="13"/>
      <c r="AQ23" s="13"/>
      <c r="AR23" s="12"/>
      <c r="AS23" s="13"/>
      <c r="AT23" s="13"/>
      <c r="AU23" s="12"/>
      <c r="AV23" s="13"/>
      <c r="AW23" s="13"/>
      <c r="AX23" s="13"/>
      <c r="AY23" s="13"/>
      <c r="AZ23" s="12"/>
      <c r="BA23" s="13"/>
      <c r="BB23" s="13"/>
      <c r="BC23" s="13"/>
      <c r="BD23" s="13"/>
      <c r="BE23" s="13"/>
      <c r="BF23" s="13"/>
      <c r="BG23" s="13"/>
      <c r="BH23" s="13"/>
      <c r="BI23" s="13"/>
      <c r="BJ23" s="5">
        <f>COUNTIF(M23,"*")+COUNTIF(W23,"*")+COUNTIF(AL23,"*")+COUNTIF(AZ23,"*")</f>
        <v>1</v>
      </c>
      <c r="BK23" s="211" t="s">
        <v>1756</v>
      </c>
    </row>
    <row r="24" spans="1:63" ht="13.8" hidden="1">
      <c r="A24" s="7">
        <v>1</v>
      </c>
      <c r="B24" s="7">
        <v>14</v>
      </c>
      <c r="C24" s="203" t="s">
        <v>73</v>
      </c>
      <c r="D24" s="203"/>
      <c r="E24" s="7"/>
      <c r="F24" s="7" t="s">
        <v>162</v>
      </c>
      <c r="G24" s="203"/>
      <c r="H24" s="203"/>
      <c r="I24" s="7"/>
      <c r="J24" s="7"/>
      <c r="K24" s="7"/>
      <c r="L24" s="7"/>
      <c r="M24" s="12"/>
      <c r="N24" s="13"/>
      <c r="O24" s="13"/>
      <c r="P24" s="13"/>
      <c r="Q24" s="13"/>
      <c r="R24" s="13"/>
      <c r="S24" s="13"/>
      <c r="T24" s="13"/>
      <c r="U24" s="167"/>
      <c r="V24" s="13"/>
      <c r="W24" s="13" t="s">
        <v>117</v>
      </c>
      <c r="X24" s="13" t="s">
        <v>117</v>
      </c>
      <c r="Y24" s="13"/>
      <c r="Z24" s="13"/>
      <c r="AA24" s="13" t="s">
        <v>163</v>
      </c>
      <c r="AB24" s="154" t="s">
        <v>80</v>
      </c>
      <c r="AC24" s="154" t="s">
        <v>80</v>
      </c>
      <c r="AD24" s="154" t="s">
        <v>80</v>
      </c>
      <c r="AE24" s="154" t="s">
        <v>80</v>
      </c>
      <c r="AF24" s="154" t="s">
        <v>80</v>
      </c>
      <c r="AG24" s="154"/>
      <c r="AH24" s="154"/>
      <c r="AI24" s="379"/>
      <c r="AJ24" s="167"/>
      <c r="AK24" s="13"/>
      <c r="AL24" s="12"/>
      <c r="AM24" s="13"/>
      <c r="AN24" s="13"/>
      <c r="AO24" s="13"/>
      <c r="AP24" s="13"/>
      <c r="AQ24" s="13"/>
      <c r="AR24" s="12"/>
      <c r="AS24" s="13"/>
      <c r="AT24" s="13"/>
      <c r="AU24" s="12"/>
      <c r="AV24" s="13"/>
      <c r="AW24" s="13"/>
      <c r="AX24" s="13"/>
      <c r="AY24" s="13"/>
      <c r="AZ24" s="12"/>
      <c r="BA24" s="13"/>
      <c r="BB24" s="13"/>
      <c r="BC24" s="13"/>
      <c r="BD24" s="13"/>
      <c r="BE24" s="13"/>
      <c r="BF24" s="13"/>
      <c r="BG24" s="13"/>
      <c r="BH24" s="13"/>
      <c r="BI24" s="13"/>
      <c r="BJ24" s="5">
        <f>COUNTIF(M24,"*")+COUNTIF(W24,"*")+COUNTIF(AL24,"*")+COUNTIF(AZ24,"*")</f>
        <v>1</v>
      </c>
      <c r="BK24" s="211" t="s">
        <v>1756</v>
      </c>
    </row>
    <row r="25" spans="1:63" ht="13.8" hidden="1">
      <c r="A25" s="7">
        <v>1</v>
      </c>
      <c r="B25" s="7">
        <v>15</v>
      </c>
      <c r="C25" s="203" t="s">
        <v>73</v>
      </c>
      <c r="D25" s="203"/>
      <c r="E25" s="7"/>
      <c r="F25" s="7" t="s">
        <v>164</v>
      </c>
      <c r="G25" s="203"/>
      <c r="H25" s="203"/>
      <c r="I25" s="7"/>
      <c r="J25" s="7"/>
      <c r="K25" s="7"/>
      <c r="L25" s="7"/>
      <c r="M25" s="12"/>
      <c r="N25" s="13"/>
      <c r="O25" s="13"/>
      <c r="P25" s="13"/>
      <c r="Q25" s="13"/>
      <c r="R25" s="13"/>
      <c r="S25" s="13"/>
      <c r="T25" s="13"/>
      <c r="U25" s="167"/>
      <c r="V25" s="13"/>
      <c r="W25" s="13" t="s">
        <v>165</v>
      </c>
      <c r="X25" s="13" t="s">
        <v>165</v>
      </c>
      <c r="Y25" s="13"/>
      <c r="Z25" s="13"/>
      <c r="AA25" s="13" t="s">
        <v>166</v>
      </c>
      <c r="AB25" s="154" t="s">
        <v>80</v>
      </c>
      <c r="AC25" s="154" t="s">
        <v>80</v>
      </c>
      <c r="AD25" s="154" t="s">
        <v>80</v>
      </c>
      <c r="AE25" s="154" t="s">
        <v>80</v>
      </c>
      <c r="AF25" s="154" t="s">
        <v>80</v>
      </c>
      <c r="AG25" s="154"/>
      <c r="AH25" s="154"/>
      <c r="AI25" s="379"/>
      <c r="AJ25" s="167"/>
      <c r="AK25" s="13"/>
      <c r="AL25" s="12"/>
      <c r="AM25" s="13"/>
      <c r="AN25" s="13"/>
      <c r="AO25" s="13"/>
      <c r="AP25" s="13"/>
      <c r="AQ25" s="13"/>
      <c r="AR25" s="12"/>
      <c r="AS25" s="13"/>
      <c r="AT25" s="13"/>
      <c r="AU25" s="12"/>
      <c r="AV25" s="13"/>
      <c r="AW25" s="13"/>
      <c r="AX25" s="13"/>
      <c r="AY25" s="13"/>
      <c r="AZ25" s="12"/>
      <c r="BA25" s="13"/>
      <c r="BB25" s="13"/>
      <c r="BC25" s="13"/>
      <c r="BD25" s="13"/>
      <c r="BE25" s="13"/>
      <c r="BF25" s="13"/>
      <c r="BG25" s="13"/>
      <c r="BH25" s="13"/>
      <c r="BI25" s="13"/>
      <c r="BJ25" s="5">
        <f>COUNTIF(M25,"*")+COUNTIF(W25,"*")+COUNTIF(AL25,"*")+COUNTIF(AZ25,"*")</f>
        <v>1</v>
      </c>
      <c r="BK25" s="211" t="s">
        <v>1756</v>
      </c>
    </row>
    <row r="26" spans="1:63" ht="27.6" hidden="1">
      <c r="A26" s="7">
        <v>1</v>
      </c>
      <c r="B26" s="7">
        <v>16</v>
      </c>
      <c r="C26" s="203" t="s">
        <v>73</v>
      </c>
      <c r="D26" s="203"/>
      <c r="E26" s="7"/>
      <c r="F26" s="7" t="s">
        <v>167</v>
      </c>
      <c r="G26" s="203"/>
      <c r="H26" s="203"/>
      <c r="I26" s="7"/>
      <c r="J26" s="7"/>
      <c r="K26" s="7"/>
      <c r="L26" s="7"/>
      <c r="M26" s="12"/>
      <c r="N26" s="13"/>
      <c r="O26" s="13"/>
      <c r="P26" s="13"/>
      <c r="Q26" s="13"/>
      <c r="R26" s="13"/>
      <c r="S26" s="13"/>
      <c r="T26" s="13"/>
      <c r="U26" s="167"/>
      <c r="V26" s="13"/>
      <c r="W26" s="13" t="s">
        <v>168</v>
      </c>
      <c r="X26" s="13" t="s">
        <v>168</v>
      </c>
      <c r="Y26" s="13"/>
      <c r="Z26" s="13"/>
      <c r="AA26" s="13" t="s">
        <v>169</v>
      </c>
      <c r="AB26" s="262" t="s">
        <v>80</v>
      </c>
      <c r="AC26" s="262" t="s">
        <v>80</v>
      </c>
      <c r="AD26" s="262" t="s">
        <v>168</v>
      </c>
      <c r="AE26" s="262" t="s">
        <v>170</v>
      </c>
      <c r="AF26" s="262" t="s">
        <v>80</v>
      </c>
      <c r="AG26" s="262"/>
      <c r="AH26" s="262"/>
      <c r="AI26" s="379"/>
      <c r="AJ26" s="167"/>
      <c r="AK26" s="13"/>
      <c r="AL26" s="12"/>
      <c r="AM26" s="13"/>
      <c r="AN26" s="13"/>
      <c r="AO26" s="13"/>
      <c r="AP26" s="13"/>
      <c r="AQ26" s="13"/>
      <c r="AR26" s="12"/>
      <c r="AS26" s="13"/>
      <c r="AT26" s="13"/>
      <c r="AU26" s="12"/>
      <c r="AV26" s="13"/>
      <c r="AW26" s="13"/>
      <c r="AX26" s="13"/>
      <c r="AY26" s="13"/>
      <c r="AZ26" s="12"/>
      <c r="BA26" s="13"/>
      <c r="BB26" s="13"/>
      <c r="BC26" s="13"/>
      <c r="BD26" s="13"/>
      <c r="BE26" s="13"/>
      <c r="BF26" s="13"/>
      <c r="BG26" s="13"/>
      <c r="BH26" s="13"/>
      <c r="BI26" s="13"/>
      <c r="BJ26" s="5">
        <f>COUNTIF(M26,"*")+COUNTIF(W26,"*")+COUNTIF(AL26,"*")+COUNTIF(AZ26,"*")</f>
        <v>1</v>
      </c>
      <c r="BK26" s="211" t="s">
        <v>1756</v>
      </c>
    </row>
    <row r="27" spans="1:63" ht="55.2" hidden="1">
      <c r="A27" s="14">
        <v>2</v>
      </c>
      <c r="B27" s="14">
        <v>1</v>
      </c>
      <c r="C27" s="241" t="s">
        <v>174</v>
      </c>
      <c r="D27" s="204" t="s">
        <v>1624</v>
      </c>
      <c r="E27" s="204"/>
      <c r="F27" s="204" t="s">
        <v>1872</v>
      </c>
      <c r="G27" s="204" t="s">
        <v>1882</v>
      </c>
      <c r="H27" s="204" t="str">
        <f>_xlfn.CONCAT("'&lt;br&gt;','&lt;b&gt;','",F27, ": ','&lt;/b&gt;',",G27, ",'&lt;/br&gt;',")</f>
        <v>'&lt;br&gt;','&lt;b&gt;','From the Dataset Location Identification: ','&lt;/b&gt;',verbatimLocation,'&lt;/br&gt;',</v>
      </c>
      <c r="I27" s="204" t="s">
        <v>1881</v>
      </c>
      <c r="J27" s="14" t="s">
        <v>1887</v>
      </c>
      <c r="K27" s="204" t="s">
        <v>1867</v>
      </c>
      <c r="L27" s="204"/>
      <c r="M27" s="269" t="s">
        <v>76</v>
      </c>
      <c r="N27" s="236"/>
      <c r="O27" s="13" t="s">
        <v>76</v>
      </c>
      <c r="P27" s="13"/>
      <c r="Q27" s="13"/>
      <c r="R27" s="13"/>
      <c r="S27" s="13"/>
      <c r="T27" s="13"/>
      <c r="U27" s="167"/>
      <c r="V27" s="13"/>
      <c r="W27" s="13" t="s">
        <v>78</v>
      </c>
      <c r="X27" s="319" t="s">
        <v>78</v>
      </c>
      <c r="Y27" s="374"/>
      <c r="Z27" s="319"/>
      <c r="AA27" s="13" t="s">
        <v>79</v>
      </c>
      <c r="AB27" s="262" t="s">
        <v>80</v>
      </c>
      <c r="AC27" s="262" t="s">
        <v>80</v>
      </c>
      <c r="AD27" s="262" t="s">
        <v>80</v>
      </c>
      <c r="AE27" s="262" t="s">
        <v>80</v>
      </c>
      <c r="AF27" s="262" t="s">
        <v>80</v>
      </c>
      <c r="AG27" s="262"/>
      <c r="AH27" s="262"/>
      <c r="AI27" s="379"/>
      <c r="AJ27" s="167"/>
      <c r="AK27" s="13"/>
      <c r="AL27" s="12" t="s">
        <v>78</v>
      </c>
      <c r="AM27" s="13"/>
      <c r="AN27" s="13"/>
      <c r="AO27" s="13"/>
      <c r="AP27" s="13"/>
      <c r="AQ27" s="13"/>
      <c r="AR27" s="12" t="s">
        <v>84</v>
      </c>
      <c r="AS27" s="13" t="s">
        <v>84</v>
      </c>
      <c r="AT27" s="13"/>
      <c r="AU27" s="12"/>
      <c r="AV27" s="13"/>
      <c r="AW27" s="13"/>
      <c r="AX27" s="13"/>
      <c r="AY27" s="13"/>
      <c r="AZ27" s="12" t="s">
        <v>74</v>
      </c>
      <c r="BA27" s="13" t="s">
        <v>86</v>
      </c>
      <c r="BB27" s="13"/>
      <c r="BC27" s="13"/>
      <c r="BD27" s="13" t="s">
        <v>88</v>
      </c>
      <c r="BE27" s="319" t="s">
        <v>89</v>
      </c>
      <c r="BF27" s="319"/>
      <c r="BG27" s="379"/>
      <c r="BH27" s="319"/>
      <c r="BI27" s="379"/>
      <c r="BJ27" s="5">
        <f>COUNTIF(O27,"*")+COUNTIF(W27,"*")+COUNTIF(AL27,"*")+COUNTIF(AZ27,"*")</f>
        <v>4</v>
      </c>
      <c r="BK27" s="211" t="s">
        <v>1752</v>
      </c>
    </row>
    <row r="28" spans="1:63" ht="110.4" hidden="1">
      <c r="A28" s="14">
        <v>2</v>
      </c>
      <c r="B28" s="14">
        <v>2</v>
      </c>
      <c r="C28" s="241" t="s">
        <v>174</v>
      </c>
      <c r="D28" s="204" t="s">
        <v>1624</v>
      </c>
      <c r="E28" s="204"/>
      <c r="F28" s="204" t="s">
        <v>1981</v>
      </c>
      <c r="G28" s="204" t="s">
        <v>1855</v>
      </c>
      <c r="H28" s="204"/>
      <c r="I28" s="204" t="s">
        <v>1873</v>
      </c>
      <c r="J28" s="14" t="s">
        <v>1846</v>
      </c>
      <c r="K28" s="204"/>
      <c r="L28" s="204"/>
      <c r="M28" s="269"/>
      <c r="N28" s="236"/>
      <c r="O28" s="13"/>
      <c r="P28" s="13"/>
      <c r="Q28" s="13"/>
      <c r="R28" s="13"/>
      <c r="S28" s="13"/>
      <c r="T28" s="13"/>
      <c r="U28" s="167"/>
      <c r="V28" s="13"/>
      <c r="W28" s="13"/>
      <c r="X28" s="319"/>
      <c r="Y28" s="374"/>
      <c r="Z28" s="319"/>
      <c r="AA28" s="13"/>
      <c r="AB28" s="262"/>
      <c r="AC28" s="262"/>
      <c r="AD28" s="262"/>
      <c r="AE28" s="262"/>
      <c r="AF28" s="262"/>
      <c r="AG28" s="262"/>
      <c r="AH28" s="262"/>
      <c r="AI28" s="379"/>
      <c r="AJ28" s="167"/>
      <c r="AK28" s="13"/>
      <c r="AL28" s="282"/>
      <c r="AM28" s="264"/>
      <c r="AN28" s="264"/>
      <c r="AO28" s="264"/>
      <c r="AP28" s="264"/>
      <c r="AQ28" s="13"/>
      <c r="AR28" s="319"/>
      <c r="AS28" s="262"/>
      <c r="AT28" s="262"/>
      <c r="AU28" s="319"/>
      <c r="AV28" s="262"/>
      <c r="AW28" s="379"/>
      <c r="AX28" s="167"/>
      <c r="AY28" s="13"/>
      <c r="AZ28" s="12"/>
      <c r="BA28" s="236"/>
      <c r="BB28" s="236"/>
      <c r="BC28" s="236"/>
      <c r="BD28" s="13"/>
      <c r="BE28" s="319"/>
      <c r="BF28" s="319"/>
      <c r="BG28" s="379"/>
      <c r="BH28" s="319"/>
      <c r="BI28" s="379"/>
      <c r="BJ28" s="5"/>
    </row>
    <row r="29" spans="1:63" ht="138" hidden="1">
      <c r="A29" s="14">
        <v>2</v>
      </c>
      <c r="B29" s="14">
        <v>3</v>
      </c>
      <c r="C29" s="241" t="s">
        <v>174</v>
      </c>
      <c r="D29" s="204" t="s">
        <v>1624</v>
      </c>
      <c r="E29" s="204"/>
      <c r="F29" s="204" t="s">
        <v>1857</v>
      </c>
      <c r="G29" s="204" t="s">
        <v>1810</v>
      </c>
      <c r="H29" s="204" t="str">
        <f>_xlfn.CONCAT("'&lt;br&gt;','&lt;b&gt;','",F29, ": ','&lt;/b&gt;',",G29, ",'&lt;/br&gt;',")</f>
        <v>'&lt;br&gt;','&lt;b&gt;','From the Data Set Latitude: ','&lt;/b&gt;',verbatimLatitude,'&lt;/br&gt;',</v>
      </c>
      <c r="I29" s="204" t="s">
        <v>1894</v>
      </c>
      <c r="J29" s="14" t="s">
        <v>265</v>
      </c>
      <c r="K29" s="204" t="s">
        <v>1895</v>
      </c>
      <c r="L29" s="204"/>
      <c r="M29" s="269" t="s">
        <v>178</v>
      </c>
      <c r="N29" s="236"/>
      <c r="O29" s="13"/>
      <c r="P29" s="13"/>
      <c r="Q29" s="13"/>
      <c r="R29" s="13"/>
      <c r="S29" s="13"/>
      <c r="T29" s="13"/>
      <c r="U29" s="167"/>
      <c r="V29" s="13"/>
      <c r="W29" s="13" t="s">
        <v>176</v>
      </c>
      <c r="X29" s="319" t="s">
        <v>1564</v>
      </c>
      <c r="Y29" s="374"/>
      <c r="Z29" s="319"/>
      <c r="AA29" s="13" t="s">
        <v>179</v>
      </c>
      <c r="AB29" s="262" t="s">
        <v>80</v>
      </c>
      <c r="AC29" s="262" t="s">
        <v>180</v>
      </c>
      <c r="AD29" s="262" t="s">
        <v>80</v>
      </c>
      <c r="AE29" s="262" t="s">
        <v>80</v>
      </c>
      <c r="AF29" s="262" t="s">
        <v>80</v>
      </c>
      <c r="AG29" s="262"/>
      <c r="AH29" s="262"/>
      <c r="AI29" s="379"/>
      <c r="AJ29" s="167"/>
      <c r="AK29" s="13"/>
      <c r="AL29" s="282" t="s">
        <v>218</v>
      </c>
      <c r="AM29" s="264"/>
      <c r="AN29" s="264" t="s">
        <v>1885</v>
      </c>
      <c r="AO29" s="264"/>
      <c r="AP29" s="264"/>
      <c r="AQ29" s="13"/>
      <c r="AR29" s="262" t="s">
        <v>182</v>
      </c>
      <c r="AS29" s="262" t="s">
        <v>182</v>
      </c>
      <c r="AT29" s="262" t="s">
        <v>183</v>
      </c>
      <c r="AU29" s="319"/>
      <c r="AV29" s="319"/>
      <c r="AW29" s="379"/>
      <c r="AX29" s="167"/>
      <c r="AY29" s="13"/>
      <c r="AZ29" s="12" t="s">
        <v>175</v>
      </c>
      <c r="BA29" s="236" t="s">
        <v>184</v>
      </c>
      <c r="BB29" s="236"/>
      <c r="BC29" s="236"/>
      <c r="BD29" s="13" t="s">
        <v>185</v>
      </c>
      <c r="BE29" s="319" t="s">
        <v>186</v>
      </c>
      <c r="BF29" s="319"/>
      <c r="BG29" s="379"/>
      <c r="BH29" s="319"/>
      <c r="BI29" s="379"/>
      <c r="BJ29" s="5">
        <f>COUNTIF(M29,"*")+COUNTIF(W29,"*")+COUNTIF(AL29,"*")+COUNTIF(AZ29,"*")</f>
        <v>4</v>
      </c>
      <c r="BK29" s="211" t="s">
        <v>1754</v>
      </c>
    </row>
    <row r="30" spans="1:63" ht="138" hidden="1">
      <c r="A30" s="14">
        <v>2</v>
      </c>
      <c r="B30" s="14">
        <v>4</v>
      </c>
      <c r="C30" s="241" t="s">
        <v>174</v>
      </c>
      <c r="D30" s="204" t="s">
        <v>1624</v>
      </c>
      <c r="E30" s="204"/>
      <c r="F30" s="204" t="s">
        <v>1859</v>
      </c>
      <c r="G30" s="204" t="s">
        <v>1811</v>
      </c>
      <c r="H30" s="204" t="str">
        <f>_xlfn.CONCAT("'&lt;br&gt;','&lt;b&gt;','",F30, ": ','&lt;/b&gt;',",G30, ",'&lt;/br&gt;',")</f>
        <v>'&lt;br&gt;','&lt;b&gt;','From the dataset Longitude: ','&lt;/b&gt;',verbatimLongitude,'&lt;/br&gt;',</v>
      </c>
      <c r="I30" s="204" t="s">
        <v>1812</v>
      </c>
      <c r="J30" s="14" t="s">
        <v>265</v>
      </c>
      <c r="K30" s="204" t="s">
        <v>1895</v>
      </c>
      <c r="L30" s="204"/>
      <c r="M30" s="269" t="s">
        <v>189</v>
      </c>
      <c r="N30" s="236"/>
      <c r="O30" s="13"/>
      <c r="P30" s="13"/>
      <c r="Q30" s="13"/>
      <c r="R30" s="13"/>
      <c r="S30" s="13"/>
      <c r="T30" s="13"/>
      <c r="U30" s="167"/>
      <c r="V30" s="13"/>
      <c r="W30" s="13" t="s">
        <v>188</v>
      </c>
      <c r="X30" s="311" t="s">
        <v>1570</v>
      </c>
      <c r="Y30" s="311"/>
      <c r="Z30" s="311"/>
      <c r="AA30" s="13" t="s">
        <v>190</v>
      </c>
      <c r="AB30" s="154" t="s">
        <v>80</v>
      </c>
      <c r="AC30" s="154" t="s">
        <v>180</v>
      </c>
      <c r="AD30" s="154" t="s">
        <v>80</v>
      </c>
      <c r="AE30" s="262" t="s">
        <v>80</v>
      </c>
      <c r="AF30" s="262" t="s">
        <v>80</v>
      </c>
      <c r="AG30" s="262"/>
      <c r="AH30" s="262"/>
      <c r="AI30" s="379"/>
      <c r="AJ30" s="167"/>
      <c r="AK30" s="13"/>
      <c r="AL30" s="282" t="s">
        <v>220</v>
      </c>
      <c r="AM30" s="264"/>
      <c r="AN30" s="264" t="s">
        <v>1886</v>
      </c>
      <c r="AO30" s="264"/>
      <c r="AP30" s="264"/>
      <c r="AQ30" s="13"/>
      <c r="AR30" s="262" t="s">
        <v>192</v>
      </c>
      <c r="AS30" s="262" t="s">
        <v>192</v>
      </c>
      <c r="AT30" s="262" t="s">
        <v>183</v>
      </c>
      <c r="AU30" s="262"/>
      <c r="AV30" s="262"/>
      <c r="AW30" s="379"/>
      <c r="AX30" s="167"/>
      <c r="AY30" s="13"/>
      <c r="AZ30" s="12" t="s">
        <v>187</v>
      </c>
      <c r="BA30" s="236" t="s">
        <v>193</v>
      </c>
      <c r="BB30" s="236"/>
      <c r="BC30" s="236"/>
      <c r="BD30" s="13" t="s">
        <v>185</v>
      </c>
      <c r="BE30" s="319" t="s">
        <v>186</v>
      </c>
      <c r="BF30" s="319"/>
      <c r="BG30" s="379"/>
      <c r="BH30" s="319"/>
      <c r="BI30" s="379"/>
      <c r="BJ30" s="5">
        <f>COUNTIF(M30,"*")+COUNTIF(W30,"*")+COUNTIF(AL30,"*")+COUNTIF(AZ30,"*")</f>
        <v>4</v>
      </c>
      <c r="BK30" s="211" t="s">
        <v>1754</v>
      </c>
    </row>
    <row r="31" spans="1:63" ht="27.6" hidden="1">
      <c r="A31" s="14">
        <v>2</v>
      </c>
      <c r="B31" s="14">
        <v>5</v>
      </c>
      <c r="C31" s="241" t="s">
        <v>174</v>
      </c>
      <c r="D31" s="204" t="s">
        <v>1624</v>
      </c>
      <c r="E31" s="204"/>
      <c r="F31" s="204" t="s">
        <v>1866</v>
      </c>
      <c r="G31" s="204" t="s">
        <v>1841</v>
      </c>
      <c r="H31" s="204" t="str">
        <f>_xlfn.CONCAT("'&lt;br&gt;','&lt;b&gt;','",F31, ": ','&lt;/b&gt;',",G31, ",'&lt;/br&gt;',")</f>
        <v>'&lt;br&gt;','&lt;b&gt;','Stream Name From the Dataset: ','&lt;/b&gt;',verbatimWaterbody,'&lt;/br&gt;',</v>
      </c>
      <c r="I31" s="204" t="s">
        <v>1896</v>
      </c>
      <c r="J31" s="14" t="s">
        <v>1888</v>
      </c>
      <c r="K31" s="204" t="s">
        <v>1897</v>
      </c>
      <c r="L31" s="204"/>
      <c r="M31" s="269"/>
      <c r="N31" s="236"/>
      <c r="O31" s="13"/>
      <c r="P31" s="13"/>
      <c r="Q31" s="13"/>
      <c r="R31" s="13"/>
      <c r="S31" s="13"/>
      <c r="T31" s="13"/>
      <c r="U31" s="167"/>
      <c r="V31" s="13"/>
      <c r="W31" s="13" t="s">
        <v>195</v>
      </c>
      <c r="X31" s="13" t="s">
        <v>1737</v>
      </c>
      <c r="Y31" s="13"/>
      <c r="Z31" s="13"/>
      <c r="AA31" s="13" t="s">
        <v>196</v>
      </c>
      <c r="AB31" s="154" t="s">
        <v>80</v>
      </c>
      <c r="AC31" s="154" t="s">
        <v>80</v>
      </c>
      <c r="AD31" s="154" t="s">
        <v>80</v>
      </c>
      <c r="AE31" s="262" t="s">
        <v>80</v>
      </c>
      <c r="AF31" s="262" t="s">
        <v>80</v>
      </c>
      <c r="AG31" s="262"/>
      <c r="AH31" s="262"/>
      <c r="AI31" s="379"/>
      <c r="AJ31" s="167"/>
      <c r="AK31" s="13"/>
      <c r="AL31" s="269"/>
      <c r="AM31" s="236"/>
      <c r="AN31" s="236" t="s">
        <v>1884</v>
      </c>
      <c r="AO31" s="236"/>
      <c r="AP31" s="236"/>
      <c r="AQ31" s="13"/>
      <c r="AR31" s="13"/>
      <c r="AS31" s="13"/>
      <c r="AT31" s="13"/>
      <c r="AU31" s="13"/>
      <c r="AV31" s="13"/>
      <c r="AW31" s="13"/>
      <c r="AX31" s="167"/>
      <c r="AY31" s="13"/>
      <c r="AZ31" s="12" t="s">
        <v>194</v>
      </c>
      <c r="BA31" s="236" t="s">
        <v>197</v>
      </c>
      <c r="BB31" s="236"/>
      <c r="BC31" s="236"/>
      <c r="BD31" s="13" t="s">
        <v>80</v>
      </c>
      <c r="BE31" s="13" t="s">
        <v>80</v>
      </c>
      <c r="BF31" s="13"/>
      <c r="BG31" s="13"/>
      <c r="BH31" s="13"/>
      <c r="BI31" s="13"/>
      <c r="BJ31" s="5">
        <f>COUNTIF(M31,"*")+COUNTIF(W31,"*")+COUNTIF(AL31,"*")+COUNTIF(AZ31,"*")</f>
        <v>2</v>
      </c>
      <c r="BK31" s="211" t="s">
        <v>1755</v>
      </c>
    </row>
    <row r="32" spans="1:63" ht="69" hidden="1">
      <c r="A32" s="14">
        <v>2</v>
      </c>
      <c r="B32" s="14">
        <v>6</v>
      </c>
      <c r="C32" s="241" t="s">
        <v>174</v>
      </c>
      <c r="D32" s="204" t="s">
        <v>1624</v>
      </c>
      <c r="E32" s="204"/>
      <c r="F32" s="204" t="s">
        <v>1858</v>
      </c>
      <c r="G32" s="204" t="s">
        <v>1813</v>
      </c>
      <c r="H32" s="204"/>
      <c r="I32" s="204" t="s">
        <v>1814</v>
      </c>
      <c r="J32" s="14"/>
      <c r="K32" s="204"/>
      <c r="L32" s="204"/>
      <c r="M32" s="269"/>
      <c r="N32" s="236"/>
      <c r="O32" s="13"/>
      <c r="P32" s="13"/>
      <c r="Q32" s="13"/>
      <c r="R32" s="13"/>
      <c r="S32" s="13"/>
      <c r="T32" s="13"/>
      <c r="U32" s="167"/>
      <c r="V32" s="13"/>
      <c r="W32" s="13"/>
      <c r="X32" s="311"/>
      <c r="Y32" s="311"/>
      <c r="Z32" s="311"/>
      <c r="AA32" s="13"/>
      <c r="AB32" s="154"/>
      <c r="AC32" s="154"/>
      <c r="AD32" s="154"/>
      <c r="AE32" s="262"/>
      <c r="AF32" s="262"/>
      <c r="AG32" s="262"/>
      <c r="AH32" s="262"/>
      <c r="AI32" s="379"/>
      <c r="AJ32" s="167"/>
      <c r="AK32" s="13"/>
      <c r="AL32" s="282"/>
      <c r="AM32" s="264"/>
      <c r="AN32" s="264"/>
      <c r="AO32" s="264"/>
      <c r="AP32" s="264"/>
      <c r="AQ32" s="13"/>
      <c r="AR32" s="319"/>
      <c r="AS32" s="319"/>
      <c r="AT32" s="319"/>
      <c r="AU32" s="319"/>
      <c r="AV32" s="319"/>
      <c r="AW32" s="379"/>
      <c r="AX32" s="167"/>
      <c r="AY32" s="13"/>
      <c r="AZ32" s="12"/>
      <c r="BA32" s="236"/>
      <c r="BB32" s="236"/>
      <c r="BC32" s="236"/>
      <c r="BD32" s="13"/>
      <c r="BE32" s="319"/>
      <c r="BF32" s="319"/>
      <c r="BG32" s="379"/>
      <c r="BH32" s="319"/>
      <c r="BI32" s="379"/>
      <c r="BJ32" s="5"/>
    </row>
    <row r="33" spans="1:63" ht="82.8" hidden="1">
      <c r="A33" s="14">
        <v>2</v>
      </c>
      <c r="B33" s="14">
        <v>7</v>
      </c>
      <c r="C33" s="241" t="s">
        <v>174</v>
      </c>
      <c r="D33" s="204" t="s">
        <v>1624</v>
      </c>
      <c r="E33" s="204"/>
      <c r="F33" s="204" t="s">
        <v>1868</v>
      </c>
      <c r="G33" s="204" t="s">
        <v>1898</v>
      </c>
      <c r="H33" s="204" t="str">
        <f>_xlfn.CONCAT("'&lt;br&gt;','&lt;b&gt;','",F33, ": ','&lt;/b&gt;',",G33, ",'&lt;/br&gt;',")</f>
        <v>'&lt;br&gt;','&lt;b&gt;','State From the Dataset : ','&lt;/b&gt;',StateProvince,'&lt;/br&gt;',</v>
      </c>
      <c r="I33" s="204" t="s">
        <v>1803</v>
      </c>
      <c r="J33" s="14" t="s">
        <v>1831</v>
      </c>
      <c r="K33" s="204"/>
      <c r="L33" s="204"/>
      <c r="M33" s="12" t="s">
        <v>1751</v>
      </c>
      <c r="N33" s="13"/>
      <c r="O33" s="13"/>
      <c r="P33" s="13"/>
      <c r="Q33" s="13"/>
      <c r="R33" s="13"/>
      <c r="S33" s="13"/>
      <c r="T33" s="13"/>
      <c r="U33" s="167"/>
      <c r="V33" s="13"/>
      <c r="W33" s="13"/>
      <c r="X33" s="13" t="s">
        <v>1890</v>
      </c>
      <c r="Y33" s="13"/>
      <c r="Z33" s="13"/>
      <c r="AA33" s="13"/>
      <c r="AB33" s="13"/>
      <c r="AC33" s="13"/>
      <c r="AD33" s="13"/>
      <c r="AE33" s="13"/>
      <c r="AF33" s="13"/>
      <c r="AG33" s="13"/>
      <c r="AH33" s="13"/>
      <c r="AI33" s="13"/>
      <c r="AJ33" s="167"/>
      <c r="AK33" s="13"/>
      <c r="AL33" s="12" t="s">
        <v>1889</v>
      </c>
      <c r="AM33" s="13"/>
      <c r="AN33" s="13" t="s">
        <v>1889</v>
      </c>
      <c r="AO33" s="13"/>
      <c r="AP33" s="13"/>
      <c r="AQ33" s="13"/>
      <c r="AR33" s="13"/>
      <c r="AS33" s="13"/>
      <c r="AT33" s="13"/>
      <c r="AU33" s="13"/>
      <c r="AV33" s="13"/>
      <c r="AW33" s="13"/>
      <c r="AX33" s="167"/>
      <c r="AY33" s="13"/>
      <c r="AZ33" s="12" t="s">
        <v>200</v>
      </c>
      <c r="BA33" s="13" t="s">
        <v>200</v>
      </c>
      <c r="BB33" s="13"/>
      <c r="BC33" s="13"/>
      <c r="BD33" s="13" t="s">
        <v>216</v>
      </c>
      <c r="BE33" s="13" t="s">
        <v>80</v>
      </c>
      <c r="BF33" s="13"/>
      <c r="BG33" s="13"/>
      <c r="BH33" s="13"/>
      <c r="BI33" s="13"/>
      <c r="BJ33" s="5">
        <f>COUNTIF(M33,"*")+COUNTIF(W33,"*")+COUNTIF(AL33,"*")+COUNTIF(AZ33,"*")</f>
        <v>3</v>
      </c>
      <c r="BK33" s="211" t="s">
        <v>1755</v>
      </c>
    </row>
    <row r="34" spans="1:63" ht="138" hidden="1">
      <c r="A34" s="14">
        <v>2</v>
      </c>
      <c r="B34" s="14">
        <v>8</v>
      </c>
      <c r="C34" s="241" t="s">
        <v>174</v>
      </c>
      <c r="D34" s="204" t="s">
        <v>1624</v>
      </c>
      <c r="E34" s="204"/>
      <c r="F34" s="204" t="s">
        <v>1861</v>
      </c>
      <c r="G34" s="204" t="s">
        <v>1804</v>
      </c>
      <c r="H34" s="204"/>
      <c r="I34" s="204" t="s">
        <v>1805</v>
      </c>
      <c r="J34" s="14"/>
      <c r="K34" s="204"/>
      <c r="L34" s="204"/>
      <c r="M34" s="269"/>
      <c r="N34" s="236"/>
      <c r="O34" s="13"/>
      <c r="P34" s="13"/>
      <c r="Q34" s="13"/>
      <c r="R34" s="13"/>
      <c r="S34" s="13"/>
      <c r="T34" s="13"/>
      <c r="U34" s="167"/>
      <c r="V34" s="13"/>
      <c r="W34" s="13"/>
      <c r="X34" s="319"/>
      <c r="Y34" s="374"/>
      <c r="Z34" s="319"/>
      <c r="AA34" s="13"/>
      <c r="AB34" s="154"/>
      <c r="AC34" s="154"/>
      <c r="AD34" s="154"/>
      <c r="AE34" s="154"/>
      <c r="AF34" s="154"/>
      <c r="AG34" s="154"/>
      <c r="AH34" s="154"/>
      <c r="AI34" s="379"/>
      <c r="AJ34" s="167"/>
      <c r="AK34" s="13"/>
      <c r="AL34" s="282"/>
      <c r="AM34" s="264"/>
      <c r="AN34" s="264"/>
      <c r="AO34" s="264"/>
      <c r="AP34" s="264"/>
      <c r="AQ34" s="13"/>
      <c r="AR34" s="319"/>
      <c r="AS34" s="262"/>
      <c r="AT34" s="319"/>
      <c r="AU34" s="319"/>
      <c r="AV34" s="319"/>
      <c r="AW34" s="379"/>
      <c r="AX34" s="167"/>
      <c r="AY34" s="13"/>
      <c r="AZ34" s="12"/>
      <c r="BA34" s="236"/>
      <c r="BB34" s="236"/>
      <c r="BC34" s="236"/>
      <c r="BD34" s="13"/>
      <c r="BE34" s="319"/>
      <c r="BF34" s="319"/>
      <c r="BG34" s="379"/>
      <c r="BH34" s="319"/>
      <c r="BI34" s="379"/>
      <c r="BJ34" s="5"/>
    </row>
    <row r="35" spans="1:63" ht="151.80000000000001" hidden="1">
      <c r="A35" s="14">
        <v>2</v>
      </c>
      <c r="B35" s="14">
        <v>9</v>
      </c>
      <c r="C35" s="241" t="s">
        <v>174</v>
      </c>
      <c r="D35" s="204" t="s">
        <v>1624</v>
      </c>
      <c r="E35" s="204"/>
      <c r="F35" s="204" t="s">
        <v>1860</v>
      </c>
      <c r="G35" s="204" t="s">
        <v>1807</v>
      </c>
      <c r="H35" s="204"/>
      <c r="I35" s="204" t="s">
        <v>1806</v>
      </c>
      <c r="J35" s="14"/>
      <c r="K35" s="220"/>
      <c r="L35" s="220"/>
      <c r="M35" s="277"/>
      <c r="N35" s="281"/>
      <c r="O35" s="13"/>
      <c r="P35" s="13"/>
      <c r="Q35" s="13"/>
      <c r="R35" s="13"/>
      <c r="S35" s="13"/>
      <c r="T35" s="13"/>
      <c r="U35" s="167"/>
      <c r="V35" s="13"/>
      <c r="W35" s="13"/>
      <c r="X35" s="302"/>
      <c r="Y35" s="302"/>
      <c r="Z35" s="302"/>
      <c r="AA35" s="13"/>
      <c r="AB35" s="319"/>
      <c r="AC35" s="319"/>
      <c r="AD35" s="319"/>
      <c r="AE35" s="319"/>
      <c r="AF35" s="319"/>
      <c r="AG35" s="319"/>
      <c r="AH35" s="319"/>
      <c r="AI35" s="379"/>
      <c r="AJ35" s="167"/>
      <c r="AK35" s="36"/>
      <c r="AL35" s="284"/>
      <c r="AM35" s="288"/>
      <c r="AN35" s="288"/>
      <c r="AO35" s="288"/>
      <c r="AP35" s="288"/>
      <c r="AQ35" s="13"/>
      <c r="AR35" s="262"/>
      <c r="AS35" s="262"/>
      <c r="AT35" s="262"/>
      <c r="AU35" s="262"/>
      <c r="AV35" s="262"/>
      <c r="AW35" s="379"/>
      <c r="AX35" s="167"/>
      <c r="AY35" s="13"/>
      <c r="AZ35" s="12"/>
      <c r="BA35" s="281"/>
      <c r="BB35" s="281"/>
      <c r="BC35" s="281"/>
      <c r="BD35" s="13"/>
      <c r="BE35" s="319"/>
      <c r="BF35" s="319"/>
      <c r="BG35" s="379"/>
      <c r="BH35" s="319"/>
      <c r="BI35" s="379"/>
      <c r="BJ35" s="5"/>
    </row>
    <row r="36" spans="1:63" ht="82.8" hidden="1">
      <c r="A36" s="14">
        <v>2</v>
      </c>
      <c r="B36" s="14">
        <v>10</v>
      </c>
      <c r="C36" s="241" t="s">
        <v>174</v>
      </c>
      <c r="D36" s="204" t="s">
        <v>1624</v>
      </c>
      <c r="E36" s="204"/>
      <c r="F36" s="204" t="s">
        <v>1808</v>
      </c>
      <c r="G36" s="204" t="s">
        <v>1808</v>
      </c>
      <c r="H36" s="204"/>
      <c r="I36" s="219" t="s">
        <v>1809</v>
      </c>
      <c r="J36" s="14"/>
      <c r="K36" s="219"/>
      <c r="L36" s="219"/>
      <c r="M36" s="197"/>
      <c r="N36" s="309"/>
      <c r="O36" s="13"/>
      <c r="P36" s="13"/>
      <c r="Q36" s="13"/>
      <c r="R36" s="13"/>
      <c r="S36" s="13"/>
      <c r="T36" s="13"/>
      <c r="U36" s="167"/>
      <c r="V36" s="13"/>
      <c r="W36" s="13"/>
      <c r="X36" s="312"/>
      <c r="Y36" s="315"/>
      <c r="Z36" s="315"/>
      <c r="AA36" s="13"/>
      <c r="AB36" s="319"/>
      <c r="AC36" s="319"/>
      <c r="AD36" s="319"/>
      <c r="AE36" s="319"/>
      <c r="AF36" s="319"/>
      <c r="AG36" s="319"/>
      <c r="AH36" s="319"/>
      <c r="AI36" s="379"/>
      <c r="AJ36" s="167"/>
      <c r="AK36" s="380"/>
      <c r="AL36" s="198"/>
      <c r="AM36" s="303"/>
      <c r="AN36" s="303"/>
      <c r="AO36" s="303"/>
      <c r="AP36" s="303"/>
      <c r="AQ36" s="13"/>
      <c r="AR36" s="319"/>
      <c r="AS36" s="319"/>
      <c r="AT36" s="319"/>
      <c r="AU36" s="319"/>
      <c r="AV36" s="319"/>
      <c r="AW36" s="379"/>
      <c r="AX36" s="167"/>
      <c r="AY36" s="13"/>
      <c r="AZ36" s="12"/>
      <c r="BA36" s="197"/>
      <c r="BB36" s="309"/>
      <c r="BC36" s="309"/>
      <c r="BD36" s="13"/>
      <c r="BE36" s="319"/>
      <c r="BF36" s="319"/>
      <c r="BG36" s="379"/>
      <c r="BH36" s="319"/>
      <c r="BI36" s="379"/>
      <c r="BJ36" s="5"/>
    </row>
    <row r="37" spans="1:63" ht="27.6" hidden="1">
      <c r="A37" s="14">
        <v>2</v>
      </c>
      <c r="B37" s="14">
        <v>11</v>
      </c>
      <c r="C37" s="241" t="s">
        <v>174</v>
      </c>
      <c r="D37" s="204"/>
      <c r="E37" s="204"/>
      <c r="F37" s="204" t="s">
        <v>198</v>
      </c>
      <c r="G37" s="204" t="s">
        <v>199</v>
      </c>
      <c r="H37" s="204"/>
      <c r="I37" s="221"/>
      <c r="J37" s="14" t="s">
        <v>1831</v>
      </c>
      <c r="K37" s="221"/>
      <c r="L37" s="221"/>
      <c r="M37" s="272" t="s">
        <v>1751</v>
      </c>
      <c r="N37" s="163"/>
      <c r="O37" s="13"/>
      <c r="P37" s="13"/>
      <c r="Q37" s="13"/>
      <c r="R37" s="13"/>
      <c r="S37" s="13"/>
      <c r="T37" s="13"/>
      <c r="U37" s="167"/>
      <c r="V37" s="13"/>
      <c r="W37" s="13" t="s">
        <v>200</v>
      </c>
      <c r="X37" s="271" t="s">
        <v>200</v>
      </c>
      <c r="Y37" s="153"/>
      <c r="Z37" s="153"/>
      <c r="AA37" s="13" t="s">
        <v>201</v>
      </c>
      <c r="AB37" s="262" t="s">
        <v>80</v>
      </c>
      <c r="AC37" s="262" t="s">
        <v>80</v>
      </c>
      <c r="AD37" s="262" t="s">
        <v>80</v>
      </c>
      <c r="AE37" s="262" t="s">
        <v>80</v>
      </c>
      <c r="AF37" s="262" t="s">
        <v>80</v>
      </c>
      <c r="AG37" s="262"/>
      <c r="AH37" s="262"/>
      <c r="AI37" s="379"/>
      <c r="AJ37" s="167"/>
      <c r="AK37" s="380"/>
      <c r="AL37" s="272"/>
      <c r="AM37" s="163"/>
      <c r="AN37" s="163"/>
      <c r="AO37" s="163"/>
      <c r="AP37" s="163"/>
      <c r="AQ37" s="13"/>
      <c r="AR37" s="13"/>
      <c r="AS37" s="13"/>
      <c r="AT37" s="13"/>
      <c r="AU37" s="13"/>
      <c r="AV37" s="13"/>
      <c r="AW37" s="13"/>
      <c r="AX37" s="167"/>
      <c r="AY37" s="13"/>
      <c r="AZ37" s="12" t="s">
        <v>198</v>
      </c>
      <c r="BA37" s="272" t="s">
        <v>202</v>
      </c>
      <c r="BB37" s="163"/>
      <c r="BC37" s="163"/>
      <c r="BD37" s="13" t="s">
        <v>203</v>
      </c>
      <c r="BE37" s="13" t="s">
        <v>80</v>
      </c>
      <c r="BF37" s="13"/>
      <c r="BG37" s="13"/>
      <c r="BH37" s="13"/>
      <c r="BI37" s="13"/>
      <c r="BJ37" s="5">
        <f>COUNTIF(M37,"*")+COUNTIF(W37,"*")+COUNTIF(AL37,"*")+COUNTIF(AZ37,"*")</f>
        <v>3</v>
      </c>
    </row>
    <row r="38" spans="1:63" ht="13.8" hidden="1">
      <c r="A38" s="14">
        <v>2</v>
      </c>
      <c r="B38" s="14">
        <v>12</v>
      </c>
      <c r="C38" s="241" t="s">
        <v>174</v>
      </c>
      <c r="D38" s="204"/>
      <c r="E38" s="204"/>
      <c r="F38" s="204" t="s">
        <v>204</v>
      </c>
      <c r="G38" s="204" t="s">
        <v>205</v>
      </c>
      <c r="H38" s="204"/>
      <c r="I38" s="221"/>
      <c r="J38" s="14" t="s">
        <v>1831</v>
      </c>
      <c r="K38" s="221"/>
      <c r="L38" s="221"/>
      <c r="M38" s="272"/>
      <c r="N38" s="163"/>
      <c r="O38" s="13"/>
      <c r="P38" s="13"/>
      <c r="Q38" s="13"/>
      <c r="R38" s="13"/>
      <c r="S38" s="13"/>
      <c r="T38" s="13"/>
      <c r="U38" s="167"/>
      <c r="V38" s="13"/>
      <c r="W38" s="13" t="s">
        <v>206</v>
      </c>
      <c r="X38" s="271" t="s">
        <v>206</v>
      </c>
      <c r="Y38" s="153"/>
      <c r="Z38" s="153"/>
      <c r="AA38" s="13" t="s">
        <v>207</v>
      </c>
      <c r="AB38" s="262" t="s">
        <v>80</v>
      </c>
      <c r="AC38" s="262" t="s">
        <v>80</v>
      </c>
      <c r="AD38" s="262" t="s">
        <v>80</v>
      </c>
      <c r="AE38" s="262" t="s">
        <v>80</v>
      </c>
      <c r="AF38" s="262" t="s">
        <v>80</v>
      </c>
      <c r="AG38" s="262"/>
      <c r="AH38" s="262"/>
      <c r="AI38" s="379"/>
      <c r="AJ38" s="167"/>
      <c r="AK38" s="380"/>
      <c r="AL38" s="272"/>
      <c r="AM38" s="163"/>
      <c r="AN38" s="163"/>
      <c r="AO38" s="163"/>
      <c r="AP38" s="163"/>
      <c r="AQ38" s="13"/>
      <c r="AR38" s="13"/>
      <c r="AS38" s="13"/>
      <c r="AT38" s="13"/>
      <c r="AU38" s="13"/>
      <c r="AV38" s="13"/>
      <c r="AW38" s="13"/>
      <c r="AX38" s="167"/>
      <c r="AY38" s="13"/>
      <c r="AZ38" s="12" t="s">
        <v>204</v>
      </c>
      <c r="BA38" s="272" t="s">
        <v>208</v>
      </c>
      <c r="BB38" s="163"/>
      <c r="BC38" s="163"/>
      <c r="BD38" s="13" t="s">
        <v>209</v>
      </c>
      <c r="BE38" s="13" t="s">
        <v>80</v>
      </c>
      <c r="BF38" s="13"/>
      <c r="BG38" s="13"/>
      <c r="BH38" s="13"/>
      <c r="BI38" s="13"/>
      <c r="BJ38" s="5">
        <f>COUNTIF(M38,"*")+COUNTIF(W38,"*")+COUNTIF(AL38,"*")+COUNTIF(AZ38,"*")</f>
        <v>2</v>
      </c>
      <c r="BK38" s="211" t="s">
        <v>1755</v>
      </c>
    </row>
    <row r="39" spans="1:63" ht="27.6" hidden="1">
      <c r="A39" s="14">
        <v>2</v>
      </c>
      <c r="B39" s="14">
        <v>13</v>
      </c>
      <c r="C39" s="241" t="s">
        <v>174</v>
      </c>
      <c r="D39" s="204"/>
      <c r="E39" s="204"/>
      <c r="F39" s="204" t="s">
        <v>210</v>
      </c>
      <c r="G39" s="204" t="s">
        <v>211</v>
      </c>
      <c r="H39" s="204"/>
      <c r="I39" s="221"/>
      <c r="J39" s="14" t="s">
        <v>1831</v>
      </c>
      <c r="K39" s="221"/>
      <c r="L39" s="221"/>
      <c r="M39" s="276"/>
      <c r="N39" s="13"/>
      <c r="O39" s="13"/>
      <c r="P39" s="13"/>
      <c r="Q39" s="13"/>
      <c r="R39" s="13"/>
      <c r="S39" s="13"/>
      <c r="T39" s="13"/>
      <c r="U39" s="167"/>
      <c r="V39" s="13"/>
      <c r="W39" s="13" t="s">
        <v>212</v>
      </c>
      <c r="X39" s="271" t="s">
        <v>212</v>
      </c>
      <c r="Y39" s="153"/>
      <c r="Z39" s="153"/>
      <c r="AA39" s="13" t="s">
        <v>213</v>
      </c>
      <c r="AB39" s="319" t="s">
        <v>80</v>
      </c>
      <c r="AC39" s="319" t="s">
        <v>80</v>
      </c>
      <c r="AD39" s="319" t="s">
        <v>80</v>
      </c>
      <c r="AE39" s="319" t="s">
        <v>80</v>
      </c>
      <c r="AF39" s="319" t="s">
        <v>80</v>
      </c>
      <c r="AG39" s="319"/>
      <c r="AH39" s="319"/>
      <c r="AI39" s="379"/>
      <c r="AJ39" s="167"/>
      <c r="AK39" s="167"/>
      <c r="AL39" s="276"/>
      <c r="AM39" s="13"/>
      <c r="AN39" s="13"/>
      <c r="AO39" s="13"/>
      <c r="AP39" s="13"/>
      <c r="AQ39" s="13"/>
      <c r="AR39" s="13"/>
      <c r="AS39" s="13"/>
      <c r="AT39" s="13"/>
      <c r="AU39" s="13"/>
      <c r="AV39" s="13"/>
      <c r="AW39" s="13"/>
      <c r="AX39" s="167"/>
      <c r="AY39" s="13"/>
      <c r="AZ39" s="12" t="s">
        <v>210</v>
      </c>
      <c r="BA39" s="276" t="s">
        <v>206</v>
      </c>
      <c r="BB39" s="13"/>
      <c r="BC39" s="13"/>
      <c r="BD39" s="13" t="s">
        <v>214</v>
      </c>
      <c r="BE39" s="13" t="s">
        <v>80</v>
      </c>
      <c r="BF39" s="13"/>
      <c r="BG39" s="13"/>
      <c r="BH39" s="13"/>
      <c r="BI39" s="13"/>
      <c r="BJ39" s="5">
        <f>COUNTIF(M39,"*")+COUNTIF(W39,"*")+COUNTIF(AL39,"*")+COUNTIF(AZ39,"*")</f>
        <v>2</v>
      </c>
      <c r="BK39" s="211" t="s">
        <v>1755</v>
      </c>
    </row>
    <row r="40" spans="1:63" ht="13.8" hidden="1">
      <c r="A40" s="14">
        <v>2</v>
      </c>
      <c r="B40" s="14">
        <v>14</v>
      </c>
      <c r="C40" s="241" t="s">
        <v>174</v>
      </c>
      <c r="D40" s="204"/>
      <c r="E40" s="14"/>
      <c r="F40" s="14" t="s">
        <v>217</v>
      </c>
      <c r="G40" s="204"/>
      <c r="H40" s="204"/>
      <c r="I40" s="221"/>
      <c r="J40" s="14"/>
      <c r="K40" s="221"/>
      <c r="L40" s="294"/>
      <c r="M40" s="270"/>
      <c r="N40" s="36"/>
      <c r="O40" s="13"/>
      <c r="P40" s="13"/>
      <c r="Q40" s="13"/>
      <c r="R40" s="13"/>
      <c r="S40" s="13"/>
      <c r="T40" s="13"/>
      <c r="U40" s="167"/>
      <c r="V40" s="13"/>
      <c r="W40" s="13"/>
      <c r="X40" s="271"/>
      <c r="Y40" s="153"/>
      <c r="Z40" s="153"/>
      <c r="AA40" s="13"/>
      <c r="AB40" s="319"/>
      <c r="AC40" s="319"/>
      <c r="AD40" s="319"/>
      <c r="AE40" s="319"/>
      <c r="AF40" s="319"/>
      <c r="AG40" s="319"/>
      <c r="AH40" s="319"/>
      <c r="AI40" s="379"/>
      <c r="AJ40" s="167"/>
      <c r="AK40" s="350"/>
      <c r="AL40" s="274" t="s">
        <v>218</v>
      </c>
      <c r="AM40" s="302"/>
      <c r="AN40" s="302"/>
      <c r="AO40" s="302"/>
      <c r="AP40" s="302"/>
      <c r="AQ40" s="11"/>
      <c r="AR40" s="319" t="s">
        <v>217</v>
      </c>
      <c r="AS40" s="319" t="s">
        <v>217</v>
      </c>
      <c r="AT40" s="319" t="s">
        <v>183</v>
      </c>
      <c r="AU40" s="319"/>
      <c r="AV40" s="319"/>
      <c r="AW40" s="379"/>
      <c r="AX40" s="167"/>
      <c r="AY40" s="13"/>
      <c r="AZ40" s="12"/>
      <c r="BA40" s="270"/>
      <c r="BB40" s="36"/>
      <c r="BC40" s="36"/>
      <c r="BD40" s="13"/>
      <c r="BE40" s="319"/>
      <c r="BF40" s="319"/>
      <c r="BG40" s="379"/>
      <c r="BH40" s="319"/>
      <c r="BI40" s="379"/>
      <c r="BJ40" s="5">
        <f>COUNTIF(M40,"*")+COUNTIF(W40,"*")+COUNTIF(AL40,"*")+COUNTIF(AZ40,"*")</f>
        <v>1</v>
      </c>
    </row>
    <row r="41" spans="1:63" ht="13.8" hidden="1">
      <c r="A41" s="14">
        <v>2</v>
      </c>
      <c r="B41" s="14">
        <v>15</v>
      </c>
      <c r="C41" s="241" t="s">
        <v>174</v>
      </c>
      <c r="D41" s="204"/>
      <c r="E41" s="14"/>
      <c r="F41" s="14" t="s">
        <v>219</v>
      </c>
      <c r="G41" s="204"/>
      <c r="H41" s="204"/>
      <c r="I41" s="221"/>
      <c r="J41" s="14"/>
      <c r="K41" s="221"/>
      <c r="L41" s="294"/>
      <c r="M41" s="270"/>
      <c r="N41" s="36"/>
      <c r="O41" s="13"/>
      <c r="P41" s="13"/>
      <c r="Q41" s="13"/>
      <c r="R41" s="13"/>
      <c r="S41" s="13"/>
      <c r="T41" s="13"/>
      <c r="U41" s="167"/>
      <c r="V41" s="13"/>
      <c r="W41" s="13"/>
      <c r="X41" s="271"/>
      <c r="Y41" s="153"/>
      <c r="Z41" s="153"/>
      <c r="AA41" s="13"/>
      <c r="AB41" s="262"/>
      <c r="AC41" s="262"/>
      <c r="AD41" s="262"/>
      <c r="AE41" s="262"/>
      <c r="AF41" s="262"/>
      <c r="AG41" s="262"/>
      <c r="AH41" s="262"/>
      <c r="AI41" s="379"/>
      <c r="AJ41" s="167"/>
      <c r="AK41" s="350"/>
      <c r="AL41" s="274" t="s">
        <v>220</v>
      </c>
      <c r="AM41" s="302"/>
      <c r="AN41" s="302"/>
      <c r="AO41" s="302"/>
      <c r="AP41" s="302"/>
      <c r="AQ41" s="11"/>
      <c r="AR41" s="319" t="s">
        <v>219</v>
      </c>
      <c r="AS41" s="319" t="s">
        <v>219</v>
      </c>
      <c r="AT41" s="319" t="s">
        <v>183</v>
      </c>
      <c r="AU41" s="319"/>
      <c r="AV41" s="319"/>
      <c r="AW41" s="379"/>
      <c r="AX41" s="167"/>
      <c r="AY41" s="13"/>
      <c r="AZ41" s="12"/>
      <c r="BA41" s="270"/>
      <c r="BB41" s="36"/>
      <c r="BC41" s="36"/>
      <c r="BD41" s="13"/>
      <c r="BE41" s="319"/>
      <c r="BF41" s="319"/>
      <c r="BG41" s="379"/>
      <c r="BH41" s="319"/>
      <c r="BI41" s="379"/>
      <c r="BJ41" s="5">
        <f>COUNTIF(M41,"*")+COUNTIF(W41,"*")+COUNTIF(AL41,"*")+COUNTIF(AZ41,"*")</f>
        <v>1</v>
      </c>
    </row>
    <row r="42" spans="1:63" ht="13.8" hidden="1">
      <c r="A42" s="14">
        <v>2</v>
      </c>
      <c r="B42" s="14">
        <v>16</v>
      </c>
      <c r="C42" s="241" t="s">
        <v>174</v>
      </c>
      <c r="D42" s="204"/>
      <c r="E42" s="14"/>
      <c r="F42" s="14" t="s">
        <v>221</v>
      </c>
      <c r="G42" s="204"/>
      <c r="H42" s="204"/>
      <c r="I42" s="221"/>
      <c r="J42" s="14"/>
      <c r="K42" s="221"/>
      <c r="L42" s="294"/>
      <c r="M42" s="274" t="s">
        <v>222</v>
      </c>
      <c r="N42" s="302"/>
      <c r="O42" s="21"/>
      <c r="P42" s="21"/>
      <c r="Q42" s="21"/>
      <c r="R42" s="21"/>
      <c r="S42" s="21"/>
      <c r="T42" s="21"/>
      <c r="U42" s="168"/>
      <c r="V42" s="21"/>
      <c r="W42" s="13"/>
      <c r="X42" s="271"/>
      <c r="Y42" s="153"/>
      <c r="Z42" s="153"/>
      <c r="AA42" s="13"/>
      <c r="AB42" s="13"/>
      <c r="AC42" s="13"/>
      <c r="AD42" s="13"/>
      <c r="AE42" s="13"/>
      <c r="AF42" s="13"/>
      <c r="AG42" s="13"/>
      <c r="AH42" s="13"/>
      <c r="AI42" s="13"/>
      <c r="AJ42" s="168"/>
      <c r="AK42" s="381"/>
      <c r="AL42" s="274"/>
      <c r="AM42" s="302"/>
      <c r="AN42" s="302"/>
      <c r="AO42" s="302"/>
      <c r="AP42" s="302"/>
      <c r="AQ42" s="13"/>
      <c r="AR42" s="319"/>
      <c r="AS42" s="319"/>
      <c r="AT42" s="319"/>
      <c r="AU42" s="319"/>
      <c r="AV42" s="319"/>
      <c r="AW42" s="379"/>
      <c r="AX42" s="168"/>
      <c r="AY42" s="21"/>
      <c r="AZ42" s="12"/>
      <c r="BA42" s="270"/>
      <c r="BB42" s="36"/>
      <c r="BC42" s="36"/>
      <c r="BD42" s="13"/>
      <c r="BE42" s="13"/>
      <c r="BF42" s="13"/>
      <c r="BG42" s="13"/>
      <c r="BH42" s="13"/>
      <c r="BI42" s="13"/>
      <c r="BJ42" s="5">
        <f>COUNTIF(M42,"*")+COUNTIF(W42,"*")+COUNTIF(AL42,"*")+COUNTIF(AZ42,"*")</f>
        <v>1</v>
      </c>
      <c r="BK42" s="211" t="s">
        <v>1753</v>
      </c>
    </row>
    <row r="43" spans="1:63" ht="13.8" hidden="1">
      <c r="A43" s="14">
        <v>2</v>
      </c>
      <c r="B43" s="14">
        <v>17</v>
      </c>
      <c r="C43" s="241" t="s">
        <v>174</v>
      </c>
      <c r="D43" s="204"/>
      <c r="E43" s="14"/>
      <c r="F43" s="14" t="s">
        <v>223</v>
      </c>
      <c r="G43" s="204"/>
      <c r="H43" s="204"/>
      <c r="I43" s="221"/>
      <c r="J43" s="14"/>
      <c r="K43" s="221"/>
      <c r="L43" s="294"/>
      <c r="M43" s="270"/>
      <c r="N43" s="36"/>
      <c r="O43" s="13"/>
      <c r="P43" s="13"/>
      <c r="Q43" s="13"/>
      <c r="R43" s="13"/>
      <c r="S43" s="13"/>
      <c r="T43" s="13"/>
      <c r="U43" s="167"/>
      <c r="V43" s="13"/>
      <c r="W43" s="13" t="s">
        <v>224</v>
      </c>
      <c r="X43" s="271" t="s">
        <v>224</v>
      </c>
      <c r="Y43" s="153"/>
      <c r="Z43" s="153"/>
      <c r="AA43" s="13" t="s">
        <v>225</v>
      </c>
      <c r="AB43" s="319" t="s">
        <v>80</v>
      </c>
      <c r="AC43" s="319" t="s">
        <v>180</v>
      </c>
      <c r="AD43" s="319" t="s">
        <v>80</v>
      </c>
      <c r="AE43" s="319" t="s">
        <v>80</v>
      </c>
      <c r="AF43" s="319" t="s">
        <v>80</v>
      </c>
      <c r="AG43" s="319"/>
      <c r="AH43" s="319"/>
      <c r="AI43" s="379"/>
      <c r="AJ43" s="167"/>
      <c r="AK43" s="350"/>
      <c r="AL43" s="270"/>
      <c r="AM43" s="36"/>
      <c r="AN43" s="36"/>
      <c r="AO43" s="36"/>
      <c r="AP43" s="36"/>
      <c r="AQ43" s="13"/>
      <c r="AR43" s="13"/>
      <c r="AS43" s="13"/>
      <c r="AT43" s="13"/>
      <c r="AU43" s="13"/>
      <c r="AV43" s="13"/>
      <c r="AW43" s="13"/>
      <c r="AX43" s="167"/>
      <c r="AY43" s="13"/>
      <c r="AZ43" s="12"/>
      <c r="BA43" s="270"/>
      <c r="BB43" s="36"/>
      <c r="BC43" s="36"/>
      <c r="BD43" s="13"/>
      <c r="BE43" s="319"/>
      <c r="BF43" s="319"/>
      <c r="BG43" s="379"/>
      <c r="BH43" s="319"/>
      <c r="BI43" s="379"/>
      <c r="BJ43" s="5">
        <f>COUNTIF(M43,"*")+COUNTIF(W43,"*")+COUNTIF(AL43,"*")+COUNTIF(AZ43,"*")</f>
        <v>1</v>
      </c>
      <c r="BK43" s="211" t="s">
        <v>1757</v>
      </c>
    </row>
    <row r="44" spans="1:63" ht="13.8" hidden="1">
      <c r="A44" s="14">
        <v>2</v>
      </c>
      <c r="B44" s="14">
        <v>18</v>
      </c>
      <c r="C44" s="241" t="s">
        <v>174</v>
      </c>
      <c r="D44" s="204"/>
      <c r="E44" s="14"/>
      <c r="F44" s="14" t="s">
        <v>226</v>
      </c>
      <c r="G44" s="204"/>
      <c r="H44" s="204"/>
      <c r="I44" s="221"/>
      <c r="J44" s="14"/>
      <c r="K44" s="221"/>
      <c r="L44" s="294"/>
      <c r="M44" s="279"/>
      <c r="N44" s="36"/>
      <c r="O44" s="13"/>
      <c r="P44" s="13"/>
      <c r="Q44" s="13"/>
      <c r="R44" s="13"/>
      <c r="S44" s="13"/>
      <c r="T44" s="13"/>
      <c r="U44" s="167"/>
      <c r="V44" s="13"/>
      <c r="W44" s="13" t="s">
        <v>227</v>
      </c>
      <c r="X44" s="279" t="s">
        <v>227</v>
      </c>
      <c r="Y44" s="36"/>
      <c r="Z44" s="36"/>
      <c r="AA44" s="13" t="s">
        <v>228</v>
      </c>
      <c r="AB44" s="154" t="s">
        <v>80</v>
      </c>
      <c r="AC44" s="154" t="s">
        <v>180</v>
      </c>
      <c r="AD44" s="154" t="s">
        <v>80</v>
      </c>
      <c r="AE44" s="154" t="s">
        <v>80</v>
      </c>
      <c r="AF44" s="154" t="s">
        <v>80</v>
      </c>
      <c r="AG44" s="154"/>
      <c r="AH44" s="154"/>
      <c r="AI44" s="379"/>
      <c r="AJ44" s="167"/>
      <c r="AK44" s="350"/>
      <c r="AL44" s="279"/>
      <c r="AM44" s="36"/>
      <c r="AN44" s="36"/>
      <c r="AO44" s="36"/>
      <c r="AP44" s="36"/>
      <c r="AQ44" s="13"/>
      <c r="AR44" s="13"/>
      <c r="AS44" s="13"/>
      <c r="AT44" s="13"/>
      <c r="AU44" s="13"/>
      <c r="AV44" s="13"/>
      <c r="AW44" s="13"/>
      <c r="AX44" s="167"/>
      <c r="AY44" s="13"/>
      <c r="AZ44" s="12"/>
      <c r="BA44" s="279"/>
      <c r="BB44" s="36"/>
      <c r="BC44" s="36"/>
      <c r="BD44" s="13"/>
      <c r="BE44" s="262"/>
      <c r="BF44" s="262"/>
      <c r="BG44" s="379"/>
      <c r="BH44" s="262"/>
      <c r="BI44" s="379"/>
      <c r="BJ44" s="5">
        <f>COUNTIF(M44,"*")+COUNTIF(W44,"*")+COUNTIF(AL44,"*")+COUNTIF(AZ44,"*")</f>
        <v>1</v>
      </c>
      <c r="BK44" s="211" t="s">
        <v>1757</v>
      </c>
    </row>
    <row r="45" spans="1:63" ht="13.8" hidden="1">
      <c r="A45" s="14">
        <v>2</v>
      </c>
      <c r="B45" s="14">
        <v>19</v>
      </c>
      <c r="C45" s="241" t="s">
        <v>174</v>
      </c>
      <c r="D45" s="204"/>
      <c r="E45" s="14"/>
      <c r="F45" s="14" t="s">
        <v>229</v>
      </c>
      <c r="G45" s="204"/>
      <c r="H45" s="204"/>
      <c r="I45" s="221"/>
      <c r="J45" s="14"/>
      <c r="K45" s="221"/>
      <c r="L45" s="221"/>
      <c r="M45" s="199"/>
      <c r="N45" s="163"/>
      <c r="O45" s="13"/>
      <c r="P45" s="13"/>
      <c r="Q45" s="13"/>
      <c r="R45" s="13"/>
      <c r="S45" s="13"/>
      <c r="T45" s="13"/>
      <c r="U45" s="167"/>
      <c r="V45" s="13"/>
      <c r="W45" s="13" t="s">
        <v>230</v>
      </c>
      <c r="X45" s="163" t="s">
        <v>230</v>
      </c>
      <c r="Y45" s="163"/>
      <c r="Z45" s="163"/>
      <c r="AA45" s="13" t="s">
        <v>231</v>
      </c>
      <c r="AB45" s="319" t="s">
        <v>80</v>
      </c>
      <c r="AC45" s="319" t="s">
        <v>180</v>
      </c>
      <c r="AD45" s="319" t="s">
        <v>80</v>
      </c>
      <c r="AE45" s="319" t="s">
        <v>80</v>
      </c>
      <c r="AF45" s="319" t="s">
        <v>80</v>
      </c>
      <c r="AG45" s="319"/>
      <c r="AH45" s="319"/>
      <c r="AI45" s="379"/>
      <c r="AJ45" s="167"/>
      <c r="AK45" s="163"/>
      <c r="AL45" s="199"/>
      <c r="AM45" s="163"/>
      <c r="AN45" s="163"/>
      <c r="AO45" s="163"/>
      <c r="AP45" s="163"/>
      <c r="AQ45" s="13"/>
      <c r="AR45" s="13"/>
      <c r="AS45" s="13"/>
      <c r="AT45" s="13"/>
      <c r="AU45" s="13"/>
      <c r="AV45" s="13"/>
      <c r="AW45" s="13"/>
      <c r="AX45" s="167"/>
      <c r="AY45" s="13"/>
      <c r="AZ45" s="12"/>
      <c r="BA45" s="163"/>
      <c r="BB45" s="163"/>
      <c r="BC45" s="163"/>
      <c r="BD45" s="13"/>
      <c r="BE45" s="319"/>
      <c r="BF45" s="319"/>
      <c r="BG45" s="379"/>
      <c r="BH45" s="319"/>
      <c r="BI45" s="379"/>
      <c r="BJ45" s="5">
        <f>COUNTIF(M45,"*")+COUNTIF(W45,"*")+COUNTIF(AL45,"*")+COUNTIF(AZ45,"*")</f>
        <v>1</v>
      </c>
      <c r="BK45" s="211" t="s">
        <v>1757</v>
      </c>
    </row>
    <row r="46" spans="1:63" ht="13.8" hidden="1">
      <c r="A46" s="14">
        <v>2</v>
      </c>
      <c r="B46" s="14">
        <v>20</v>
      </c>
      <c r="C46" s="241" t="s">
        <v>174</v>
      </c>
      <c r="D46" s="204"/>
      <c r="E46" s="14"/>
      <c r="F46" s="14" t="s">
        <v>232</v>
      </c>
      <c r="G46" s="204"/>
      <c r="H46" s="204"/>
      <c r="I46" s="14"/>
      <c r="J46" s="14"/>
      <c r="K46" s="14"/>
      <c r="L46" s="14"/>
      <c r="M46" s="12"/>
      <c r="N46" s="13"/>
      <c r="O46" s="13"/>
      <c r="P46" s="13"/>
      <c r="Q46" s="13"/>
      <c r="R46" s="13"/>
      <c r="S46" s="13"/>
      <c r="T46" s="13"/>
      <c r="U46" s="167"/>
      <c r="V46" s="13"/>
      <c r="W46" s="13" t="s">
        <v>233</v>
      </c>
      <c r="X46" s="13" t="s">
        <v>233</v>
      </c>
      <c r="Y46" s="13"/>
      <c r="Z46" s="13"/>
      <c r="AA46" s="13" t="s">
        <v>234</v>
      </c>
      <c r="AB46" s="319" t="s">
        <v>80</v>
      </c>
      <c r="AC46" s="319" t="s">
        <v>180</v>
      </c>
      <c r="AD46" s="319" t="s">
        <v>80</v>
      </c>
      <c r="AE46" s="319" t="s">
        <v>80</v>
      </c>
      <c r="AF46" s="319" t="s">
        <v>80</v>
      </c>
      <c r="AG46" s="319"/>
      <c r="AH46" s="319"/>
      <c r="AI46" s="379"/>
      <c r="AJ46" s="167"/>
      <c r="AK46" s="13"/>
      <c r="AL46" s="12"/>
      <c r="AM46" s="13"/>
      <c r="AN46" s="13"/>
      <c r="AO46" s="13"/>
      <c r="AP46" s="13"/>
      <c r="AQ46" s="13"/>
      <c r="AR46" s="13"/>
      <c r="AS46" s="13"/>
      <c r="AT46" s="13"/>
      <c r="AU46" s="13"/>
      <c r="AV46" s="13"/>
      <c r="AW46" s="13"/>
      <c r="AX46" s="167"/>
      <c r="AY46" s="13"/>
      <c r="AZ46" s="12"/>
      <c r="BA46" s="13"/>
      <c r="BB46" s="13"/>
      <c r="BC46" s="13"/>
      <c r="BD46" s="13"/>
      <c r="BE46" s="319"/>
      <c r="BF46" s="319"/>
      <c r="BG46" s="379"/>
      <c r="BH46" s="319"/>
      <c r="BI46" s="379"/>
      <c r="BJ46" s="5">
        <f>COUNTIF(M46,"*")+COUNTIF(W46,"*")+COUNTIF(AL46,"*")+COUNTIF(AZ46,"*")</f>
        <v>1</v>
      </c>
      <c r="BK46" s="211" t="s">
        <v>1757</v>
      </c>
    </row>
    <row r="47" spans="1:63" ht="41.4" hidden="1">
      <c r="A47" s="14">
        <v>2</v>
      </c>
      <c r="B47" s="14">
        <v>21</v>
      </c>
      <c r="C47" s="241" t="s">
        <v>174</v>
      </c>
      <c r="D47" s="204"/>
      <c r="E47" s="204"/>
      <c r="F47" s="204" t="s">
        <v>1842</v>
      </c>
      <c r="G47" s="204" t="s">
        <v>1842</v>
      </c>
      <c r="H47" s="204"/>
      <c r="I47" s="204" t="s">
        <v>1870</v>
      </c>
      <c r="J47" s="204" t="s">
        <v>1846</v>
      </c>
      <c r="K47" s="204"/>
      <c r="L47" s="204"/>
      <c r="M47" s="269"/>
      <c r="N47" s="236"/>
      <c r="O47" s="13"/>
      <c r="P47" s="13"/>
      <c r="Q47" s="13"/>
      <c r="R47" s="13"/>
      <c r="S47" s="13"/>
      <c r="T47" s="13"/>
      <c r="U47" s="167"/>
      <c r="V47" s="13"/>
      <c r="W47" s="13"/>
      <c r="X47" s="311"/>
      <c r="Y47" s="311"/>
      <c r="Z47" s="311"/>
      <c r="AA47" s="13"/>
      <c r="AB47" s="154"/>
      <c r="AC47" s="154"/>
      <c r="AD47" s="154"/>
      <c r="AE47" s="262"/>
      <c r="AF47" s="262"/>
      <c r="AG47" s="319"/>
      <c r="AH47" s="319"/>
      <c r="AI47" s="379"/>
      <c r="AJ47" s="167"/>
      <c r="AK47" s="13"/>
      <c r="AL47" s="282"/>
      <c r="AM47" s="264"/>
      <c r="AN47" s="264"/>
      <c r="AO47" s="264"/>
      <c r="AP47" s="264"/>
      <c r="AQ47" s="13"/>
      <c r="AR47" s="319"/>
      <c r="AS47" s="319"/>
      <c r="AT47" s="319"/>
      <c r="AU47" s="319"/>
      <c r="AV47" s="319"/>
      <c r="AW47" s="379"/>
      <c r="AX47" s="167"/>
      <c r="AY47" s="13"/>
      <c r="AZ47" s="12"/>
      <c r="BA47" s="236"/>
      <c r="BB47" s="236"/>
      <c r="BC47" s="236"/>
      <c r="BD47" s="13"/>
      <c r="BE47" s="319"/>
      <c r="BF47" s="319"/>
      <c r="BG47" s="379"/>
      <c r="BH47" s="319"/>
      <c r="BI47" s="379"/>
      <c r="BJ47" s="5"/>
    </row>
    <row r="48" spans="1:63" ht="96.6" hidden="1">
      <c r="A48" s="7">
        <v>3</v>
      </c>
      <c r="B48" s="7">
        <v>1</v>
      </c>
      <c r="C48" s="203" t="s">
        <v>1796</v>
      </c>
      <c r="D48" s="203" t="s">
        <v>1624</v>
      </c>
      <c r="E48" s="203"/>
      <c r="F48" s="203" t="s">
        <v>1982</v>
      </c>
      <c r="G48" s="240" t="s">
        <v>1794</v>
      </c>
      <c r="H48" s="240" t="str">
        <f>_xlfn.CONCAT("'&lt;br&gt;','&lt;b&gt;','",F48, ": ','&lt;/b&gt;',",G48, ",'&lt;/br&gt;',")</f>
        <v>'&lt;br&gt;','&lt;b&gt;','Event Identification  : ','&lt;/b&gt;',eventID ,'&lt;/br&gt;',</v>
      </c>
      <c r="I48" s="268" t="s">
        <v>1795</v>
      </c>
      <c r="J48" s="7" t="s">
        <v>1888</v>
      </c>
      <c r="K48" s="268" t="s">
        <v>1869</v>
      </c>
      <c r="L48" s="268"/>
      <c r="M48" s="273"/>
      <c r="N48" s="9"/>
      <c r="O48" s="9"/>
      <c r="P48" s="9"/>
      <c r="Q48" s="9"/>
      <c r="R48" s="9"/>
      <c r="S48" s="13"/>
      <c r="T48" s="13"/>
      <c r="U48" s="238"/>
      <c r="V48" s="236"/>
      <c r="W48" s="13"/>
      <c r="X48" s="319"/>
      <c r="Y48" s="374"/>
      <c r="Z48" s="319"/>
      <c r="AA48" s="319"/>
      <c r="AB48" s="262"/>
      <c r="AC48" s="262"/>
      <c r="AD48" s="262"/>
      <c r="AE48" s="262"/>
      <c r="AF48" s="262"/>
      <c r="AG48" s="9"/>
      <c r="AH48" s="264"/>
      <c r="AI48" s="264"/>
      <c r="AJ48" s="238"/>
      <c r="AK48" s="236"/>
      <c r="AL48" s="283"/>
      <c r="AM48" s="286"/>
      <c r="AN48" s="286"/>
      <c r="AO48" s="286"/>
      <c r="AP48" s="286"/>
      <c r="AQ48" s="286"/>
      <c r="AR48" s="286"/>
      <c r="AS48" s="286"/>
      <c r="AT48" s="286"/>
      <c r="AU48" s="286"/>
      <c r="AV48" s="286"/>
      <c r="AW48" s="286"/>
      <c r="AX48" s="287"/>
      <c r="AY48" s="286"/>
      <c r="AZ48" s="283"/>
      <c r="BA48" s="286"/>
      <c r="BB48" s="286"/>
      <c r="BC48" s="286"/>
      <c r="BD48" s="286"/>
      <c r="BE48" s="286"/>
      <c r="BF48" s="286"/>
      <c r="BG48" s="286"/>
      <c r="BH48" s="286"/>
      <c r="BI48" s="286"/>
      <c r="BJ48" s="5"/>
      <c r="BK48" s="159"/>
    </row>
    <row r="49" spans="1:63" ht="69" hidden="1">
      <c r="A49" s="7">
        <v>3</v>
      </c>
      <c r="B49" s="7">
        <v>2</v>
      </c>
      <c r="C49" s="203" t="s">
        <v>1796</v>
      </c>
      <c r="D49" s="203" t="s">
        <v>1624</v>
      </c>
      <c r="E49" s="203"/>
      <c r="F49" s="203" t="s">
        <v>1862</v>
      </c>
      <c r="G49" s="240" t="s">
        <v>2011</v>
      </c>
      <c r="H49" s="240" t="str">
        <f>_xlfn.CONCAT("'&lt;br&gt;','&lt;b&gt;','",F49, ": ','&lt;/b&gt;',",G49, ",'&lt;/br&gt;',")</f>
        <v>'&lt;br&gt;','&lt;b&gt;','Site Identification : ','&lt;/b&gt;',verbatimlocationID,'&lt;/br&gt;',</v>
      </c>
      <c r="I49" s="203" t="s">
        <v>1836</v>
      </c>
      <c r="J49" s="7" t="s">
        <v>1888</v>
      </c>
      <c r="K49" s="203"/>
      <c r="L49" s="203"/>
      <c r="M49" s="280" t="s">
        <v>1749</v>
      </c>
      <c r="N49" s="375"/>
      <c r="O49" s="9"/>
      <c r="P49" s="9"/>
      <c r="Q49" s="9"/>
      <c r="R49" s="9"/>
      <c r="S49" s="9"/>
      <c r="T49" s="9"/>
      <c r="U49" s="166"/>
      <c r="V49" s="9"/>
      <c r="W49" s="13" t="s">
        <v>94</v>
      </c>
      <c r="X49" s="13" t="s">
        <v>1569</v>
      </c>
      <c r="Y49" s="13"/>
      <c r="Z49" s="13"/>
      <c r="AA49" s="13" t="s">
        <v>95</v>
      </c>
      <c r="AB49" s="319" t="s">
        <v>80</v>
      </c>
      <c r="AC49" s="319" t="s">
        <v>80</v>
      </c>
      <c r="AD49" s="319" t="s">
        <v>80</v>
      </c>
      <c r="AE49" s="319" t="s">
        <v>80</v>
      </c>
      <c r="AF49" s="319" t="s">
        <v>80</v>
      </c>
      <c r="AG49" s="319"/>
      <c r="AH49" s="319"/>
      <c r="AI49" s="379"/>
      <c r="AJ49" s="166"/>
      <c r="AK49" s="9"/>
      <c r="AL49" s="282" t="s">
        <v>96</v>
      </c>
      <c r="AM49" s="264"/>
      <c r="AN49" s="264" t="s">
        <v>96</v>
      </c>
      <c r="AO49" s="264"/>
      <c r="AP49" s="264"/>
      <c r="AQ49" s="319"/>
      <c r="AR49" s="319" t="s">
        <v>97</v>
      </c>
      <c r="AS49" s="319" t="s">
        <v>97</v>
      </c>
      <c r="AT49" s="319"/>
      <c r="AU49" s="319"/>
      <c r="AV49" s="319"/>
      <c r="AW49" s="379"/>
      <c r="AX49" s="166"/>
      <c r="AY49" s="9"/>
      <c r="AZ49" s="12" t="s">
        <v>91</v>
      </c>
      <c r="BA49" s="236" t="s">
        <v>92</v>
      </c>
      <c r="BB49" s="236"/>
      <c r="BC49" s="236"/>
      <c r="BD49" s="13" t="s">
        <v>98</v>
      </c>
      <c r="BE49" s="13" t="s">
        <v>89</v>
      </c>
      <c r="BF49" s="13"/>
      <c r="BG49" s="13"/>
      <c r="BH49" s="13"/>
      <c r="BI49" s="13"/>
      <c r="BJ49" s="5">
        <f>COUNTIF(M49,"*")+COUNTIF(W49,"*")+COUNTIF(AL49,"*")+COUNTIF(AZ49,"*")</f>
        <v>4</v>
      </c>
      <c r="BK49" s="211" t="s">
        <v>1753</v>
      </c>
    </row>
    <row r="50" spans="1:63" ht="41.4" hidden="1">
      <c r="A50" s="7">
        <v>3</v>
      </c>
      <c r="B50" s="7">
        <v>3</v>
      </c>
      <c r="C50" s="203" t="s">
        <v>1796</v>
      </c>
      <c r="D50" s="203" t="s">
        <v>1624</v>
      </c>
      <c r="E50" s="203"/>
      <c r="F50" s="203" t="s">
        <v>99</v>
      </c>
      <c r="G50" s="240" t="s">
        <v>100</v>
      </c>
      <c r="H50" s="240" t="str">
        <f>_xlfn.CONCAT("'&lt;br&gt;','&lt;b&gt;','",F50, ": ','&lt;/b&gt;',",G50, ",'&lt;/br&gt;',")</f>
        <v>'&lt;br&gt;','&lt;b&gt;','Sample Year : ','&lt;/b&gt;',Year,'&lt;/br&gt;',</v>
      </c>
      <c r="I50" s="203" t="s">
        <v>1798</v>
      </c>
      <c r="J50" s="203" t="s">
        <v>1976</v>
      </c>
      <c r="K50" s="203"/>
      <c r="L50" s="203"/>
      <c r="M50" s="269" t="s">
        <v>102</v>
      </c>
      <c r="N50" s="236"/>
      <c r="O50" s="13"/>
      <c r="P50" s="13"/>
      <c r="Q50" s="13"/>
      <c r="R50" s="13"/>
      <c r="S50" s="13"/>
      <c r="T50" s="13"/>
      <c r="U50" s="167"/>
      <c r="V50" s="13"/>
      <c r="W50" s="13"/>
      <c r="X50" s="13"/>
      <c r="Y50" s="13"/>
      <c r="Z50" s="13"/>
      <c r="AA50" s="13"/>
      <c r="AB50" s="13"/>
      <c r="AC50" s="13"/>
      <c r="AD50" s="13"/>
      <c r="AE50" s="13"/>
      <c r="AF50" s="13"/>
      <c r="AG50" s="13"/>
      <c r="AH50" s="13"/>
      <c r="AI50" s="13"/>
      <c r="AJ50" s="167"/>
      <c r="AK50" s="13"/>
      <c r="AL50" s="282" t="s">
        <v>103</v>
      </c>
      <c r="AM50" s="264"/>
      <c r="AN50" s="264" t="s">
        <v>1883</v>
      </c>
      <c r="AO50" s="264"/>
      <c r="AP50" s="264"/>
      <c r="AQ50" s="13"/>
      <c r="AR50" s="319" t="s">
        <v>104</v>
      </c>
      <c r="AS50" s="154" t="s">
        <v>104</v>
      </c>
      <c r="AT50" s="154"/>
      <c r="AU50" s="154"/>
      <c r="AV50" s="154"/>
      <c r="AW50" s="379"/>
      <c r="AX50" s="167"/>
      <c r="AY50" s="13"/>
      <c r="AZ50" s="12" t="s">
        <v>105</v>
      </c>
      <c r="BA50" s="236" t="s">
        <v>106</v>
      </c>
      <c r="BB50" s="236"/>
      <c r="BC50" s="236"/>
      <c r="BD50" s="13" t="s">
        <v>80</v>
      </c>
      <c r="BE50" s="13" t="s">
        <v>89</v>
      </c>
      <c r="BF50" s="13"/>
      <c r="BG50" s="13"/>
      <c r="BH50" s="13"/>
      <c r="BI50" s="13"/>
      <c r="BJ50" s="5">
        <f>COUNTIF(M50,"*")+COUNTIF(W50,"*")+COUNTIF(AL50,"*")+COUNTIF(AZ50,"*")</f>
        <v>3</v>
      </c>
      <c r="BK50" s="211" t="s">
        <v>1752</v>
      </c>
    </row>
    <row r="51" spans="1:63" ht="27.6" hidden="1">
      <c r="A51" s="7">
        <v>3</v>
      </c>
      <c r="B51" s="7">
        <v>4</v>
      </c>
      <c r="C51" s="203" t="s">
        <v>1796</v>
      </c>
      <c r="D51" s="203" t="s">
        <v>1624</v>
      </c>
      <c r="E51" s="203"/>
      <c r="F51" s="203" t="s">
        <v>1853</v>
      </c>
      <c r="G51" s="240" t="s">
        <v>1853</v>
      </c>
      <c r="H51" s="240"/>
      <c r="I51" s="203" t="s">
        <v>1852</v>
      </c>
      <c r="J51" s="7" t="s">
        <v>1745</v>
      </c>
      <c r="K51" s="203"/>
      <c r="L51" s="203"/>
      <c r="M51" s="269"/>
      <c r="N51" s="236"/>
      <c r="O51" s="13"/>
      <c r="P51" s="13"/>
      <c r="Q51" s="13"/>
      <c r="R51" s="13"/>
      <c r="S51" s="13"/>
      <c r="T51" s="13"/>
      <c r="U51" s="167"/>
      <c r="V51" s="13"/>
      <c r="W51" s="13"/>
      <c r="X51" s="13"/>
      <c r="Y51" s="13"/>
      <c r="Z51" s="13"/>
      <c r="AA51" s="13"/>
      <c r="AB51" s="13"/>
      <c r="AC51" s="13"/>
      <c r="AD51" s="13"/>
      <c r="AE51" s="13"/>
      <c r="AF51" s="13"/>
      <c r="AG51" s="13"/>
      <c r="AH51" s="13"/>
      <c r="AI51" s="13"/>
      <c r="AJ51" s="167"/>
      <c r="AK51" s="13"/>
      <c r="AL51" s="282"/>
      <c r="AM51" s="264"/>
      <c r="AN51" s="264"/>
      <c r="AO51" s="264"/>
      <c r="AP51" s="264"/>
      <c r="AQ51" s="13"/>
      <c r="AR51" s="319"/>
      <c r="AS51" s="319"/>
      <c r="AT51" s="319"/>
      <c r="AU51" s="319"/>
      <c r="AV51" s="319"/>
      <c r="AW51" s="379"/>
      <c r="AX51" s="167"/>
      <c r="AY51" s="13"/>
      <c r="AZ51" s="12"/>
      <c r="BA51" s="236"/>
      <c r="BB51" s="236"/>
      <c r="BC51" s="236"/>
      <c r="BD51" s="13"/>
      <c r="BE51" s="13"/>
      <c r="BF51" s="13"/>
      <c r="BG51" s="13"/>
      <c r="BH51" s="13"/>
      <c r="BI51" s="13"/>
      <c r="BJ51" s="5"/>
    </row>
    <row r="52" spans="1:63" ht="41.4" hidden="1">
      <c r="A52" s="7">
        <v>3</v>
      </c>
      <c r="B52" s="7">
        <v>5</v>
      </c>
      <c r="C52" s="203" t="s">
        <v>1796</v>
      </c>
      <c r="D52" s="203" t="s">
        <v>1624</v>
      </c>
      <c r="E52" s="203"/>
      <c r="F52" s="203" t="s">
        <v>107</v>
      </c>
      <c r="G52" s="240" t="s">
        <v>1799</v>
      </c>
      <c r="H52" s="240" t="str">
        <f>_xlfn.CONCAT("'&lt;br&gt;','&lt;b&gt;','",F52, ": ','&lt;/b&gt;',",G52, ",'&lt;/br&gt;',")</f>
        <v>'&lt;br&gt;','&lt;b&gt;','Sample Date : ','&lt;/b&gt;',verbatimEventDate,'&lt;/br&gt;',</v>
      </c>
      <c r="I52" s="203" t="s">
        <v>1800</v>
      </c>
      <c r="J52" s="203" t="s">
        <v>1745</v>
      </c>
      <c r="K52" s="203"/>
      <c r="L52" s="203"/>
      <c r="M52" s="275"/>
      <c r="N52" s="376"/>
      <c r="O52" s="192" t="s">
        <v>110</v>
      </c>
      <c r="P52" s="9"/>
      <c r="Q52" s="9"/>
      <c r="R52" s="9"/>
      <c r="S52" s="9"/>
      <c r="T52" s="9"/>
      <c r="U52" s="166"/>
      <c r="V52" s="9"/>
      <c r="W52" s="13" t="s">
        <v>1746</v>
      </c>
      <c r="X52" s="13" t="s">
        <v>1575</v>
      </c>
      <c r="Y52" s="13"/>
      <c r="Z52" s="13"/>
      <c r="AA52" s="13" t="s">
        <v>111</v>
      </c>
      <c r="AB52" s="319" t="s">
        <v>80</v>
      </c>
      <c r="AC52" s="319" t="s">
        <v>112</v>
      </c>
      <c r="AD52" s="319" t="s">
        <v>80</v>
      </c>
      <c r="AE52" s="319" t="s">
        <v>80</v>
      </c>
      <c r="AF52" s="319" t="s">
        <v>80</v>
      </c>
      <c r="AG52" s="319"/>
      <c r="AH52" s="319"/>
      <c r="AI52" s="379"/>
      <c r="AJ52" s="166"/>
      <c r="AK52" s="9"/>
      <c r="AL52" s="282" t="s">
        <v>113</v>
      </c>
      <c r="AM52" s="264"/>
      <c r="AN52" s="264"/>
      <c r="AO52" s="264"/>
      <c r="AP52" s="264"/>
      <c r="AQ52" s="11"/>
      <c r="AR52" s="319" t="s">
        <v>114</v>
      </c>
      <c r="AS52" s="319" t="s">
        <v>114</v>
      </c>
      <c r="AT52" s="319"/>
      <c r="AU52" s="319"/>
      <c r="AV52" s="319"/>
      <c r="AW52" s="379"/>
      <c r="AX52" s="166"/>
      <c r="AY52" s="9"/>
      <c r="AZ52" s="12"/>
      <c r="BA52" s="236"/>
      <c r="BB52" s="236"/>
      <c r="BC52" s="236"/>
      <c r="BD52" s="13"/>
      <c r="BE52" s="13"/>
      <c r="BF52" s="13"/>
      <c r="BG52" s="13"/>
      <c r="BH52" s="13"/>
      <c r="BI52" s="13"/>
      <c r="BJ52" s="5">
        <f>COUNTIF(O52,"*")+COUNTIF(W52,"*")+COUNTIF(AL52,"*")+COUNTIF(AZ52,"*")</f>
        <v>3</v>
      </c>
    </row>
    <row r="53" spans="1:63" ht="69" hidden="1">
      <c r="A53" s="7">
        <v>3</v>
      </c>
      <c r="B53" s="7">
        <v>6</v>
      </c>
      <c r="C53" s="203" t="s">
        <v>1796</v>
      </c>
      <c r="D53" s="203" t="s">
        <v>1624</v>
      </c>
      <c r="E53" s="203"/>
      <c r="F53" s="203" t="s">
        <v>1871</v>
      </c>
      <c r="G53" s="240" t="s">
        <v>1854</v>
      </c>
      <c r="H53" s="240"/>
      <c r="I53" s="7" t="s">
        <v>1856</v>
      </c>
      <c r="J53" s="203" t="s">
        <v>1974</v>
      </c>
      <c r="K53" s="7"/>
      <c r="L53" s="7"/>
      <c r="N53" s="13"/>
      <c r="O53" s="12" t="s">
        <v>1171</v>
      </c>
      <c r="P53" s="13"/>
      <c r="Q53" s="13"/>
      <c r="R53" s="13"/>
      <c r="S53" s="13"/>
      <c r="T53" s="13"/>
      <c r="U53" s="167"/>
      <c r="V53" s="13"/>
      <c r="W53" s="13" t="s">
        <v>150</v>
      </c>
      <c r="X53" s="13" t="s">
        <v>2010</v>
      </c>
      <c r="Y53" s="13"/>
      <c r="Z53" s="13"/>
      <c r="AA53" s="13" t="s">
        <v>151</v>
      </c>
      <c r="AB53" s="319" t="s">
        <v>80</v>
      </c>
      <c r="AC53" s="319" t="s">
        <v>80</v>
      </c>
      <c r="AD53" s="319" t="s">
        <v>152</v>
      </c>
      <c r="AE53" s="319" t="s">
        <v>153</v>
      </c>
      <c r="AF53" s="319" t="s">
        <v>80</v>
      </c>
      <c r="AG53" s="319"/>
      <c r="AH53" s="319"/>
      <c r="AI53" s="379"/>
      <c r="AJ53" s="167"/>
      <c r="AK53" s="13"/>
      <c r="AL53" s="12"/>
      <c r="AM53" s="13"/>
      <c r="AN53" s="13"/>
      <c r="AO53" s="13"/>
      <c r="AP53" s="13"/>
      <c r="AQ53" s="13"/>
      <c r="AR53" s="13"/>
      <c r="AS53" s="13"/>
      <c r="AT53" s="13"/>
      <c r="AU53" s="13"/>
      <c r="AV53" s="13"/>
      <c r="AW53" s="13"/>
      <c r="AX53" s="167"/>
      <c r="AY53" s="13"/>
      <c r="AZ53" s="12"/>
      <c r="BA53" s="13"/>
      <c r="BB53" s="13"/>
      <c r="BC53" s="13"/>
      <c r="BD53" s="13"/>
      <c r="BE53" s="319"/>
      <c r="BF53" s="319"/>
      <c r="BG53" s="379"/>
      <c r="BH53" s="319"/>
      <c r="BI53" s="379"/>
      <c r="BJ53" s="5">
        <f>COUNTIF(O53,"*")+COUNTIF(W53,"*")+COUNTIF(AL53,"*")+COUNTIF(AZ53,"*")</f>
        <v>2</v>
      </c>
      <c r="BK53" s="211" t="s">
        <v>1756</v>
      </c>
    </row>
    <row r="54" spans="1:63" ht="69" hidden="1">
      <c r="A54" s="7">
        <v>3</v>
      </c>
      <c r="B54" s="7">
        <v>7</v>
      </c>
      <c r="C54" s="203" t="s">
        <v>1796</v>
      </c>
      <c r="D54" s="203" t="s">
        <v>1624</v>
      </c>
      <c r="E54" s="203"/>
      <c r="F54" s="203" t="s">
        <v>171</v>
      </c>
      <c r="G54" s="240" t="s">
        <v>1801</v>
      </c>
      <c r="H54" s="240"/>
      <c r="I54" s="7" t="s">
        <v>1802</v>
      </c>
      <c r="J54" s="7" t="s">
        <v>1831</v>
      </c>
      <c r="K54" s="7"/>
      <c r="L54" s="7"/>
      <c r="M54" s="12"/>
      <c r="N54" s="13"/>
      <c r="O54" s="13"/>
      <c r="P54" s="13"/>
      <c r="Q54" s="13"/>
      <c r="R54" s="13"/>
      <c r="S54" s="13"/>
      <c r="T54" s="13"/>
      <c r="U54" s="167"/>
      <c r="V54" s="13"/>
      <c r="W54" s="13" t="s">
        <v>172</v>
      </c>
      <c r="X54" s="13"/>
      <c r="Y54" s="13"/>
      <c r="Z54" s="13"/>
      <c r="AA54" s="13" t="s">
        <v>173</v>
      </c>
      <c r="AB54" s="319" t="s">
        <v>80</v>
      </c>
      <c r="AC54" s="319" t="s">
        <v>80</v>
      </c>
      <c r="AD54" s="319" t="s">
        <v>80</v>
      </c>
      <c r="AE54" s="319" t="s">
        <v>80</v>
      </c>
      <c r="AF54" s="319" t="s">
        <v>80</v>
      </c>
      <c r="AG54" s="319"/>
      <c r="AH54" s="319"/>
      <c r="AI54" s="379"/>
      <c r="AJ54" s="167"/>
      <c r="AK54" s="13"/>
      <c r="AL54" s="12"/>
      <c r="AM54" s="13"/>
      <c r="AN54" s="13"/>
      <c r="AO54" s="13"/>
      <c r="AP54" s="13"/>
      <c r="AQ54" s="13"/>
      <c r="AR54" s="13"/>
      <c r="AS54" s="13"/>
      <c r="AT54" s="13"/>
      <c r="AU54" s="13"/>
      <c r="AV54" s="13"/>
      <c r="AW54" s="13"/>
      <c r="AX54" s="167"/>
      <c r="AY54" s="13"/>
      <c r="AZ54" s="12"/>
      <c r="BA54" s="13"/>
      <c r="BB54" s="13"/>
      <c r="BC54" s="13"/>
      <c r="BD54" s="13"/>
      <c r="BE54" s="13"/>
      <c r="BF54" s="13"/>
      <c r="BG54" s="13"/>
      <c r="BH54" s="13"/>
      <c r="BI54" s="13"/>
      <c r="BJ54" s="5">
        <f>COUNTIF(M54,"*")+COUNTIF(W54,"*")+COUNTIF(AL54,"*")+COUNTIF(AZ54,"*")</f>
        <v>1</v>
      </c>
      <c r="BK54" s="211" t="s">
        <v>1756</v>
      </c>
    </row>
    <row r="55" spans="1:63" ht="96.6" hidden="1">
      <c r="A55" s="7">
        <v>3</v>
      </c>
      <c r="B55" s="7">
        <v>8</v>
      </c>
      <c r="C55" s="203" t="s">
        <v>1796</v>
      </c>
      <c r="D55" s="203" t="s">
        <v>1624</v>
      </c>
      <c r="E55" s="203"/>
      <c r="F55" s="203" t="s">
        <v>1983</v>
      </c>
      <c r="G55" s="240" t="s">
        <v>108</v>
      </c>
      <c r="H55" s="240"/>
      <c r="I55" s="203" t="s">
        <v>1797</v>
      </c>
      <c r="J55" s="7" t="s">
        <v>1745</v>
      </c>
      <c r="K55" s="203"/>
      <c r="L55" s="203"/>
      <c r="M55" s="269"/>
      <c r="N55" s="236"/>
      <c r="O55" s="13"/>
      <c r="P55" s="13"/>
      <c r="Q55" s="13"/>
      <c r="R55" s="13"/>
      <c r="S55" s="13"/>
      <c r="T55" s="13"/>
      <c r="U55" s="167"/>
      <c r="V55" s="13"/>
      <c r="W55" s="13"/>
      <c r="X55" s="13"/>
      <c r="Y55" s="13"/>
      <c r="Z55" s="13"/>
      <c r="AA55" s="13"/>
      <c r="AB55" s="13"/>
      <c r="AC55" s="13"/>
      <c r="AD55" s="13"/>
      <c r="AE55" s="13"/>
      <c r="AF55" s="13"/>
      <c r="AG55" s="13"/>
      <c r="AH55" s="13"/>
      <c r="AI55" s="13"/>
      <c r="AJ55" s="167"/>
      <c r="AK55" s="13"/>
      <c r="AL55" s="282"/>
      <c r="AM55" s="264"/>
      <c r="AN55" s="264"/>
      <c r="AO55" s="264"/>
      <c r="AP55" s="264"/>
      <c r="AQ55" s="13"/>
      <c r="AR55" s="319"/>
      <c r="AS55" s="319"/>
      <c r="AT55" s="319"/>
      <c r="AU55" s="319"/>
      <c r="AV55" s="319"/>
      <c r="AW55" s="379"/>
      <c r="AX55" s="167"/>
      <c r="AY55" s="13"/>
      <c r="AZ55" s="12"/>
      <c r="BA55" s="236"/>
      <c r="BB55" s="236"/>
      <c r="BC55" s="236"/>
      <c r="BD55" s="13"/>
      <c r="BE55" s="13"/>
      <c r="BF55" s="13"/>
      <c r="BG55" s="13"/>
      <c r="BH55" s="13"/>
      <c r="BI55" s="13"/>
      <c r="BJ55" s="5"/>
    </row>
    <row r="56" spans="1:63" ht="55.2" hidden="1">
      <c r="A56" s="15">
        <v>3.5</v>
      </c>
      <c r="B56" s="15">
        <v>1</v>
      </c>
      <c r="C56" s="242" t="s">
        <v>235</v>
      </c>
      <c r="D56" s="242"/>
      <c r="E56" s="15"/>
      <c r="F56" s="15" t="s">
        <v>239</v>
      </c>
      <c r="G56" s="295"/>
      <c r="H56" s="295"/>
      <c r="I56" s="15"/>
      <c r="J56" s="15"/>
      <c r="K56" s="15"/>
      <c r="L56" s="15"/>
      <c r="M56" s="12"/>
      <c r="N56" s="13"/>
      <c r="O56" s="13"/>
      <c r="P56" s="13"/>
      <c r="Q56" s="13"/>
      <c r="R56" s="13"/>
      <c r="S56" s="13"/>
      <c r="T56" s="13"/>
      <c r="U56" s="167"/>
      <c r="V56" s="13"/>
      <c r="W56" s="13"/>
      <c r="X56" s="13"/>
      <c r="Y56" s="13"/>
      <c r="Z56" s="13"/>
      <c r="AA56" s="13"/>
      <c r="AB56" s="319"/>
      <c r="AC56" s="319"/>
      <c r="AD56" s="319"/>
      <c r="AE56" s="319"/>
      <c r="AF56" s="319"/>
      <c r="AG56" s="319"/>
      <c r="AH56" s="319"/>
      <c r="AI56" s="379"/>
      <c r="AJ56" s="167"/>
      <c r="AK56" s="13"/>
      <c r="AL56" s="17" t="s">
        <v>240</v>
      </c>
      <c r="AM56" s="374"/>
      <c r="AN56" s="319"/>
      <c r="AO56" s="374"/>
      <c r="AP56" s="319"/>
      <c r="AQ56" s="11"/>
      <c r="AR56" s="319" t="s">
        <v>239</v>
      </c>
      <c r="AS56" s="319" t="s">
        <v>239</v>
      </c>
      <c r="AT56" s="319"/>
      <c r="AU56" s="319"/>
      <c r="AV56" s="319"/>
      <c r="AW56" s="379"/>
      <c r="AX56" s="167"/>
      <c r="AY56" s="13"/>
      <c r="AZ56" s="12"/>
      <c r="BA56" s="13"/>
      <c r="BB56" s="13"/>
      <c r="BC56" s="13"/>
      <c r="BD56" s="13"/>
      <c r="BE56" s="13"/>
      <c r="BF56" s="13"/>
      <c r="BG56" s="13"/>
      <c r="BH56" s="13"/>
      <c r="BI56" s="13"/>
      <c r="BJ56" s="5">
        <f>COUNTIF(M56,"*")+COUNTIF(W56,"*")+COUNTIF(AL56,"*")+COUNTIF(AZ56,"*")</f>
        <v>1</v>
      </c>
    </row>
    <row r="57" spans="1:63" ht="27.6" hidden="1">
      <c r="A57" s="15">
        <v>3.5</v>
      </c>
      <c r="B57" s="15">
        <v>2</v>
      </c>
      <c r="C57" s="242" t="s">
        <v>235</v>
      </c>
      <c r="D57" s="242"/>
      <c r="E57" s="15"/>
      <c r="F57" s="15" t="s">
        <v>241</v>
      </c>
      <c r="G57" s="295"/>
      <c r="H57" s="295"/>
      <c r="I57" s="15"/>
      <c r="J57" s="15"/>
      <c r="K57" s="15"/>
      <c r="L57" s="15"/>
      <c r="M57" s="12"/>
      <c r="N57" s="13"/>
      <c r="O57" s="13"/>
      <c r="P57" s="13"/>
      <c r="Q57" s="13"/>
      <c r="R57" s="13"/>
      <c r="S57" s="13"/>
      <c r="T57" s="13"/>
      <c r="U57" s="167"/>
      <c r="V57" s="13"/>
      <c r="W57" s="13"/>
      <c r="X57" s="13"/>
      <c r="Y57" s="13"/>
      <c r="Z57" s="13"/>
      <c r="AA57" s="13"/>
      <c r="AB57" s="319"/>
      <c r="AC57" s="319"/>
      <c r="AD57" s="319"/>
      <c r="AE57" s="319"/>
      <c r="AF57" s="319"/>
      <c r="AG57" s="319"/>
      <c r="AH57" s="319"/>
      <c r="AI57" s="379"/>
      <c r="AJ57" s="167"/>
      <c r="AK57" s="13"/>
      <c r="AL57" s="17" t="s">
        <v>242</v>
      </c>
      <c r="AM57" s="374"/>
      <c r="AN57" s="319"/>
      <c r="AO57" s="374"/>
      <c r="AP57" s="319"/>
      <c r="AQ57" s="11"/>
      <c r="AR57" s="319" t="s">
        <v>241</v>
      </c>
      <c r="AS57" s="319" t="s">
        <v>241</v>
      </c>
      <c r="AT57" s="319"/>
      <c r="AU57" s="319"/>
      <c r="AV57" s="319"/>
      <c r="AW57" s="379"/>
      <c r="AX57" s="167"/>
      <c r="AY57" s="13"/>
      <c r="AZ57" s="12"/>
      <c r="BA57" s="13"/>
      <c r="BB57" s="13"/>
      <c r="BC57" s="13"/>
      <c r="BD57" s="13"/>
      <c r="BE57" s="13"/>
      <c r="BF57" s="13"/>
      <c r="BG57" s="13"/>
      <c r="BH57" s="13"/>
      <c r="BI57" s="13"/>
      <c r="BJ57" s="5">
        <f>COUNTIF(M57,"*")+COUNTIF(W57,"*")+COUNTIF(AL57,"*")+COUNTIF(AZ57,"*")</f>
        <v>1</v>
      </c>
    </row>
    <row r="58" spans="1:63" ht="13.8" hidden="1">
      <c r="A58" s="15">
        <v>3.5</v>
      </c>
      <c r="B58" s="15">
        <v>3</v>
      </c>
      <c r="C58" s="242" t="s">
        <v>235</v>
      </c>
      <c r="D58" s="242"/>
      <c r="E58" s="15"/>
      <c r="F58" s="15" t="s">
        <v>243</v>
      </c>
      <c r="G58" s="295"/>
      <c r="H58" s="295"/>
      <c r="I58" s="15"/>
      <c r="J58" s="15"/>
      <c r="K58" s="15"/>
      <c r="L58" s="15"/>
      <c r="M58" s="12"/>
      <c r="N58" s="13"/>
      <c r="O58" s="13"/>
      <c r="P58" s="13"/>
      <c r="Q58" s="13"/>
      <c r="R58" s="13"/>
      <c r="S58" s="13"/>
      <c r="T58" s="13"/>
      <c r="U58" s="167"/>
      <c r="V58" s="13"/>
      <c r="W58" s="13"/>
      <c r="X58" s="13"/>
      <c r="Y58" s="13"/>
      <c r="Z58" s="13"/>
      <c r="AA58" s="13"/>
      <c r="AB58" s="13"/>
      <c r="AC58" s="13"/>
      <c r="AD58" s="13"/>
      <c r="AE58" s="13"/>
      <c r="AF58" s="13"/>
      <c r="AG58" s="13"/>
      <c r="AH58" s="13"/>
      <c r="AI58" s="13"/>
      <c r="AJ58" s="167"/>
      <c r="AK58" s="13"/>
      <c r="AL58" s="12"/>
      <c r="AM58" s="13"/>
      <c r="AN58" s="13"/>
      <c r="AO58" s="13"/>
      <c r="AP58" s="13"/>
      <c r="AQ58" s="13"/>
      <c r="AR58" s="13"/>
      <c r="AS58" s="13"/>
      <c r="AT58" s="13"/>
      <c r="AU58" s="13"/>
      <c r="AV58" s="13"/>
      <c r="AW58" s="13"/>
      <c r="AX58" s="167"/>
      <c r="AY58" s="13"/>
      <c r="AZ58" s="12" t="s">
        <v>243</v>
      </c>
      <c r="BA58" s="13" t="s">
        <v>244</v>
      </c>
      <c r="BB58" s="13"/>
      <c r="BC58" s="13"/>
      <c r="BD58" s="13" t="s">
        <v>245</v>
      </c>
      <c r="BE58" s="13" t="s">
        <v>246</v>
      </c>
      <c r="BF58" s="13"/>
      <c r="BG58" s="13"/>
      <c r="BH58" s="13"/>
      <c r="BI58" s="13"/>
      <c r="BJ58" s="5">
        <f>COUNTIF(M58,"*")+COUNTIF(W58,"*")+COUNTIF(AL58,"*")+COUNTIF(AZ58,"*")</f>
        <v>1</v>
      </c>
      <c r="BK58" s="211" t="s">
        <v>1758</v>
      </c>
    </row>
    <row r="59" spans="1:63" ht="41.4" hidden="1">
      <c r="A59" s="15">
        <v>3.5</v>
      </c>
      <c r="B59" s="15">
        <v>4</v>
      </c>
      <c r="C59" s="242" t="s">
        <v>235</v>
      </c>
      <c r="D59" s="242"/>
      <c r="E59" s="15"/>
      <c r="F59" s="15" t="s">
        <v>247</v>
      </c>
      <c r="G59" s="295"/>
      <c r="H59" s="295"/>
      <c r="I59" s="15"/>
      <c r="J59" s="15"/>
      <c r="K59" s="15"/>
      <c r="L59" s="15"/>
      <c r="M59" s="12"/>
      <c r="N59" s="13"/>
      <c r="O59" s="13"/>
      <c r="P59" s="13"/>
      <c r="Q59" s="13"/>
      <c r="R59" s="13"/>
      <c r="S59" s="13"/>
      <c r="T59" s="13"/>
      <c r="U59" s="167"/>
      <c r="V59" s="13"/>
      <c r="W59" s="13"/>
      <c r="X59" s="13"/>
      <c r="Y59" s="13"/>
      <c r="Z59" s="13"/>
      <c r="AA59" s="13"/>
      <c r="AB59" s="13"/>
      <c r="AC59" s="13"/>
      <c r="AD59" s="13"/>
      <c r="AE59" s="13"/>
      <c r="AF59" s="13"/>
      <c r="AG59" s="13"/>
      <c r="AH59" s="13"/>
      <c r="AI59" s="13"/>
      <c r="AJ59" s="167"/>
      <c r="AK59" s="13"/>
      <c r="AL59" s="12"/>
      <c r="AM59" s="13"/>
      <c r="AN59" s="13"/>
      <c r="AO59" s="13"/>
      <c r="AP59" s="13"/>
      <c r="AQ59" s="13"/>
      <c r="AR59" s="13"/>
      <c r="AS59" s="13"/>
      <c r="AT59" s="13"/>
      <c r="AU59" s="13"/>
      <c r="AV59" s="13"/>
      <c r="AW59" s="13"/>
      <c r="AX59" s="167"/>
      <c r="AY59" s="13"/>
      <c r="AZ59" s="12" t="s">
        <v>247</v>
      </c>
      <c r="BA59" s="13" t="s">
        <v>248</v>
      </c>
      <c r="BB59" s="13"/>
      <c r="BC59" s="13"/>
      <c r="BD59" s="13" t="s">
        <v>249</v>
      </c>
      <c r="BE59" s="13" t="s">
        <v>250</v>
      </c>
      <c r="BF59" s="13"/>
      <c r="BG59" s="13"/>
      <c r="BH59" s="13"/>
      <c r="BI59" s="13"/>
      <c r="BJ59" s="5">
        <f>COUNTIF(M59,"*")+COUNTIF(W59,"*")+COUNTIF(AL59,"*")+COUNTIF(AZ59,"*")</f>
        <v>1</v>
      </c>
      <c r="BK59" s="211" t="s">
        <v>1758</v>
      </c>
    </row>
    <row r="60" spans="1:63" ht="13.8" hidden="1">
      <c r="A60" s="15">
        <v>3.5</v>
      </c>
      <c r="B60" s="15">
        <v>5</v>
      </c>
      <c r="C60" s="242" t="s">
        <v>235</v>
      </c>
      <c r="D60" s="242"/>
      <c r="E60" s="15"/>
      <c r="F60" s="15" t="s">
        <v>251</v>
      </c>
      <c r="G60" s="295"/>
      <c r="H60" s="295"/>
      <c r="I60" s="15"/>
      <c r="J60" s="15"/>
      <c r="K60" s="15"/>
      <c r="L60" s="15"/>
      <c r="M60" s="12"/>
      <c r="N60" s="13"/>
      <c r="O60" s="13"/>
      <c r="P60" s="13"/>
      <c r="Q60" s="13"/>
      <c r="R60" s="13"/>
      <c r="S60" s="13"/>
      <c r="T60" s="13"/>
      <c r="U60" s="167"/>
      <c r="V60" s="13"/>
      <c r="W60" s="13"/>
      <c r="X60" s="13"/>
      <c r="Y60" s="13"/>
      <c r="Z60" s="13"/>
      <c r="AA60" s="13"/>
      <c r="AB60" s="13"/>
      <c r="AC60" s="13"/>
      <c r="AD60" s="13"/>
      <c r="AE60" s="13"/>
      <c r="AF60" s="13"/>
      <c r="AG60" s="13"/>
      <c r="AH60" s="13"/>
      <c r="AI60" s="13"/>
      <c r="AJ60" s="167"/>
      <c r="AK60" s="13"/>
      <c r="AL60" s="12"/>
      <c r="AM60" s="13"/>
      <c r="AN60" s="13"/>
      <c r="AO60" s="13"/>
      <c r="AP60" s="13"/>
      <c r="AQ60" s="13"/>
      <c r="AR60" s="13"/>
      <c r="AS60" s="13"/>
      <c r="AT60" s="13"/>
      <c r="AU60" s="13"/>
      <c r="AV60" s="13"/>
      <c r="AW60" s="13"/>
      <c r="AX60" s="167"/>
      <c r="AY60" s="13"/>
      <c r="AZ60" s="12" t="s">
        <v>251</v>
      </c>
      <c r="BA60" s="13" t="s">
        <v>252</v>
      </c>
      <c r="BB60" s="13"/>
      <c r="BC60" s="13"/>
      <c r="BD60" s="13" t="s">
        <v>253</v>
      </c>
      <c r="BE60" s="13" t="s">
        <v>250</v>
      </c>
      <c r="BF60" s="13"/>
      <c r="BG60" s="13"/>
      <c r="BH60" s="13"/>
      <c r="BI60" s="13"/>
      <c r="BJ60" s="5">
        <f>COUNTIF(M60,"*")+COUNTIF(W60,"*")+COUNTIF(AL60,"*")+COUNTIF(AZ60,"*")</f>
        <v>1</v>
      </c>
      <c r="BK60" s="211" t="s">
        <v>1758</v>
      </c>
    </row>
    <row r="61" spans="1:63" ht="13.8" hidden="1">
      <c r="A61" s="15">
        <v>3.5</v>
      </c>
      <c r="B61" s="15">
        <v>6</v>
      </c>
      <c r="C61" s="242" t="s">
        <v>235</v>
      </c>
      <c r="D61" s="242"/>
      <c r="E61" s="15"/>
      <c r="F61" s="15" t="s">
        <v>1984</v>
      </c>
      <c r="G61" s="295"/>
      <c r="H61" s="295"/>
      <c r="I61" s="15"/>
      <c r="J61" s="15"/>
      <c r="K61" s="15"/>
      <c r="L61" s="15"/>
      <c r="M61" s="12"/>
      <c r="N61" s="13"/>
      <c r="O61" s="13"/>
      <c r="P61" s="13"/>
      <c r="Q61" s="13"/>
      <c r="R61" s="13"/>
      <c r="S61" s="13"/>
      <c r="T61" s="13"/>
      <c r="U61" s="167"/>
      <c r="V61" s="13"/>
      <c r="W61" s="13" t="s">
        <v>254</v>
      </c>
      <c r="X61" s="13" t="s">
        <v>254</v>
      </c>
      <c r="Y61" s="13"/>
      <c r="Z61" s="13"/>
      <c r="AA61" s="13" t="s">
        <v>255</v>
      </c>
      <c r="AB61" s="262" t="s">
        <v>80</v>
      </c>
      <c r="AC61" s="262" t="s">
        <v>80</v>
      </c>
      <c r="AD61" s="262" t="s">
        <v>80</v>
      </c>
      <c r="AE61" s="262" t="s">
        <v>80</v>
      </c>
      <c r="AF61" s="262" t="s">
        <v>80</v>
      </c>
      <c r="AG61" s="262"/>
      <c r="AH61" s="262"/>
      <c r="AI61" s="379"/>
      <c r="AJ61" s="167"/>
      <c r="AK61" s="13"/>
      <c r="AL61" s="12"/>
      <c r="AM61" s="13"/>
      <c r="AN61" s="13"/>
      <c r="AO61" s="13"/>
      <c r="AP61" s="13"/>
      <c r="AQ61" s="13"/>
      <c r="AR61" s="13"/>
      <c r="AS61" s="13"/>
      <c r="AT61" s="13"/>
      <c r="AU61" s="13"/>
      <c r="AV61" s="13"/>
      <c r="AW61" s="13"/>
      <c r="AX61" s="167"/>
      <c r="AY61" s="13"/>
      <c r="AZ61" s="12"/>
      <c r="BA61" s="13"/>
      <c r="BB61" s="13"/>
      <c r="BC61" s="13"/>
      <c r="BD61" s="13"/>
      <c r="BE61" s="13"/>
      <c r="BF61" s="13"/>
      <c r="BG61" s="13"/>
      <c r="BH61" s="13"/>
      <c r="BI61" s="13"/>
      <c r="BJ61" s="5">
        <f>COUNTIF(M61,"*")+COUNTIF(W61,"*")+COUNTIF(AL61,"*")+COUNTIF(AZ61,"*")</f>
        <v>1</v>
      </c>
      <c r="BK61" s="211" t="s">
        <v>1758</v>
      </c>
    </row>
    <row r="62" spans="1:63" ht="32.4" hidden="1" customHeight="1">
      <c r="A62" s="15">
        <v>3.5</v>
      </c>
      <c r="B62" s="15">
        <v>7</v>
      </c>
      <c r="C62" s="242" t="s">
        <v>235</v>
      </c>
      <c r="D62" s="242"/>
      <c r="E62" s="15"/>
      <c r="F62" s="15" t="s">
        <v>256</v>
      </c>
      <c r="G62" s="295"/>
      <c r="H62" s="295"/>
      <c r="I62" s="15"/>
      <c r="J62" s="15"/>
      <c r="K62" s="15"/>
      <c r="L62" s="15"/>
      <c r="M62" s="12"/>
      <c r="N62" s="13"/>
      <c r="O62" s="13"/>
      <c r="P62" s="13"/>
      <c r="Q62" s="13"/>
      <c r="R62" s="13"/>
      <c r="S62" s="13"/>
      <c r="T62" s="13"/>
      <c r="U62" s="167"/>
      <c r="V62" s="13"/>
      <c r="W62" s="13" t="s">
        <v>257</v>
      </c>
      <c r="X62" s="13" t="s">
        <v>257</v>
      </c>
      <c r="Y62" s="13"/>
      <c r="Z62" s="13"/>
      <c r="AA62" s="13" t="s">
        <v>258</v>
      </c>
      <c r="AB62" s="319" t="s">
        <v>80</v>
      </c>
      <c r="AC62" s="319" t="s">
        <v>80</v>
      </c>
      <c r="AD62" s="319" t="s">
        <v>80</v>
      </c>
      <c r="AE62" s="319" t="s">
        <v>80</v>
      </c>
      <c r="AF62" s="319" t="s">
        <v>80</v>
      </c>
      <c r="AG62" s="319"/>
      <c r="AH62" s="319"/>
      <c r="AI62" s="379"/>
      <c r="AJ62" s="167"/>
      <c r="AK62" s="13"/>
      <c r="AL62" s="12"/>
      <c r="AM62" s="13"/>
      <c r="AN62" s="13"/>
      <c r="AO62" s="13"/>
      <c r="AP62" s="13"/>
      <c r="AQ62" s="13"/>
      <c r="AR62" s="13"/>
      <c r="AS62" s="13"/>
      <c r="AT62" s="13"/>
      <c r="AU62" s="13"/>
      <c r="AV62" s="13"/>
      <c r="AW62" s="13"/>
      <c r="AX62" s="167"/>
      <c r="AY62" s="13"/>
      <c r="AZ62" s="12"/>
      <c r="BA62" s="13"/>
      <c r="BB62" s="13"/>
      <c r="BC62" s="13"/>
      <c r="BD62" s="13"/>
      <c r="BE62" s="13"/>
      <c r="BF62" s="13"/>
      <c r="BG62" s="13"/>
      <c r="BH62" s="13"/>
      <c r="BI62" s="13"/>
      <c r="BJ62" s="5">
        <f>COUNTIF(M62,"*")+COUNTIF(W62,"*")+COUNTIF(AL62,"*")+COUNTIF(AZ62,"*")</f>
        <v>1</v>
      </c>
      <c r="BK62" s="211" t="s">
        <v>1758</v>
      </c>
    </row>
    <row r="63" spans="1:63" ht="32.4" hidden="1" customHeight="1">
      <c r="A63" s="15">
        <v>3.5</v>
      </c>
      <c r="B63" s="15">
        <v>8</v>
      </c>
      <c r="C63" s="242" t="s">
        <v>235</v>
      </c>
      <c r="D63" s="242"/>
      <c r="E63" s="15"/>
      <c r="F63" s="15" t="s">
        <v>259</v>
      </c>
      <c r="G63" s="295"/>
      <c r="H63" s="295"/>
      <c r="I63" s="15"/>
      <c r="J63" s="15"/>
      <c r="K63" s="15"/>
      <c r="L63" s="15"/>
      <c r="M63" s="12"/>
      <c r="N63" s="13"/>
      <c r="O63" s="13"/>
      <c r="P63" s="13"/>
      <c r="Q63" s="13"/>
      <c r="R63" s="13"/>
      <c r="S63" s="13"/>
      <c r="T63" s="13"/>
      <c r="U63" s="167"/>
      <c r="V63" s="13"/>
      <c r="W63" s="13" t="s">
        <v>260</v>
      </c>
      <c r="X63" s="13" t="s">
        <v>260</v>
      </c>
      <c r="Y63" s="13"/>
      <c r="Z63" s="13"/>
      <c r="AA63" s="13" t="s">
        <v>261</v>
      </c>
      <c r="AB63" s="319" t="s">
        <v>80</v>
      </c>
      <c r="AC63" s="319" t="s">
        <v>80</v>
      </c>
      <c r="AD63" s="319" t="s">
        <v>80</v>
      </c>
      <c r="AE63" s="319" t="s">
        <v>80</v>
      </c>
      <c r="AF63" s="319" t="s">
        <v>80</v>
      </c>
      <c r="AG63" s="319"/>
      <c r="AH63" s="319"/>
      <c r="AI63" s="379"/>
      <c r="AJ63" s="167"/>
      <c r="AK63" s="13"/>
      <c r="AL63" s="12"/>
      <c r="AM63" s="13"/>
      <c r="AN63" s="13"/>
      <c r="AO63" s="13"/>
      <c r="AP63" s="13"/>
      <c r="AQ63" s="13"/>
      <c r="AR63" s="13"/>
      <c r="AS63" s="13"/>
      <c r="AT63" s="13"/>
      <c r="AU63" s="13"/>
      <c r="AV63" s="13"/>
      <c r="AW63" s="13"/>
      <c r="AX63" s="167"/>
      <c r="AY63" s="13"/>
      <c r="AZ63" s="12"/>
      <c r="BA63" s="13"/>
      <c r="BB63" s="13"/>
      <c r="BC63" s="13"/>
      <c r="BD63" s="13"/>
      <c r="BE63" s="13"/>
      <c r="BF63" s="13"/>
      <c r="BG63" s="13"/>
      <c r="BH63" s="13"/>
      <c r="BI63" s="13"/>
      <c r="BJ63" s="5">
        <f>COUNTIF(M63,"*")+COUNTIF(W63,"*")+COUNTIF(AL63,"*")+COUNTIF(AZ63,"*")</f>
        <v>1</v>
      </c>
      <c r="BK63" s="211" t="s">
        <v>1758</v>
      </c>
    </row>
    <row r="64" spans="1:63" ht="32.4" hidden="1" customHeight="1">
      <c r="A64" s="15">
        <v>3.5</v>
      </c>
      <c r="B64" s="364">
        <v>9</v>
      </c>
      <c r="C64" s="388" t="s">
        <v>235</v>
      </c>
      <c r="D64" s="242"/>
      <c r="E64" s="15"/>
      <c r="F64" s="364" t="s">
        <v>236</v>
      </c>
      <c r="G64" s="389"/>
      <c r="H64" s="295"/>
      <c r="I64" s="364"/>
      <c r="J64" s="15"/>
      <c r="K64" s="364"/>
      <c r="L64" s="364"/>
      <c r="M64" s="195"/>
      <c r="N64" s="36"/>
      <c r="O64" s="13"/>
      <c r="P64" s="13"/>
      <c r="Q64" s="13"/>
      <c r="R64" s="13"/>
      <c r="S64" s="13"/>
      <c r="T64" s="13"/>
      <c r="U64" s="167"/>
      <c r="V64" s="13"/>
      <c r="W64" s="13"/>
      <c r="X64" s="36"/>
      <c r="Y64" s="36"/>
      <c r="Z64" s="36"/>
      <c r="AA64" s="13"/>
      <c r="AB64" s="13"/>
      <c r="AC64" s="13"/>
      <c r="AD64" s="13"/>
      <c r="AE64" s="13"/>
      <c r="AF64" s="13"/>
      <c r="AG64" s="13"/>
      <c r="AH64" s="13"/>
      <c r="AI64" s="13"/>
      <c r="AJ64" s="167"/>
      <c r="AK64" s="36"/>
      <c r="AL64" s="195"/>
      <c r="AM64" s="36"/>
      <c r="AN64" s="36"/>
      <c r="AO64" s="36"/>
      <c r="AP64" s="36"/>
      <c r="AQ64" s="13"/>
      <c r="AR64" s="13"/>
      <c r="AS64" s="13"/>
      <c r="AT64" s="13"/>
      <c r="AU64" s="13"/>
      <c r="AV64" s="13"/>
      <c r="AW64" s="13"/>
      <c r="AX64" s="167"/>
      <c r="AY64" s="13"/>
      <c r="AZ64" s="12" t="s">
        <v>236</v>
      </c>
      <c r="BA64" s="36" t="s">
        <v>237</v>
      </c>
      <c r="BB64" s="36"/>
      <c r="BC64" s="36"/>
      <c r="BD64" s="13" t="s">
        <v>238</v>
      </c>
      <c r="BE64" s="13" t="s">
        <v>89</v>
      </c>
      <c r="BF64" s="13"/>
      <c r="BG64" s="13"/>
      <c r="BH64" s="13"/>
      <c r="BI64" s="13"/>
      <c r="BJ64" s="351">
        <f>COUNTIF(M64,"*")+COUNTIF(W64,"*")+COUNTIF(AL64,"*")+COUNTIF(AZ64,"*")</f>
        <v>1</v>
      </c>
      <c r="BK64" s="211" t="s">
        <v>1758</v>
      </c>
    </row>
    <row r="65" spans="1:62" ht="32.4" hidden="1" customHeight="1">
      <c r="A65" s="16">
        <v>4</v>
      </c>
      <c r="B65" s="430">
        <v>1</v>
      </c>
      <c r="C65" s="431" t="s">
        <v>262</v>
      </c>
      <c r="D65" s="243"/>
      <c r="E65" s="205" t="s">
        <v>1624</v>
      </c>
      <c r="F65" s="432" t="s">
        <v>263</v>
      </c>
      <c r="G65" s="432" t="s">
        <v>264</v>
      </c>
      <c r="H65" s="205" t="str">
        <f t="shared" ref="H65:H71" si="0">_xlfn.CONCAT("'&lt;br&gt;','&lt;b&gt;','",F65, ": ','&lt;/b&gt;',",G65, ",'&lt;/br&gt;',")</f>
        <v>'&lt;br&gt;','&lt;b&gt;','Average bankfull width from transects: ','&lt;/b&gt;',BFWidth,'&lt;/br&gt;',</v>
      </c>
      <c r="I65" s="432" t="s">
        <v>1817</v>
      </c>
      <c r="J65" s="16" t="s">
        <v>265</v>
      </c>
      <c r="K65" s="222"/>
      <c r="L65" s="432" t="s">
        <v>250</v>
      </c>
      <c r="M65" s="433" t="s">
        <v>1747</v>
      </c>
      <c r="N65" s="377"/>
      <c r="O65" s="9"/>
      <c r="P65" s="9"/>
      <c r="Q65" s="9"/>
      <c r="R65" s="9"/>
      <c r="S65" s="9">
        <v>6849</v>
      </c>
      <c r="T65" s="9"/>
      <c r="U65" s="166"/>
      <c r="V65" s="9"/>
      <c r="W65" s="13" t="s">
        <v>267</v>
      </c>
      <c r="X65" s="278" t="s">
        <v>1568</v>
      </c>
      <c r="Y65" s="163"/>
      <c r="Z65" s="163"/>
      <c r="AA65" s="13" t="s">
        <v>268</v>
      </c>
      <c r="AB65" s="319" t="s">
        <v>80</v>
      </c>
      <c r="AC65" s="319" t="s">
        <v>250</v>
      </c>
      <c r="AD65" s="319">
        <v>0</v>
      </c>
      <c r="AE65" s="319" t="s">
        <v>161</v>
      </c>
      <c r="AF65" s="319" t="s">
        <v>80</v>
      </c>
      <c r="AG65" s="319"/>
      <c r="AH65" s="319">
        <v>6849</v>
      </c>
      <c r="AI65" s="379" t="s">
        <v>2008</v>
      </c>
      <c r="AJ65" s="166"/>
      <c r="AK65" s="382"/>
      <c r="AL65" s="369" t="s">
        <v>269</v>
      </c>
      <c r="AM65" s="303"/>
      <c r="AN65" s="369" t="s">
        <v>269</v>
      </c>
      <c r="AO65" s="303"/>
      <c r="AP65" s="303"/>
      <c r="AQ65" s="319" t="s">
        <v>270</v>
      </c>
      <c r="AR65" s="319" t="s">
        <v>271</v>
      </c>
      <c r="AS65" s="262" t="s">
        <v>271</v>
      </c>
      <c r="AT65" s="262" t="s">
        <v>250</v>
      </c>
      <c r="AU65" s="319"/>
      <c r="AV65" s="262">
        <v>6870</v>
      </c>
      <c r="AW65" s="379"/>
      <c r="AX65" s="166"/>
      <c r="AY65" s="9"/>
      <c r="AZ65" s="12" t="s">
        <v>263</v>
      </c>
      <c r="BA65" s="201" t="s">
        <v>272</v>
      </c>
      <c r="BB65" s="309"/>
      <c r="BC65" s="309"/>
      <c r="BD65" s="13" t="s">
        <v>273</v>
      </c>
      <c r="BE65" s="13" t="s">
        <v>250</v>
      </c>
      <c r="BF65" s="13">
        <v>6871</v>
      </c>
      <c r="BG65" s="13"/>
      <c r="BH65" s="13"/>
      <c r="BI65" s="13"/>
      <c r="BJ65" s="278">
        <f>COUNTIF(M65,"*")+COUNTIF(W65,"*")+COUNTIF(AL65,"*")+COUNTIF(AZ65,"*")</f>
        <v>4</v>
      </c>
    </row>
    <row r="66" spans="1:62" ht="32.4" hidden="1" customHeight="1">
      <c r="A66" s="16">
        <v>4</v>
      </c>
      <c r="B66" s="430">
        <v>2</v>
      </c>
      <c r="C66" s="431" t="s">
        <v>262</v>
      </c>
      <c r="D66" s="243"/>
      <c r="E66" s="205" t="s">
        <v>1624</v>
      </c>
      <c r="F66" s="432" t="s">
        <v>274</v>
      </c>
      <c r="G66" s="432" t="s">
        <v>275</v>
      </c>
      <c r="H66" s="205" t="str">
        <f t="shared" si="0"/>
        <v>'&lt;br&gt;','&lt;b&gt;','Gradient of stream reach: ','&lt;/b&gt;',Grad,'&lt;/br&gt;',</v>
      </c>
      <c r="I66" s="432" t="s">
        <v>1815</v>
      </c>
      <c r="J66" s="16" t="s">
        <v>265</v>
      </c>
      <c r="K66" s="222"/>
      <c r="L66" s="432" t="s">
        <v>279</v>
      </c>
      <c r="M66" s="201" t="s">
        <v>276</v>
      </c>
      <c r="N66" s="236"/>
      <c r="O66" s="13"/>
      <c r="P66" s="13"/>
      <c r="Q66" s="13"/>
      <c r="R66" s="13"/>
      <c r="S66" s="13">
        <v>6852</v>
      </c>
      <c r="T66" s="13"/>
      <c r="U66" s="167"/>
      <c r="V66" s="13"/>
      <c r="W66" s="13" t="s">
        <v>277</v>
      </c>
      <c r="X66" s="434" t="s">
        <v>1567</v>
      </c>
      <c r="Y66" s="367"/>
      <c r="Z66" s="367"/>
      <c r="AA66" s="13" t="s">
        <v>278</v>
      </c>
      <c r="AB66" s="319" t="s">
        <v>80</v>
      </c>
      <c r="AC66" s="319" t="s">
        <v>279</v>
      </c>
      <c r="AD66" s="319">
        <v>0</v>
      </c>
      <c r="AE66" s="319" t="s">
        <v>280</v>
      </c>
      <c r="AF66" s="319" t="s">
        <v>80</v>
      </c>
      <c r="AG66" s="319"/>
      <c r="AH66" s="319">
        <v>6852</v>
      </c>
      <c r="AI66" s="379" t="s">
        <v>1613</v>
      </c>
      <c r="AJ66" s="167"/>
      <c r="AK66" s="167"/>
      <c r="AL66" s="369" t="s">
        <v>281</v>
      </c>
      <c r="AM66" s="194"/>
      <c r="AN66" s="369" t="s">
        <v>281</v>
      </c>
      <c r="AO66" s="264"/>
      <c r="AP66" s="264"/>
      <c r="AQ66" s="319" t="s">
        <v>282</v>
      </c>
      <c r="AR66" s="319" t="s">
        <v>283</v>
      </c>
      <c r="AS66" s="262" t="s">
        <v>283</v>
      </c>
      <c r="AT66" s="262" t="s">
        <v>279</v>
      </c>
      <c r="AU66" s="262"/>
      <c r="AV66" s="262">
        <v>6852</v>
      </c>
      <c r="AW66" s="379" t="s">
        <v>1266</v>
      </c>
      <c r="AX66" s="167"/>
      <c r="AY66" s="13"/>
      <c r="AZ66" s="12" t="s">
        <v>274</v>
      </c>
      <c r="BA66" s="201" t="s">
        <v>275</v>
      </c>
      <c r="BB66" s="236"/>
      <c r="BC66" s="236"/>
      <c r="BD66" s="13" t="s">
        <v>284</v>
      </c>
      <c r="BE66" s="13" t="s">
        <v>285</v>
      </c>
      <c r="BF66" s="13">
        <v>6868</v>
      </c>
      <c r="BG66" s="13"/>
      <c r="BH66" s="13"/>
      <c r="BI66" s="13"/>
      <c r="BJ66" s="278">
        <f>COUNTIF(M66,"*")+COUNTIF(W66,"*")+COUNTIF(AL66,"*")+COUNTIF(AZ66,"*")</f>
        <v>4</v>
      </c>
    </row>
    <row r="67" spans="1:62" ht="32.4" hidden="1" customHeight="1">
      <c r="A67" s="16">
        <v>4</v>
      </c>
      <c r="B67" s="430">
        <v>3</v>
      </c>
      <c r="C67" s="431" t="s">
        <v>262</v>
      </c>
      <c r="D67" s="243"/>
      <c r="E67" s="205" t="s">
        <v>1624</v>
      </c>
      <c r="F67" s="432" t="s">
        <v>286</v>
      </c>
      <c r="G67" s="432" t="s">
        <v>287</v>
      </c>
      <c r="H67" s="205" t="str">
        <f t="shared" si="0"/>
        <v>'&lt;br&gt;','&lt;b&gt;','Length of sampling reach: ','&lt;/b&gt;',RchLen,'&lt;/br&gt;',</v>
      </c>
      <c r="I67" s="432" t="s">
        <v>294</v>
      </c>
      <c r="J67" s="16" t="s">
        <v>265</v>
      </c>
      <c r="K67" s="205"/>
      <c r="L67" s="432" t="s">
        <v>250</v>
      </c>
      <c r="M67" s="201" t="s">
        <v>1750</v>
      </c>
      <c r="N67" s="236"/>
      <c r="O67" s="13" t="s">
        <v>288</v>
      </c>
      <c r="P67" s="13"/>
      <c r="Q67" s="13"/>
      <c r="R67" s="13"/>
      <c r="S67" s="13"/>
      <c r="T67" s="13"/>
      <c r="U67" s="167"/>
      <c r="V67" s="13"/>
      <c r="W67" s="13" t="s">
        <v>289</v>
      </c>
      <c r="X67" s="434" t="s">
        <v>1566</v>
      </c>
      <c r="Y67" s="367"/>
      <c r="Z67" s="367"/>
      <c r="AA67" s="13" t="s">
        <v>290</v>
      </c>
      <c r="AB67" s="154" t="s">
        <v>80</v>
      </c>
      <c r="AC67" s="154" t="s">
        <v>250</v>
      </c>
      <c r="AD67" s="154">
        <v>150</v>
      </c>
      <c r="AE67" s="154">
        <v>4000</v>
      </c>
      <c r="AF67" s="154" t="s">
        <v>80</v>
      </c>
      <c r="AG67" s="154"/>
      <c r="AH67" s="154"/>
      <c r="AI67" s="379"/>
      <c r="AJ67" s="167"/>
      <c r="AK67" s="167"/>
      <c r="AL67" s="369" t="s">
        <v>291</v>
      </c>
      <c r="AM67" s="264"/>
      <c r="AN67" s="369" t="s">
        <v>291</v>
      </c>
      <c r="AO67" s="264"/>
      <c r="AP67" s="264"/>
      <c r="AQ67" s="262" t="s">
        <v>292</v>
      </c>
      <c r="AR67" s="262" t="s">
        <v>293</v>
      </c>
      <c r="AS67" s="262" t="s">
        <v>293</v>
      </c>
      <c r="AT67" s="319"/>
      <c r="AU67" s="319"/>
      <c r="AV67" s="319"/>
      <c r="AW67" s="379"/>
      <c r="AX67" s="167"/>
      <c r="AY67" s="13"/>
      <c r="AZ67" s="12" t="s">
        <v>286</v>
      </c>
      <c r="BA67" s="201" t="s">
        <v>287</v>
      </c>
      <c r="BB67" s="236"/>
      <c r="BC67" s="236"/>
      <c r="BD67" s="13" t="s">
        <v>294</v>
      </c>
      <c r="BE67" s="13" t="s">
        <v>250</v>
      </c>
      <c r="BF67" s="13"/>
      <c r="BG67" s="13"/>
      <c r="BH67" s="13"/>
      <c r="BI67" s="13"/>
      <c r="BJ67" s="278">
        <f>COUNTIF(O67,"*")+COUNTIF(W67,"*")+COUNTIF(AL67,"*")+COUNTIF(AZ67,"*")</f>
        <v>4</v>
      </c>
    </row>
    <row r="68" spans="1:62" ht="32.4" hidden="1" customHeight="1">
      <c r="A68" s="16">
        <v>4</v>
      </c>
      <c r="B68" s="430">
        <v>4</v>
      </c>
      <c r="C68" s="431" t="s">
        <v>262</v>
      </c>
      <c r="D68" s="243"/>
      <c r="E68" s="205" t="s">
        <v>1624</v>
      </c>
      <c r="F68" s="432" t="s">
        <v>295</v>
      </c>
      <c r="G68" s="432" t="s">
        <v>1874</v>
      </c>
      <c r="H68" s="205" t="str">
        <f t="shared" si="0"/>
        <v>'&lt;br&gt;','&lt;b&gt;','Bankfull width-to-depth ratio at transects: ','&lt;/b&gt;',BFWDRatio,'&lt;/br&gt;',</v>
      </c>
      <c r="I68" s="432" t="s">
        <v>1818</v>
      </c>
      <c r="J68" s="16" t="s">
        <v>265</v>
      </c>
      <c r="K68" s="205"/>
      <c r="L68" s="432" t="s">
        <v>250</v>
      </c>
      <c r="M68" s="201"/>
      <c r="N68" s="236"/>
      <c r="O68" s="13" t="s">
        <v>297</v>
      </c>
      <c r="P68" s="13"/>
      <c r="Q68" s="13"/>
      <c r="R68" s="13"/>
      <c r="S68" s="13"/>
      <c r="T68" s="13"/>
      <c r="U68" s="167"/>
      <c r="V68" s="13"/>
      <c r="W68" s="13"/>
      <c r="X68" s="278"/>
      <c r="Y68" s="13"/>
      <c r="Z68" s="13"/>
      <c r="AA68" s="13"/>
      <c r="AB68" s="13"/>
      <c r="AC68" s="13"/>
      <c r="AD68" s="13"/>
      <c r="AE68" s="13"/>
      <c r="AF68" s="13"/>
      <c r="AG68" s="13"/>
      <c r="AH68" s="13"/>
      <c r="AI68" s="13"/>
      <c r="AJ68" s="167"/>
      <c r="AK68" s="167"/>
      <c r="AL68" s="369" t="s">
        <v>298</v>
      </c>
      <c r="AM68" s="264"/>
      <c r="AN68" s="369" t="s">
        <v>298</v>
      </c>
      <c r="AO68" s="264"/>
      <c r="AP68" s="264"/>
      <c r="AQ68" s="262" t="s">
        <v>270</v>
      </c>
      <c r="AR68" s="262" t="s">
        <v>299</v>
      </c>
      <c r="AS68" s="262" t="s">
        <v>299</v>
      </c>
      <c r="AT68" s="262" t="s">
        <v>300</v>
      </c>
      <c r="AU68" s="262"/>
      <c r="AV68" s="262"/>
      <c r="AW68" s="379"/>
      <c r="AX68" s="167"/>
      <c r="AY68" s="13"/>
      <c r="AZ68" s="12" t="s">
        <v>295</v>
      </c>
      <c r="BA68" s="201" t="s">
        <v>301</v>
      </c>
      <c r="BB68" s="236"/>
      <c r="BC68" s="236"/>
      <c r="BD68" s="13" t="s">
        <v>302</v>
      </c>
      <c r="BE68" s="13" t="s">
        <v>303</v>
      </c>
      <c r="BF68" s="13"/>
      <c r="BG68" s="13"/>
      <c r="BH68" s="13"/>
      <c r="BI68" s="13"/>
      <c r="BJ68" s="278">
        <f>COUNTIF(O68,"*")+COUNTIF(W68,"*")+COUNTIF(AL68,"*")+COUNTIF(AZ68,"*")</f>
        <v>3</v>
      </c>
    </row>
    <row r="69" spans="1:62" ht="41.4" hidden="1">
      <c r="A69" s="16">
        <v>4</v>
      </c>
      <c r="B69" s="430">
        <v>5</v>
      </c>
      <c r="C69" s="431" t="s">
        <v>262</v>
      </c>
      <c r="D69" s="243"/>
      <c r="E69" s="205" t="s">
        <v>1624</v>
      </c>
      <c r="F69" s="432" t="s">
        <v>304</v>
      </c>
      <c r="G69" s="432" t="s">
        <v>1875</v>
      </c>
      <c r="H69" s="205" t="str">
        <f t="shared" si="0"/>
        <v>'&lt;br&gt;','&lt;b&gt;','Bankfull Height: ','&lt;/b&gt;',BFHeight,'&lt;/br&gt;',</v>
      </c>
      <c r="I69" s="432" t="s">
        <v>1816</v>
      </c>
      <c r="J69" s="16" t="s">
        <v>265</v>
      </c>
      <c r="K69" s="205"/>
      <c r="L69" s="432"/>
      <c r="M69" s="201" t="s">
        <v>1748</v>
      </c>
      <c r="N69" s="236"/>
      <c r="O69" s="192" t="s">
        <v>306</v>
      </c>
      <c r="P69" s="9"/>
      <c r="Q69" s="9"/>
      <c r="R69" s="9"/>
      <c r="S69" s="9"/>
      <c r="T69" s="9"/>
      <c r="U69" s="166"/>
      <c r="V69" s="9"/>
      <c r="W69" s="13" t="s">
        <v>307</v>
      </c>
      <c r="X69" s="278" t="s">
        <v>1577</v>
      </c>
      <c r="Y69" s="13"/>
      <c r="Z69" s="13"/>
      <c r="AA69" s="13" t="s">
        <v>308</v>
      </c>
      <c r="AB69" s="262" t="s">
        <v>309</v>
      </c>
      <c r="AC69" s="262" t="s">
        <v>250</v>
      </c>
      <c r="AD69" s="262">
        <v>0</v>
      </c>
      <c r="AE69" s="262" t="s">
        <v>161</v>
      </c>
      <c r="AF69" s="262" t="s">
        <v>80</v>
      </c>
      <c r="AG69" s="262"/>
      <c r="AH69" s="262"/>
      <c r="AI69" s="379"/>
      <c r="AJ69" s="166"/>
      <c r="AK69" s="166"/>
      <c r="AL69" s="369" t="s">
        <v>310</v>
      </c>
      <c r="AM69" s="264"/>
      <c r="AN69" s="369" t="s">
        <v>310</v>
      </c>
      <c r="AO69" s="264"/>
      <c r="AP69" s="264"/>
      <c r="AQ69" s="262" t="s">
        <v>270</v>
      </c>
      <c r="AR69" s="262" t="s">
        <v>311</v>
      </c>
      <c r="AS69" s="262" t="s">
        <v>311</v>
      </c>
      <c r="AT69" s="262" t="s">
        <v>250</v>
      </c>
      <c r="AU69" s="262"/>
      <c r="AV69" s="262"/>
      <c r="AW69" s="379"/>
      <c r="AX69" s="166"/>
      <c r="AY69" s="9"/>
      <c r="AZ69" s="12"/>
      <c r="BA69" s="201"/>
      <c r="BB69" s="236"/>
      <c r="BC69" s="236"/>
      <c r="BD69" s="13"/>
      <c r="BE69" s="13"/>
      <c r="BF69" s="13"/>
      <c r="BG69" s="13"/>
      <c r="BH69" s="13"/>
      <c r="BI69" s="13"/>
      <c r="BJ69" s="278">
        <f>COUNTIF(O69,"*")+COUNTIF(W69,"*")+COUNTIF(AL69,"*")+COUNTIF(AZ69,"*")</f>
        <v>3</v>
      </c>
    </row>
    <row r="70" spans="1:62" ht="27.6" hidden="1">
      <c r="A70" s="16">
        <v>4</v>
      </c>
      <c r="B70" s="430">
        <v>6</v>
      </c>
      <c r="C70" s="431" t="s">
        <v>262</v>
      </c>
      <c r="D70" s="243"/>
      <c r="E70" s="205" t="s">
        <v>1624</v>
      </c>
      <c r="F70" s="432" t="s">
        <v>312</v>
      </c>
      <c r="G70" s="432" t="s">
        <v>313</v>
      </c>
      <c r="H70" s="205" t="str">
        <f t="shared" si="0"/>
        <v>'&lt;br&gt;','&lt;b&gt;','Average wetted width from transects: ','&lt;/b&gt;',WetWidth,'&lt;/br&gt;',</v>
      </c>
      <c r="I70" s="432" t="s">
        <v>1819</v>
      </c>
      <c r="J70" s="16" t="s">
        <v>265</v>
      </c>
      <c r="K70" s="205"/>
      <c r="L70" s="432"/>
      <c r="M70" s="201"/>
      <c r="N70" s="236"/>
      <c r="O70" s="13"/>
      <c r="P70" s="13"/>
      <c r="Q70" s="13"/>
      <c r="R70" s="13"/>
      <c r="S70" s="13"/>
      <c r="T70" s="13"/>
      <c r="U70" s="167"/>
      <c r="V70" s="13"/>
      <c r="W70" s="13" t="s">
        <v>314</v>
      </c>
      <c r="X70" s="278" t="s">
        <v>1740</v>
      </c>
      <c r="Y70" s="13"/>
      <c r="Z70" s="13"/>
      <c r="AA70" s="13" t="s">
        <v>315</v>
      </c>
      <c r="AB70" s="319" t="s">
        <v>80</v>
      </c>
      <c r="AC70" s="319" t="s">
        <v>250</v>
      </c>
      <c r="AD70" s="319">
        <v>0</v>
      </c>
      <c r="AE70" s="319" t="s">
        <v>161</v>
      </c>
      <c r="AF70" s="319" t="s">
        <v>80</v>
      </c>
      <c r="AG70" s="319"/>
      <c r="AH70" s="319"/>
      <c r="AI70" s="379"/>
      <c r="AJ70" s="167"/>
      <c r="AK70" s="167"/>
      <c r="AL70" s="369" t="s">
        <v>316</v>
      </c>
      <c r="AM70" s="264"/>
      <c r="AN70" s="369" t="s">
        <v>316</v>
      </c>
      <c r="AO70" s="264"/>
      <c r="AP70" s="264"/>
      <c r="AQ70" s="262" t="s">
        <v>270</v>
      </c>
      <c r="AR70" s="262" t="s">
        <v>317</v>
      </c>
      <c r="AS70" s="262" t="s">
        <v>317</v>
      </c>
      <c r="AT70" s="262" t="s">
        <v>250</v>
      </c>
      <c r="AU70" s="262"/>
      <c r="AV70" s="262"/>
      <c r="AW70" s="379"/>
      <c r="AX70" s="167"/>
      <c r="AY70" s="13"/>
      <c r="AZ70" s="12"/>
      <c r="BA70" s="201"/>
      <c r="BB70" s="236"/>
      <c r="BC70" s="236"/>
      <c r="BD70" s="13"/>
      <c r="BE70" s="13"/>
      <c r="BF70" s="13"/>
      <c r="BG70" s="13"/>
      <c r="BH70" s="13"/>
      <c r="BI70" s="13"/>
      <c r="BJ70" s="278">
        <f>COUNTIF(M70,"*")+COUNTIF(W70,"*")+COUNTIF(AL70,"*")+COUNTIF(AZ70,"*")</f>
        <v>2</v>
      </c>
    </row>
    <row r="71" spans="1:62" ht="96.6" hidden="1">
      <c r="A71" s="16">
        <v>4</v>
      </c>
      <c r="B71" s="430">
        <v>7</v>
      </c>
      <c r="C71" s="431" t="s">
        <v>262</v>
      </c>
      <c r="D71" s="243"/>
      <c r="E71" s="205" t="s">
        <v>1624</v>
      </c>
      <c r="F71" s="432" t="s">
        <v>318</v>
      </c>
      <c r="G71" s="432" t="s">
        <v>319</v>
      </c>
      <c r="H71" s="205" t="str">
        <f t="shared" si="0"/>
        <v>'&lt;br&gt;','&lt;b&gt;','Wetted width-to-depth ratio at transects: ','&lt;/b&gt;',WetWidthToDepth,'&lt;/br&gt;',</v>
      </c>
      <c r="I71" s="432" t="s">
        <v>321</v>
      </c>
      <c r="J71" s="16" t="s">
        <v>265</v>
      </c>
      <c r="K71" s="205"/>
      <c r="L71" s="432"/>
      <c r="M71" s="201"/>
      <c r="N71" s="281"/>
      <c r="O71" s="13"/>
      <c r="P71" s="13"/>
      <c r="Q71" s="13"/>
      <c r="R71" s="13"/>
      <c r="S71" s="13"/>
      <c r="T71" s="13"/>
      <c r="U71" s="167"/>
      <c r="V71" s="13"/>
      <c r="W71" s="13"/>
      <c r="X71" s="278"/>
      <c r="Y71" s="36"/>
      <c r="Z71" s="36"/>
      <c r="AA71" s="13"/>
      <c r="AB71" s="13"/>
      <c r="AC71" s="13"/>
      <c r="AD71" s="13"/>
      <c r="AE71" s="13"/>
      <c r="AF71" s="13"/>
      <c r="AG71" s="13"/>
      <c r="AH71" s="13"/>
      <c r="AI71" s="13"/>
      <c r="AJ71" s="167"/>
      <c r="AK71" s="350"/>
      <c r="AL71" s="369" t="s">
        <v>320</v>
      </c>
      <c r="AM71" s="288"/>
      <c r="AN71" s="369" t="s">
        <v>320</v>
      </c>
      <c r="AO71" s="288"/>
      <c r="AP71" s="288"/>
      <c r="AQ71" s="319" t="s">
        <v>270</v>
      </c>
      <c r="AR71" s="319" t="s">
        <v>321</v>
      </c>
      <c r="AS71" s="319" t="s">
        <v>321</v>
      </c>
      <c r="AT71" s="319" t="s">
        <v>300</v>
      </c>
      <c r="AU71" s="319"/>
      <c r="AV71" s="319"/>
      <c r="AW71" s="379"/>
      <c r="AX71" s="167"/>
      <c r="AY71" s="13"/>
      <c r="AZ71" s="12" t="s">
        <v>318</v>
      </c>
      <c r="BA71" s="201" t="s">
        <v>1738</v>
      </c>
      <c r="BB71" s="281"/>
      <c r="BC71" s="281"/>
      <c r="BD71" s="13" t="s">
        <v>323</v>
      </c>
      <c r="BE71" s="13" t="s">
        <v>303</v>
      </c>
      <c r="BF71" s="13"/>
      <c r="BG71" s="13"/>
      <c r="BH71" s="13"/>
      <c r="BI71" s="13"/>
      <c r="BJ71" s="278">
        <f>COUNTIF(M71,"*")+COUNTIF(W71,"*")+COUNTIF(AL71,"*")+COUNTIF(AZ71,"*")</f>
        <v>2</v>
      </c>
    </row>
    <row r="72" spans="1:62" ht="13.8" hidden="1">
      <c r="A72" s="16">
        <v>4</v>
      </c>
      <c r="B72" s="406">
        <v>8</v>
      </c>
      <c r="C72" s="407" t="s">
        <v>262</v>
      </c>
      <c r="D72" s="243"/>
      <c r="E72" s="16"/>
      <c r="F72" s="406" t="s">
        <v>324</v>
      </c>
      <c r="G72" s="222" t="s">
        <v>325</v>
      </c>
      <c r="H72" s="205"/>
      <c r="I72" s="222"/>
      <c r="J72" s="16" t="s">
        <v>265</v>
      </c>
      <c r="K72" s="205"/>
      <c r="L72" s="222"/>
      <c r="M72" s="200"/>
      <c r="N72" s="164"/>
      <c r="O72" s="21"/>
      <c r="P72" s="21"/>
      <c r="Q72" s="21"/>
      <c r="R72" s="21"/>
      <c r="S72" s="21"/>
      <c r="T72" s="21"/>
      <c r="U72" s="168"/>
      <c r="V72" s="21"/>
      <c r="W72" s="13"/>
      <c r="X72" s="163"/>
      <c r="Y72" s="163"/>
      <c r="Z72" s="163"/>
      <c r="AA72" s="13"/>
      <c r="AB72" s="154"/>
      <c r="AC72" s="154"/>
      <c r="AD72" s="154"/>
      <c r="AE72" s="154"/>
      <c r="AF72" s="154"/>
      <c r="AG72" s="154"/>
      <c r="AH72" s="154"/>
      <c r="AI72" s="379"/>
      <c r="AJ72" s="168"/>
      <c r="AK72" s="383"/>
      <c r="AL72" s="200" t="s">
        <v>326</v>
      </c>
      <c r="AM72" s="164"/>
      <c r="AN72" s="164"/>
      <c r="AO72" s="164"/>
      <c r="AP72" s="164"/>
      <c r="AQ72" s="319" t="s">
        <v>327</v>
      </c>
      <c r="AR72" s="319" t="s">
        <v>328</v>
      </c>
      <c r="AS72" s="319" t="s">
        <v>328</v>
      </c>
      <c r="AT72" s="319" t="s">
        <v>300</v>
      </c>
      <c r="AU72" s="319"/>
      <c r="AV72" s="319"/>
      <c r="AW72" s="379"/>
      <c r="AX72" s="168"/>
      <c r="AY72" s="21"/>
      <c r="AZ72" s="12"/>
      <c r="BA72" s="163"/>
      <c r="BB72" s="163"/>
      <c r="BC72" s="163"/>
      <c r="BD72" s="13"/>
      <c r="BE72" s="13"/>
      <c r="BF72" s="13"/>
      <c r="BG72" s="13"/>
      <c r="BH72" s="13"/>
      <c r="BI72" s="13"/>
      <c r="BJ72" s="339"/>
    </row>
    <row r="73" spans="1:62" ht="27.6" hidden="1">
      <c r="A73" s="16">
        <v>4</v>
      </c>
      <c r="B73" s="16">
        <v>9</v>
      </c>
      <c r="C73" s="243" t="s">
        <v>262</v>
      </c>
      <c r="D73" s="243"/>
      <c r="E73" s="16"/>
      <c r="F73" s="16" t="s">
        <v>332</v>
      </c>
      <c r="G73" s="205"/>
      <c r="H73" s="205"/>
      <c r="I73" s="16"/>
      <c r="J73" s="16"/>
      <c r="K73" s="16"/>
      <c r="L73" s="16"/>
      <c r="M73" s="17"/>
      <c r="N73" s="374"/>
      <c r="O73" s="21"/>
      <c r="P73" s="21"/>
      <c r="Q73" s="21"/>
      <c r="R73" s="21"/>
      <c r="S73" s="21"/>
      <c r="T73" s="21"/>
      <c r="U73" s="168"/>
      <c r="V73" s="21"/>
      <c r="W73" s="13"/>
      <c r="X73" s="13"/>
      <c r="Y73" s="13"/>
      <c r="Z73" s="13"/>
      <c r="AA73" s="13"/>
      <c r="AB73" s="262"/>
      <c r="AC73" s="262"/>
      <c r="AD73" s="262"/>
      <c r="AE73" s="262"/>
      <c r="AF73" s="262"/>
      <c r="AG73" s="262"/>
      <c r="AH73" s="262"/>
      <c r="AI73" s="379"/>
      <c r="AJ73" s="168"/>
      <c r="AK73" s="21"/>
      <c r="AL73" s="17" t="s">
        <v>329</v>
      </c>
      <c r="AM73" s="374"/>
      <c r="AN73" s="263"/>
      <c r="AO73" s="374"/>
      <c r="AP73" s="317"/>
      <c r="AQ73" s="262" t="s">
        <v>282</v>
      </c>
      <c r="AR73" s="154" t="s">
        <v>330</v>
      </c>
      <c r="AS73" s="154" t="s">
        <v>330</v>
      </c>
      <c r="AT73" s="154" t="s">
        <v>331</v>
      </c>
      <c r="AU73" s="154"/>
      <c r="AV73" s="154"/>
      <c r="AW73" s="379"/>
      <c r="AX73" s="168"/>
      <c r="AY73" s="21"/>
      <c r="AZ73" s="12"/>
      <c r="BA73" s="13"/>
      <c r="BB73" s="13"/>
      <c r="BC73" s="13"/>
      <c r="BD73" s="13"/>
      <c r="BE73" s="13"/>
      <c r="BF73" s="13"/>
      <c r="BG73" s="13"/>
      <c r="BH73" s="13"/>
      <c r="BI73" s="13"/>
      <c r="BJ73" s="5"/>
    </row>
    <row r="74" spans="1:62" ht="13.8" hidden="1">
      <c r="A74" s="16">
        <v>4</v>
      </c>
      <c r="B74" s="16">
        <v>10</v>
      </c>
      <c r="C74" s="243" t="s">
        <v>262</v>
      </c>
      <c r="D74" s="243"/>
      <c r="E74" s="16"/>
      <c r="F74" s="16" t="s">
        <v>332</v>
      </c>
      <c r="G74" s="205"/>
      <c r="H74" s="205"/>
      <c r="I74" s="16"/>
      <c r="J74" s="16"/>
      <c r="K74" s="16"/>
      <c r="L74" s="16"/>
      <c r="M74" s="17"/>
      <c r="N74" s="374"/>
      <c r="O74" s="21"/>
      <c r="P74" s="21"/>
      <c r="Q74" s="21"/>
      <c r="R74" s="21"/>
      <c r="S74" s="21"/>
      <c r="T74" s="21"/>
      <c r="U74" s="168"/>
      <c r="V74" s="21"/>
      <c r="W74" s="13"/>
      <c r="X74" s="13"/>
      <c r="Y74" s="13"/>
      <c r="Z74" s="13"/>
      <c r="AA74" s="13"/>
      <c r="AB74" s="319"/>
      <c r="AC74" s="319"/>
      <c r="AD74" s="319"/>
      <c r="AE74" s="319"/>
      <c r="AF74" s="319"/>
      <c r="AG74" s="319"/>
      <c r="AH74" s="319"/>
      <c r="AI74" s="379"/>
      <c r="AJ74" s="168"/>
      <c r="AK74" s="21"/>
      <c r="AL74" s="17" t="s">
        <v>333</v>
      </c>
      <c r="AM74" s="374"/>
      <c r="AN74" s="263"/>
      <c r="AO74" s="374"/>
      <c r="AP74" s="317"/>
      <c r="AQ74" s="262" t="s">
        <v>282</v>
      </c>
      <c r="AR74" s="154" t="s">
        <v>334</v>
      </c>
      <c r="AS74" s="154" t="s">
        <v>334</v>
      </c>
      <c r="AT74" s="154" t="s">
        <v>335</v>
      </c>
      <c r="AU74" s="154"/>
      <c r="AV74" s="154"/>
      <c r="AW74" s="379"/>
      <c r="AX74" s="168"/>
      <c r="AY74" s="21"/>
      <c r="AZ74" s="12"/>
      <c r="BA74" s="13"/>
      <c r="BB74" s="13"/>
      <c r="BC74" s="13"/>
      <c r="BD74" s="13"/>
      <c r="BE74" s="13"/>
      <c r="BF74" s="13"/>
      <c r="BG74" s="13"/>
      <c r="BH74" s="13"/>
      <c r="BI74" s="13"/>
      <c r="BJ74" s="5">
        <f>COUNTIF(M74,"*")+COUNTIF(W74,"*")+COUNTIF(AL74,"*")+COUNTIF(AZ74,"*")</f>
        <v>1</v>
      </c>
    </row>
    <row r="75" spans="1:62" ht="27.6" hidden="1">
      <c r="A75" s="16">
        <v>4</v>
      </c>
      <c r="B75" s="16">
        <v>11</v>
      </c>
      <c r="C75" s="243" t="s">
        <v>262</v>
      </c>
      <c r="D75" s="243"/>
      <c r="E75" s="16"/>
      <c r="F75" s="16" t="s">
        <v>336</v>
      </c>
      <c r="G75" s="205"/>
      <c r="H75" s="205"/>
      <c r="I75" s="16"/>
      <c r="J75" s="16"/>
      <c r="K75" s="16"/>
      <c r="L75" s="16"/>
      <c r="M75" s="12"/>
      <c r="N75" s="13"/>
      <c r="O75" s="13"/>
      <c r="P75" s="13"/>
      <c r="Q75" s="13"/>
      <c r="R75" s="13"/>
      <c r="S75" s="13"/>
      <c r="T75" s="13"/>
      <c r="U75" s="167"/>
      <c r="V75" s="13"/>
      <c r="W75" s="13"/>
      <c r="X75" s="13"/>
      <c r="Y75" s="13"/>
      <c r="Z75" s="13"/>
      <c r="AA75" s="13"/>
      <c r="AB75" s="319"/>
      <c r="AC75" s="319"/>
      <c r="AD75" s="319"/>
      <c r="AE75" s="319"/>
      <c r="AF75" s="319"/>
      <c r="AG75" s="319"/>
      <c r="AH75" s="319"/>
      <c r="AI75" s="379"/>
      <c r="AJ75" s="167"/>
      <c r="AK75" s="13"/>
      <c r="AL75" s="17" t="s">
        <v>337</v>
      </c>
      <c r="AM75" s="374"/>
      <c r="AN75" s="319"/>
      <c r="AO75" s="374"/>
      <c r="AP75" s="319"/>
      <c r="AQ75" s="319" t="s">
        <v>282</v>
      </c>
      <c r="AR75" s="154" t="s">
        <v>338</v>
      </c>
      <c r="AS75" s="154" t="s">
        <v>338</v>
      </c>
      <c r="AT75" s="154"/>
      <c r="AU75" s="154"/>
      <c r="AV75" s="154"/>
      <c r="AW75" s="379"/>
      <c r="AX75" s="167"/>
      <c r="AY75" s="13"/>
      <c r="AZ75" s="12"/>
      <c r="BA75" s="13"/>
      <c r="BB75" s="13"/>
      <c r="BC75" s="13"/>
      <c r="BD75" s="13"/>
      <c r="BE75" s="13"/>
      <c r="BF75" s="13"/>
      <c r="BG75" s="13"/>
      <c r="BH75" s="13"/>
      <c r="BI75" s="13"/>
      <c r="BJ75" s="5">
        <f>COUNTIF(M75,"*")+COUNTIF(W75,"*")+COUNTIF(AL75,"*")+COUNTIF(AZ75,"*")</f>
        <v>1</v>
      </c>
    </row>
    <row r="76" spans="1:62" ht="27.6" hidden="1">
      <c r="A76" s="16">
        <v>4</v>
      </c>
      <c r="B76" s="16">
        <v>12</v>
      </c>
      <c r="C76" s="243" t="s">
        <v>262</v>
      </c>
      <c r="D76" s="243"/>
      <c r="E76" s="16"/>
      <c r="F76" s="16" t="s">
        <v>339</v>
      </c>
      <c r="G76" s="205"/>
      <c r="H76" s="205"/>
      <c r="I76" s="16"/>
      <c r="J76" s="16"/>
      <c r="K76" s="16"/>
      <c r="L76" s="16"/>
      <c r="M76" s="12"/>
      <c r="N76" s="13"/>
      <c r="O76" s="13"/>
      <c r="P76" s="13"/>
      <c r="Q76" s="13"/>
      <c r="R76" s="13"/>
      <c r="S76" s="13"/>
      <c r="T76" s="13"/>
      <c r="U76" s="167"/>
      <c r="V76" s="13"/>
      <c r="W76" s="13"/>
      <c r="X76" s="13"/>
      <c r="Y76" s="13"/>
      <c r="Z76" s="13"/>
      <c r="AA76" s="13"/>
      <c r="AB76" s="319"/>
      <c r="AC76" s="319"/>
      <c r="AD76" s="319"/>
      <c r="AE76" s="319"/>
      <c r="AF76" s="319"/>
      <c r="AG76" s="319"/>
      <c r="AH76" s="319"/>
      <c r="AI76" s="379"/>
      <c r="AJ76" s="167"/>
      <c r="AK76" s="13"/>
      <c r="AL76" s="17" t="s">
        <v>340</v>
      </c>
      <c r="AM76" s="374"/>
      <c r="AN76" s="319"/>
      <c r="AO76" s="374"/>
      <c r="AP76" s="319"/>
      <c r="AQ76" s="319" t="s">
        <v>282</v>
      </c>
      <c r="AR76" s="319" t="s">
        <v>341</v>
      </c>
      <c r="AS76" s="319" t="s">
        <v>341</v>
      </c>
      <c r="AT76" s="319"/>
      <c r="AU76" s="319"/>
      <c r="AV76" s="319"/>
      <c r="AW76" s="379"/>
      <c r="AX76" s="167"/>
      <c r="AY76" s="13"/>
      <c r="AZ76" s="12"/>
      <c r="BA76" s="13"/>
      <c r="BB76" s="13"/>
      <c r="BC76" s="13"/>
      <c r="BD76" s="13"/>
      <c r="BE76" s="13"/>
      <c r="BF76" s="13"/>
      <c r="BG76" s="13"/>
      <c r="BH76" s="13"/>
      <c r="BI76" s="13"/>
      <c r="BJ76" s="5">
        <f>COUNTIF(M76,"*")+COUNTIF(W76,"*")+COUNTIF(AL76,"*")+COUNTIF(AZ76,"*")</f>
        <v>1</v>
      </c>
    </row>
    <row r="77" spans="1:62" ht="13.8" hidden="1">
      <c r="A77" s="16">
        <v>4</v>
      </c>
      <c r="B77" s="16">
        <v>13</v>
      </c>
      <c r="C77" s="243" t="s">
        <v>262</v>
      </c>
      <c r="D77" s="243"/>
      <c r="E77" s="16"/>
      <c r="F77" s="16" t="s">
        <v>342</v>
      </c>
      <c r="G77" s="205"/>
      <c r="H77" s="205"/>
      <c r="I77" s="16"/>
      <c r="J77" s="16"/>
      <c r="K77" s="16"/>
      <c r="L77" s="16"/>
      <c r="M77" s="12"/>
      <c r="N77" s="13"/>
      <c r="O77" s="13"/>
      <c r="P77" s="13"/>
      <c r="Q77" s="13"/>
      <c r="R77" s="13"/>
      <c r="S77" s="13"/>
      <c r="T77" s="13"/>
      <c r="U77" s="167"/>
      <c r="V77" s="13"/>
      <c r="W77" s="13"/>
      <c r="X77" s="13"/>
      <c r="Y77" s="13"/>
      <c r="Z77" s="13"/>
      <c r="AA77" s="13"/>
      <c r="AB77" s="13"/>
      <c r="AC77" s="13"/>
      <c r="AD77" s="13"/>
      <c r="AE77" s="13"/>
      <c r="AF77" s="13"/>
      <c r="AG77" s="13"/>
      <c r="AH77" s="13"/>
      <c r="AI77" s="13"/>
      <c r="AJ77" s="167"/>
      <c r="AK77" s="13"/>
      <c r="AL77" s="17" t="s">
        <v>343</v>
      </c>
      <c r="AM77" s="374"/>
      <c r="AN77" s="319"/>
      <c r="AO77" s="374"/>
      <c r="AP77" s="319"/>
      <c r="AQ77" s="319" t="s">
        <v>270</v>
      </c>
      <c r="AR77" s="319" t="s">
        <v>344</v>
      </c>
      <c r="AS77" s="319" t="s">
        <v>344</v>
      </c>
      <c r="AT77" s="319" t="s">
        <v>345</v>
      </c>
      <c r="AU77" s="319"/>
      <c r="AV77" s="319"/>
      <c r="AW77" s="379"/>
      <c r="AX77" s="167"/>
      <c r="AY77" s="13"/>
      <c r="AZ77" s="12"/>
      <c r="BA77" s="13"/>
      <c r="BB77" s="13"/>
      <c r="BC77" s="13"/>
      <c r="BD77" s="13"/>
      <c r="BE77" s="13"/>
      <c r="BF77" s="13"/>
      <c r="BG77" s="13"/>
      <c r="BH77" s="13"/>
      <c r="BI77" s="13"/>
      <c r="BJ77" s="5">
        <f>COUNTIF(M77,"*")+COUNTIF(W77,"*")+COUNTIF(AL77,"*")+COUNTIF(AZ77,"*")</f>
        <v>1</v>
      </c>
    </row>
    <row r="78" spans="1:62" ht="27.6" hidden="1">
      <c r="A78" s="16">
        <v>4</v>
      </c>
      <c r="B78" s="16">
        <v>14</v>
      </c>
      <c r="C78" s="243" t="s">
        <v>262</v>
      </c>
      <c r="D78" s="243"/>
      <c r="E78" s="16"/>
      <c r="F78" s="16" t="s">
        <v>1985</v>
      </c>
      <c r="G78" s="205"/>
      <c r="H78" s="205"/>
      <c r="I78" s="16"/>
      <c r="J78" s="16"/>
      <c r="K78" s="16"/>
      <c r="L78" s="16"/>
      <c r="M78" s="12"/>
      <c r="N78" s="13"/>
      <c r="O78" s="13"/>
      <c r="P78" s="13"/>
      <c r="Q78" s="13"/>
      <c r="R78" s="13"/>
      <c r="S78" s="13"/>
      <c r="T78" s="13"/>
      <c r="U78" s="167"/>
      <c r="V78" s="13"/>
      <c r="W78" s="13"/>
      <c r="X78" s="13"/>
      <c r="Y78" s="13"/>
      <c r="Z78" s="13"/>
      <c r="AA78" s="13"/>
      <c r="AB78" s="13"/>
      <c r="AC78" s="13"/>
      <c r="AD78" s="13"/>
      <c r="AE78" s="13"/>
      <c r="AF78" s="13"/>
      <c r="AG78" s="13"/>
      <c r="AH78" s="13"/>
      <c r="AI78" s="13"/>
      <c r="AJ78" s="167"/>
      <c r="AK78" s="13"/>
      <c r="AL78" s="17" t="s">
        <v>346</v>
      </c>
      <c r="AM78" s="374"/>
      <c r="AN78" s="319"/>
      <c r="AO78" s="374"/>
      <c r="AP78" s="319"/>
      <c r="AQ78" s="319" t="s">
        <v>270</v>
      </c>
      <c r="AR78" s="319" t="s">
        <v>347</v>
      </c>
      <c r="AS78" s="319" t="s">
        <v>347</v>
      </c>
      <c r="AT78" s="319" t="s">
        <v>345</v>
      </c>
      <c r="AU78" s="319"/>
      <c r="AV78" s="319"/>
      <c r="AW78" s="379"/>
      <c r="AX78" s="167"/>
      <c r="AY78" s="13"/>
      <c r="AZ78" s="12"/>
      <c r="BA78" s="13"/>
      <c r="BB78" s="13"/>
      <c r="BC78" s="13"/>
      <c r="BD78" s="13"/>
      <c r="BE78" s="13"/>
      <c r="BF78" s="13"/>
      <c r="BG78" s="13"/>
      <c r="BH78" s="13"/>
      <c r="BI78" s="13"/>
      <c r="BJ78" s="5">
        <f>COUNTIF(M78,"*")+COUNTIF(W78,"*")+COUNTIF(AL78,"*")+COUNTIF(AZ78,"*")</f>
        <v>1</v>
      </c>
    </row>
    <row r="79" spans="1:62" ht="27.6" hidden="1">
      <c r="A79" s="16">
        <v>4</v>
      </c>
      <c r="B79" s="16">
        <v>15</v>
      </c>
      <c r="C79" s="243" t="s">
        <v>262</v>
      </c>
      <c r="D79" s="243"/>
      <c r="E79" s="16"/>
      <c r="F79" s="16" t="s">
        <v>348</v>
      </c>
      <c r="G79" s="205"/>
      <c r="H79" s="205"/>
      <c r="I79" s="16"/>
      <c r="J79" s="16"/>
      <c r="K79" s="16"/>
      <c r="L79" s="16"/>
      <c r="M79" s="12"/>
      <c r="N79" s="13"/>
      <c r="O79" s="13"/>
      <c r="P79" s="13"/>
      <c r="Q79" s="13"/>
      <c r="R79" s="13"/>
      <c r="S79" s="13"/>
      <c r="T79" s="13"/>
      <c r="U79" s="167"/>
      <c r="V79" s="13"/>
      <c r="W79" s="13"/>
      <c r="X79" s="13"/>
      <c r="Y79" s="13"/>
      <c r="Z79" s="13"/>
      <c r="AA79" s="13"/>
      <c r="AB79" s="13"/>
      <c r="AC79" s="13"/>
      <c r="AD79" s="13"/>
      <c r="AE79" s="13"/>
      <c r="AF79" s="13"/>
      <c r="AG79" s="13"/>
      <c r="AH79" s="13"/>
      <c r="AI79" s="13"/>
      <c r="AJ79" s="167"/>
      <c r="AK79" s="13"/>
      <c r="AL79" s="17" t="s">
        <v>349</v>
      </c>
      <c r="AM79" s="374"/>
      <c r="AN79" s="319"/>
      <c r="AO79" s="374"/>
      <c r="AP79" s="319"/>
      <c r="AQ79" s="319" t="s">
        <v>270</v>
      </c>
      <c r="AR79" s="319" t="s">
        <v>350</v>
      </c>
      <c r="AS79" s="319" t="s">
        <v>350</v>
      </c>
      <c r="AT79" s="319" t="s">
        <v>351</v>
      </c>
      <c r="AU79" s="319"/>
      <c r="AV79" s="319"/>
      <c r="AW79" s="379"/>
      <c r="AX79" s="167"/>
      <c r="AY79" s="13"/>
      <c r="AZ79" s="12"/>
      <c r="BA79" s="13"/>
      <c r="BB79" s="13"/>
      <c r="BC79" s="13"/>
      <c r="BD79" s="13"/>
      <c r="BE79" s="13"/>
      <c r="BF79" s="13"/>
      <c r="BG79" s="13"/>
      <c r="BH79" s="13"/>
      <c r="BI79" s="13"/>
      <c r="BJ79" s="5">
        <f>COUNTIF(M79,"*")+COUNTIF(W79,"*")+COUNTIF(AL79,"*")+COUNTIF(AZ79,"*")</f>
        <v>1</v>
      </c>
    </row>
    <row r="80" spans="1:62" ht="27.6" hidden="1">
      <c r="A80" s="16">
        <v>4</v>
      </c>
      <c r="B80" s="16">
        <v>16</v>
      </c>
      <c r="C80" s="243" t="s">
        <v>262</v>
      </c>
      <c r="D80" s="243"/>
      <c r="E80" s="16"/>
      <c r="F80" s="16" t="s">
        <v>352</v>
      </c>
      <c r="G80" s="205"/>
      <c r="H80" s="205"/>
      <c r="I80" s="16"/>
      <c r="J80" s="16"/>
      <c r="K80" s="16"/>
      <c r="L80" s="16"/>
      <c r="M80" s="12"/>
      <c r="N80" s="13"/>
      <c r="O80" s="13"/>
      <c r="P80" s="13"/>
      <c r="Q80" s="13"/>
      <c r="R80" s="13"/>
      <c r="S80" s="13"/>
      <c r="T80" s="13"/>
      <c r="U80" s="167"/>
      <c r="V80" s="13"/>
      <c r="W80" s="13"/>
      <c r="X80" s="13"/>
      <c r="Y80" s="13"/>
      <c r="Z80" s="13"/>
      <c r="AA80" s="13"/>
      <c r="AB80" s="13"/>
      <c r="AC80" s="13"/>
      <c r="AD80" s="13"/>
      <c r="AE80" s="13"/>
      <c r="AF80" s="13"/>
      <c r="AG80" s="13"/>
      <c r="AH80" s="13"/>
      <c r="AI80" s="13"/>
      <c r="AJ80" s="167"/>
      <c r="AK80" s="13"/>
      <c r="AL80" s="17" t="s">
        <v>353</v>
      </c>
      <c r="AM80" s="374"/>
      <c r="AN80" s="319"/>
      <c r="AO80" s="374"/>
      <c r="AP80" s="319"/>
      <c r="AQ80" s="319" t="s">
        <v>270</v>
      </c>
      <c r="AR80" s="319" t="s">
        <v>352</v>
      </c>
      <c r="AS80" s="319" t="s">
        <v>352</v>
      </c>
      <c r="AT80" s="319" t="s">
        <v>250</v>
      </c>
      <c r="AU80" s="319"/>
      <c r="AV80" s="319"/>
      <c r="AW80" s="379"/>
      <c r="AX80" s="167"/>
      <c r="AY80" s="13"/>
      <c r="AZ80" s="12"/>
      <c r="BA80" s="13"/>
      <c r="BB80" s="13"/>
      <c r="BC80" s="13"/>
      <c r="BD80" s="13"/>
      <c r="BE80" s="13"/>
      <c r="BF80" s="13"/>
      <c r="BG80" s="13"/>
      <c r="BH80" s="13"/>
      <c r="BI80" s="13"/>
      <c r="BJ80" s="5">
        <f>COUNTIF(M80,"*")+COUNTIF(W80,"*")+COUNTIF(AL80,"*")+COUNTIF(AZ80,"*")</f>
        <v>1</v>
      </c>
    </row>
    <row r="81" spans="1:63" ht="27.6" hidden="1">
      <c r="A81" s="16">
        <v>4</v>
      </c>
      <c r="B81" s="16">
        <v>17</v>
      </c>
      <c r="C81" s="243" t="s">
        <v>262</v>
      </c>
      <c r="D81" s="243"/>
      <c r="E81" s="16"/>
      <c r="F81" s="16" t="s">
        <v>354</v>
      </c>
      <c r="G81" s="205"/>
      <c r="H81" s="205"/>
      <c r="I81" s="16"/>
      <c r="J81" s="16"/>
      <c r="K81" s="16"/>
      <c r="L81" s="16"/>
      <c r="M81" s="12"/>
      <c r="N81" s="13"/>
      <c r="O81" s="13"/>
      <c r="P81" s="13"/>
      <c r="Q81" s="13"/>
      <c r="R81" s="13"/>
      <c r="S81" s="13"/>
      <c r="T81" s="13"/>
      <c r="U81" s="167"/>
      <c r="V81" s="13"/>
      <c r="W81" s="13"/>
      <c r="X81" s="13"/>
      <c r="Y81" s="13"/>
      <c r="Z81" s="13"/>
      <c r="AA81" s="13"/>
      <c r="AB81" s="13"/>
      <c r="AC81" s="13"/>
      <c r="AD81" s="13"/>
      <c r="AE81" s="13"/>
      <c r="AF81" s="13"/>
      <c r="AG81" s="13"/>
      <c r="AH81" s="13"/>
      <c r="AI81" s="13"/>
      <c r="AJ81" s="167"/>
      <c r="AK81" s="13"/>
      <c r="AL81" s="17" t="s">
        <v>355</v>
      </c>
      <c r="AM81" s="374"/>
      <c r="AN81" s="319"/>
      <c r="AO81" s="374"/>
      <c r="AP81" s="319"/>
      <c r="AQ81" s="319" t="s">
        <v>270</v>
      </c>
      <c r="AR81" s="319" t="s">
        <v>354</v>
      </c>
      <c r="AS81" s="319" t="s">
        <v>354</v>
      </c>
      <c r="AT81" s="319" t="s">
        <v>345</v>
      </c>
      <c r="AU81" s="319"/>
      <c r="AV81" s="319"/>
      <c r="AW81" s="379"/>
      <c r="AX81" s="167"/>
      <c r="AY81" s="13"/>
      <c r="AZ81" s="12"/>
      <c r="BA81" s="13"/>
      <c r="BB81" s="13"/>
      <c r="BC81" s="13"/>
      <c r="BD81" s="13"/>
      <c r="BE81" s="13"/>
      <c r="BF81" s="13"/>
      <c r="BG81" s="13"/>
      <c r="BH81" s="13"/>
      <c r="BI81" s="13"/>
      <c r="BJ81" s="5">
        <f>COUNTIF(M81,"*")+COUNTIF(W81,"*")+COUNTIF(AL81,"*")+COUNTIF(AZ81,"*")</f>
        <v>1</v>
      </c>
    </row>
    <row r="82" spans="1:63" ht="26.4" hidden="1">
      <c r="A82" s="16">
        <v>4</v>
      </c>
      <c r="B82" s="16">
        <v>18</v>
      </c>
      <c r="C82" s="243" t="s">
        <v>262</v>
      </c>
      <c r="D82" s="243"/>
      <c r="E82" s="16"/>
      <c r="F82" s="16" t="s">
        <v>356</v>
      </c>
      <c r="G82" s="205"/>
      <c r="H82" s="205"/>
      <c r="I82" s="16"/>
      <c r="J82" s="16"/>
      <c r="K82" s="16"/>
      <c r="L82" s="16"/>
      <c r="M82" s="12" t="s">
        <v>357</v>
      </c>
      <c r="N82" s="13"/>
      <c r="O82" s="13"/>
      <c r="P82" s="13"/>
      <c r="Q82" s="13"/>
      <c r="R82" s="13"/>
      <c r="S82" s="13"/>
      <c r="T82" s="13"/>
      <c r="U82" s="167"/>
      <c r="V82" s="13"/>
      <c r="W82" s="13"/>
      <c r="X82" s="13"/>
      <c r="Y82" s="13"/>
      <c r="Z82" s="13"/>
      <c r="AA82" s="13"/>
      <c r="AB82" s="154"/>
      <c r="AC82" s="154"/>
      <c r="AD82" s="154"/>
      <c r="AE82" s="154"/>
      <c r="AF82" s="154"/>
      <c r="AG82" s="154"/>
      <c r="AH82" s="154"/>
      <c r="AI82" s="379"/>
      <c r="AJ82" s="167"/>
      <c r="AK82" s="13"/>
      <c r="AL82" s="12"/>
      <c r="AM82" s="13"/>
      <c r="AN82" s="13"/>
      <c r="AO82" s="13"/>
      <c r="AP82" s="13"/>
      <c r="AQ82" s="13"/>
      <c r="AR82" s="13"/>
      <c r="AS82" s="13"/>
      <c r="AT82" s="13"/>
      <c r="AU82" s="13"/>
      <c r="AV82" s="13"/>
      <c r="AW82" s="13"/>
      <c r="AX82" s="167"/>
      <c r="AY82" s="13"/>
      <c r="AZ82" s="12"/>
      <c r="BA82" s="13"/>
      <c r="BB82" s="13"/>
      <c r="BC82" s="13"/>
      <c r="BD82" s="13"/>
      <c r="BE82" s="13"/>
      <c r="BF82" s="13"/>
      <c r="BG82" s="13"/>
      <c r="BH82" s="13"/>
      <c r="BI82" s="13"/>
      <c r="BJ82" s="5">
        <f>COUNTIF(M82,"*")+COUNTIF(W82,"*")+COUNTIF(AL82,"*")+COUNTIF(AZ82,"*")</f>
        <v>1</v>
      </c>
      <c r="BK82" s="211" t="s">
        <v>1759</v>
      </c>
    </row>
    <row r="83" spans="1:63" ht="26.4" hidden="1">
      <c r="A83" s="16">
        <v>4</v>
      </c>
      <c r="B83" s="16">
        <v>19</v>
      </c>
      <c r="C83" s="243" t="s">
        <v>262</v>
      </c>
      <c r="D83" s="243"/>
      <c r="E83" s="16"/>
      <c r="F83" s="16" t="s">
        <v>1986</v>
      </c>
      <c r="G83" s="205"/>
      <c r="H83" s="205"/>
      <c r="I83" s="16"/>
      <c r="J83" s="16"/>
      <c r="K83" s="16"/>
      <c r="L83" s="16"/>
      <c r="M83" s="12" t="s">
        <v>358</v>
      </c>
      <c r="N83" s="13"/>
      <c r="O83" s="13"/>
      <c r="P83" s="13"/>
      <c r="Q83" s="13"/>
      <c r="R83" s="13"/>
      <c r="S83" s="13"/>
      <c r="T83" s="13"/>
      <c r="U83" s="167"/>
      <c r="V83" s="13"/>
      <c r="W83" s="13"/>
      <c r="X83" s="13"/>
      <c r="Y83" s="13"/>
      <c r="Z83" s="13"/>
      <c r="AA83" s="13"/>
      <c r="AB83" s="319"/>
      <c r="AC83" s="319"/>
      <c r="AD83" s="319"/>
      <c r="AE83" s="319"/>
      <c r="AF83" s="319"/>
      <c r="AG83" s="319"/>
      <c r="AH83" s="319"/>
      <c r="AI83" s="379"/>
      <c r="AJ83" s="167"/>
      <c r="AK83" s="13"/>
      <c r="AL83" s="12"/>
      <c r="AM83" s="13"/>
      <c r="AN83" s="13"/>
      <c r="AO83" s="13"/>
      <c r="AP83" s="13"/>
      <c r="AQ83" s="13"/>
      <c r="AR83" s="13"/>
      <c r="AS83" s="13"/>
      <c r="AT83" s="13"/>
      <c r="AU83" s="13"/>
      <c r="AV83" s="13"/>
      <c r="AW83" s="13"/>
      <c r="AX83" s="167"/>
      <c r="AY83" s="13"/>
      <c r="AZ83" s="12"/>
      <c r="BA83" s="13"/>
      <c r="BB83" s="13"/>
      <c r="BC83" s="13"/>
      <c r="BD83" s="13"/>
      <c r="BE83" s="13"/>
      <c r="BF83" s="13"/>
      <c r="BG83" s="13"/>
      <c r="BH83" s="13"/>
      <c r="BI83" s="13"/>
      <c r="BJ83" s="5">
        <f>COUNTIF(M83,"*")+COUNTIF(W83,"*")+COUNTIF(AL83,"*")+COUNTIF(AZ83,"*")</f>
        <v>1</v>
      </c>
      <c r="BK83" s="211" t="s">
        <v>1759</v>
      </c>
    </row>
    <row r="84" spans="1:63" ht="26.4" hidden="1">
      <c r="A84" s="16">
        <v>4</v>
      </c>
      <c r="B84" s="16">
        <v>20</v>
      </c>
      <c r="C84" s="243" t="s">
        <v>262</v>
      </c>
      <c r="D84" s="243"/>
      <c r="E84" s="16"/>
      <c r="F84" s="16" t="s">
        <v>1987</v>
      </c>
      <c r="G84" s="205"/>
      <c r="H84" s="205"/>
      <c r="I84" s="16"/>
      <c r="J84" s="16"/>
      <c r="K84" s="16"/>
      <c r="L84" s="16"/>
      <c r="M84" s="12" t="s">
        <v>359</v>
      </c>
      <c r="N84" s="13"/>
      <c r="O84" s="13"/>
      <c r="P84" s="13"/>
      <c r="Q84" s="13"/>
      <c r="R84" s="13"/>
      <c r="S84" s="13"/>
      <c r="T84" s="13"/>
      <c r="U84" s="167"/>
      <c r="V84" s="13"/>
      <c r="W84" s="13"/>
      <c r="X84" s="13"/>
      <c r="Y84" s="13"/>
      <c r="Z84" s="13"/>
      <c r="AA84" s="13"/>
      <c r="AB84" s="319"/>
      <c r="AC84" s="319"/>
      <c r="AD84" s="319"/>
      <c r="AE84" s="319"/>
      <c r="AF84" s="319"/>
      <c r="AG84" s="319"/>
      <c r="AH84" s="319"/>
      <c r="AI84" s="379"/>
      <c r="AJ84" s="167"/>
      <c r="AK84" s="13"/>
      <c r="AL84" s="12"/>
      <c r="AM84" s="13"/>
      <c r="AN84" s="13"/>
      <c r="AO84" s="13"/>
      <c r="AP84" s="13"/>
      <c r="AQ84" s="13"/>
      <c r="AR84" s="13"/>
      <c r="AS84" s="13"/>
      <c r="AT84" s="13"/>
      <c r="AU84" s="13"/>
      <c r="AV84" s="13"/>
      <c r="AW84" s="13"/>
      <c r="AX84" s="167"/>
      <c r="AY84" s="13"/>
      <c r="AZ84" s="12"/>
      <c r="BA84" s="13"/>
      <c r="BB84" s="13"/>
      <c r="BC84" s="13"/>
      <c r="BD84" s="13"/>
      <c r="BE84" s="13"/>
      <c r="BF84" s="13"/>
      <c r="BG84" s="13"/>
      <c r="BH84" s="13"/>
      <c r="BI84" s="13"/>
      <c r="BJ84" s="5">
        <f>COUNTIF(M84,"*")+COUNTIF(W84,"*")+COUNTIF(AL84,"*")+COUNTIF(AZ84,"*")</f>
        <v>1</v>
      </c>
      <c r="BK84" s="211" t="s">
        <v>1759</v>
      </c>
    </row>
    <row r="85" spans="1:63" ht="26.4" hidden="1">
      <c r="A85" s="16">
        <v>4</v>
      </c>
      <c r="B85" s="16">
        <v>21</v>
      </c>
      <c r="C85" s="243" t="s">
        <v>262</v>
      </c>
      <c r="D85" s="243"/>
      <c r="E85" s="16"/>
      <c r="F85" s="16" t="s">
        <v>360</v>
      </c>
      <c r="G85" s="205"/>
      <c r="H85" s="205"/>
      <c r="I85" s="16"/>
      <c r="J85" s="16"/>
      <c r="K85" s="16"/>
      <c r="L85" s="16"/>
      <c r="M85" s="12"/>
      <c r="N85" s="13"/>
      <c r="O85" s="13"/>
      <c r="P85" s="13"/>
      <c r="Q85" s="13"/>
      <c r="R85" s="13"/>
      <c r="S85" s="13"/>
      <c r="T85" s="13"/>
      <c r="U85" s="167"/>
      <c r="V85" s="13"/>
      <c r="W85" s="13" t="s">
        <v>361</v>
      </c>
      <c r="X85" s="13" t="s">
        <v>361</v>
      </c>
      <c r="Y85" s="13"/>
      <c r="Z85" s="13"/>
      <c r="AA85" s="13" t="s">
        <v>362</v>
      </c>
      <c r="AB85" s="262" t="s">
        <v>309</v>
      </c>
      <c r="AC85" s="262" t="s">
        <v>250</v>
      </c>
      <c r="AD85" s="262">
        <v>0</v>
      </c>
      <c r="AE85" s="262" t="s">
        <v>161</v>
      </c>
      <c r="AF85" s="262" t="s">
        <v>80</v>
      </c>
      <c r="AG85" s="262"/>
      <c r="AH85" s="262"/>
      <c r="AI85" s="379"/>
      <c r="AJ85" s="167"/>
      <c r="AK85" s="13"/>
      <c r="AL85" s="12"/>
      <c r="AM85" s="13"/>
      <c r="AN85" s="13"/>
      <c r="AO85" s="13"/>
      <c r="AP85" s="13"/>
      <c r="AQ85" s="13"/>
      <c r="AR85" s="13"/>
      <c r="AS85" s="13"/>
      <c r="AT85" s="13"/>
      <c r="AU85" s="13"/>
      <c r="AV85" s="13"/>
      <c r="AW85" s="13"/>
      <c r="AX85" s="167"/>
      <c r="AY85" s="13"/>
      <c r="AZ85" s="12"/>
      <c r="BA85" s="13"/>
      <c r="BB85" s="13"/>
      <c r="BC85" s="13"/>
      <c r="BD85" s="13"/>
      <c r="BE85" s="13"/>
      <c r="BF85" s="13"/>
      <c r="BG85" s="13"/>
      <c r="BH85" s="13"/>
      <c r="BI85" s="13"/>
      <c r="BJ85" s="5">
        <f>COUNTIF(M85,"*")+COUNTIF(W85,"*")+COUNTIF(AL85,"*")+COUNTIF(AZ85,"*")</f>
        <v>1</v>
      </c>
      <c r="BK85" s="211" t="s">
        <v>1759</v>
      </c>
    </row>
    <row r="86" spans="1:63" ht="27.6" hidden="1" customHeight="1">
      <c r="A86" s="16">
        <v>4</v>
      </c>
      <c r="B86" s="16">
        <v>22</v>
      </c>
      <c r="C86" s="243" t="s">
        <v>262</v>
      </c>
      <c r="D86" s="243"/>
      <c r="E86" s="16"/>
      <c r="F86" s="16" t="s">
        <v>363</v>
      </c>
      <c r="G86" s="205"/>
      <c r="H86" s="205"/>
      <c r="I86" s="16"/>
      <c r="J86" s="16"/>
      <c r="K86" s="16"/>
      <c r="L86" s="16"/>
      <c r="M86" s="12"/>
      <c r="N86" s="13"/>
      <c r="O86" s="13"/>
      <c r="P86" s="13"/>
      <c r="Q86" s="13"/>
      <c r="R86" s="13"/>
      <c r="S86" s="13"/>
      <c r="T86" s="13"/>
      <c r="U86" s="167"/>
      <c r="V86" s="13"/>
      <c r="W86" s="13"/>
      <c r="X86" s="13"/>
      <c r="Y86" s="13"/>
      <c r="Z86" s="13"/>
      <c r="AA86" s="13"/>
      <c r="AB86" s="319"/>
      <c r="AC86" s="319"/>
      <c r="AD86" s="319"/>
      <c r="AE86" s="319"/>
      <c r="AF86" s="319"/>
      <c r="AG86" s="319"/>
      <c r="AH86" s="319"/>
      <c r="AI86" s="379"/>
      <c r="AJ86" s="167"/>
      <c r="AK86" s="153"/>
      <c r="AL86" s="18" t="s">
        <v>364</v>
      </c>
      <c r="AM86" s="304"/>
      <c r="AN86" s="304"/>
      <c r="AO86" s="304"/>
      <c r="AP86" s="304"/>
      <c r="AQ86" s="261" t="s">
        <v>270</v>
      </c>
      <c r="AR86" s="261" t="s">
        <v>365</v>
      </c>
      <c r="AS86" s="261" t="s">
        <v>365</v>
      </c>
      <c r="AT86" s="261"/>
      <c r="AU86" s="319"/>
      <c r="AV86" s="319"/>
      <c r="AW86" s="379"/>
      <c r="AX86" s="167"/>
      <c r="AY86" s="13"/>
      <c r="AZ86" s="12"/>
      <c r="BA86" s="13"/>
      <c r="BB86" s="13"/>
      <c r="BC86" s="13"/>
      <c r="BD86" s="13"/>
      <c r="BE86" s="13"/>
      <c r="BF86" s="13"/>
      <c r="BG86" s="13"/>
      <c r="BH86" s="13"/>
      <c r="BI86" s="13"/>
      <c r="BJ86" s="5">
        <f>COUNTIF(M86,"*")+COUNTIF(W86,"*")+COUNTIF(AL86,"*")+COUNTIF(AZ86,"*")</f>
        <v>1</v>
      </c>
    </row>
    <row r="87" spans="1:63" ht="32.4" hidden="1" customHeight="1">
      <c r="A87" s="16">
        <v>4</v>
      </c>
      <c r="B87" s="16">
        <v>23</v>
      </c>
      <c r="C87" s="243" t="s">
        <v>262</v>
      </c>
      <c r="D87" s="243"/>
      <c r="E87" s="16"/>
      <c r="F87" s="16" t="s">
        <v>1988</v>
      </c>
      <c r="G87" s="205"/>
      <c r="H87" s="205"/>
      <c r="I87" s="16"/>
      <c r="J87" s="16"/>
      <c r="K87" s="16"/>
      <c r="L87" s="16"/>
      <c r="M87" s="12" t="s">
        <v>366</v>
      </c>
      <c r="N87" s="13"/>
      <c r="O87" s="13"/>
      <c r="P87" s="13"/>
      <c r="Q87" s="13"/>
      <c r="R87" s="13"/>
      <c r="S87" s="13"/>
      <c r="T87" s="13"/>
      <c r="U87" s="167"/>
      <c r="V87" s="13"/>
      <c r="W87" s="13"/>
      <c r="X87" s="13"/>
      <c r="Y87" s="13"/>
      <c r="Z87" s="13"/>
      <c r="AA87" s="13"/>
      <c r="AB87" s="262"/>
      <c r="AC87" s="262"/>
      <c r="AD87" s="262"/>
      <c r="AE87" s="262"/>
      <c r="AF87" s="262"/>
      <c r="AG87" s="262"/>
      <c r="AH87" s="262"/>
      <c r="AI87" s="379"/>
      <c r="AJ87" s="167"/>
      <c r="AK87" s="13"/>
      <c r="AL87" s="17"/>
      <c r="AM87" s="374"/>
      <c r="AN87" s="319"/>
      <c r="AO87" s="374"/>
      <c r="AP87" s="319"/>
      <c r="AQ87" s="262"/>
      <c r="AR87" s="262"/>
      <c r="AS87" s="262"/>
      <c r="AT87" s="262"/>
      <c r="AU87" s="262"/>
      <c r="AV87" s="262"/>
      <c r="AW87" s="379"/>
      <c r="AX87" s="167"/>
      <c r="AY87" s="13"/>
      <c r="AZ87" s="12"/>
      <c r="BA87" s="13"/>
      <c r="BB87" s="13"/>
      <c r="BC87" s="13"/>
      <c r="BD87" s="13"/>
      <c r="BE87" s="13"/>
      <c r="BF87" s="13"/>
      <c r="BG87" s="13"/>
      <c r="BH87" s="13"/>
      <c r="BI87" s="13"/>
      <c r="BJ87" s="5">
        <f>COUNTIF(M87,"*")+COUNTIF(W87,"*")+COUNTIF(AL87,"*")+COUNTIF(AZ87,"*")</f>
        <v>1</v>
      </c>
    </row>
    <row r="88" spans="1:63" ht="27.6" hidden="1">
      <c r="A88" s="16">
        <v>4</v>
      </c>
      <c r="B88" s="16">
        <v>24</v>
      </c>
      <c r="C88" s="243" t="s">
        <v>262</v>
      </c>
      <c r="D88" s="243"/>
      <c r="E88" s="16"/>
      <c r="F88" s="16" t="s">
        <v>367</v>
      </c>
      <c r="G88" s="205" t="s">
        <v>368</v>
      </c>
      <c r="H88" s="205"/>
      <c r="I88" s="16"/>
      <c r="J88" s="16" t="s">
        <v>265</v>
      </c>
      <c r="K88" s="16"/>
      <c r="L88" s="16"/>
      <c r="M88" s="12"/>
      <c r="N88" s="13"/>
      <c r="O88" s="13"/>
      <c r="P88" s="13"/>
      <c r="Q88" s="13"/>
      <c r="R88" s="13"/>
      <c r="S88" s="13"/>
      <c r="T88" s="13"/>
      <c r="U88" s="167"/>
      <c r="V88" s="13"/>
      <c r="W88" s="13" t="s">
        <v>369</v>
      </c>
      <c r="X88" s="13" t="s">
        <v>369</v>
      </c>
      <c r="Y88" s="13"/>
      <c r="Z88" s="13"/>
      <c r="AA88" s="13" t="s">
        <v>370</v>
      </c>
      <c r="AB88" s="319" t="s">
        <v>371</v>
      </c>
      <c r="AC88" s="319" t="s">
        <v>161</v>
      </c>
      <c r="AD88" s="319">
        <v>0</v>
      </c>
      <c r="AE88" s="319" t="s">
        <v>161</v>
      </c>
      <c r="AF88" s="319" t="s">
        <v>80</v>
      </c>
      <c r="AG88" s="319"/>
      <c r="AH88" s="319"/>
      <c r="AI88" s="379"/>
      <c r="AJ88" s="167"/>
      <c r="AK88" s="153"/>
      <c r="AL88" s="18" t="s">
        <v>372</v>
      </c>
      <c r="AM88" s="304"/>
      <c r="AN88" s="304"/>
      <c r="AO88" s="304"/>
      <c r="AP88" s="304"/>
      <c r="AQ88" s="261" t="s">
        <v>327</v>
      </c>
      <c r="AR88" s="261" t="s">
        <v>373</v>
      </c>
      <c r="AS88" s="261" t="s">
        <v>373</v>
      </c>
      <c r="AT88" s="261"/>
      <c r="AU88" s="13"/>
      <c r="AV88" s="13"/>
      <c r="AW88" s="13"/>
      <c r="AX88" s="167"/>
      <c r="AY88" s="13"/>
      <c r="AZ88" s="12"/>
      <c r="BA88" s="13"/>
      <c r="BB88" s="13"/>
      <c r="BC88" s="13"/>
      <c r="BD88" s="13"/>
      <c r="BE88" s="13"/>
      <c r="BF88" s="13"/>
      <c r="BG88" s="13"/>
      <c r="BH88" s="13"/>
      <c r="BI88" s="13"/>
      <c r="BJ88" s="5">
        <f>COUNTIF(M88,"*")+COUNTIF(W88,"*")+COUNTIF(AL88,"*")+COUNTIF(AZ88,"*")</f>
        <v>2</v>
      </c>
    </row>
    <row r="89" spans="1:63" ht="27.6" hidden="1">
      <c r="A89" s="16">
        <v>4</v>
      </c>
      <c r="B89" s="223">
        <v>25</v>
      </c>
      <c r="C89" s="390" t="s">
        <v>262</v>
      </c>
      <c r="D89" s="243"/>
      <c r="E89" s="16"/>
      <c r="F89" s="223" t="s">
        <v>374</v>
      </c>
      <c r="G89" s="267" t="s">
        <v>375</v>
      </c>
      <c r="H89" s="205"/>
      <c r="I89" s="223"/>
      <c r="J89" s="16" t="s">
        <v>265</v>
      </c>
      <c r="K89" s="223"/>
      <c r="L89" s="223"/>
      <c r="M89" s="195"/>
      <c r="N89" s="36"/>
      <c r="O89" s="13"/>
      <c r="P89" s="13"/>
      <c r="Q89" s="13"/>
      <c r="R89" s="13"/>
      <c r="S89" s="13"/>
      <c r="T89" s="13"/>
      <c r="U89" s="167"/>
      <c r="V89" s="13"/>
      <c r="W89" s="13" t="s">
        <v>376</v>
      </c>
      <c r="X89" s="36" t="s">
        <v>376</v>
      </c>
      <c r="Y89" s="36"/>
      <c r="Z89" s="36"/>
      <c r="AA89" s="13" t="s">
        <v>377</v>
      </c>
      <c r="AB89" s="262" t="s">
        <v>80</v>
      </c>
      <c r="AC89" s="262" t="s">
        <v>250</v>
      </c>
      <c r="AD89" s="262">
        <v>0</v>
      </c>
      <c r="AE89" s="262" t="s">
        <v>161</v>
      </c>
      <c r="AF89" s="262" t="s">
        <v>80</v>
      </c>
      <c r="AG89" s="262"/>
      <c r="AH89" s="262"/>
      <c r="AI89" s="379"/>
      <c r="AJ89" s="167"/>
      <c r="AK89" s="153"/>
      <c r="AL89" s="18" t="s">
        <v>378</v>
      </c>
      <c r="AM89" s="304"/>
      <c r="AN89" s="304"/>
      <c r="AO89" s="304"/>
      <c r="AP89" s="304"/>
      <c r="AQ89" s="261" t="s">
        <v>327</v>
      </c>
      <c r="AR89" s="261" t="s">
        <v>379</v>
      </c>
      <c r="AS89" s="261" t="s">
        <v>380</v>
      </c>
      <c r="AT89" s="261" t="s">
        <v>381</v>
      </c>
      <c r="AU89" s="13"/>
      <c r="AV89" s="13"/>
      <c r="AW89" s="13"/>
      <c r="AX89" s="167"/>
      <c r="AY89" s="13"/>
      <c r="AZ89" s="12"/>
      <c r="BA89" s="36"/>
      <c r="BB89" s="36"/>
      <c r="BC89" s="36"/>
      <c r="BD89" s="13"/>
      <c r="BE89" s="13"/>
      <c r="BF89" s="13"/>
      <c r="BG89" s="13"/>
      <c r="BH89" s="13"/>
      <c r="BI89" s="13"/>
      <c r="BJ89" s="351">
        <f>COUNTIF(M89,"*")+COUNTIF(W89,"*")+COUNTIF(AL89,"*")+COUNTIF(AZ89,"*")</f>
        <v>2</v>
      </c>
    </row>
    <row r="90" spans="1:63" ht="32.4" hidden="1" customHeight="1">
      <c r="A90" s="19">
        <v>5</v>
      </c>
      <c r="B90" s="435">
        <v>1</v>
      </c>
      <c r="C90" s="436" t="s">
        <v>382</v>
      </c>
      <c r="D90" s="244"/>
      <c r="E90" s="206" t="s">
        <v>1624</v>
      </c>
      <c r="F90" s="437" t="s">
        <v>383</v>
      </c>
      <c r="G90" s="437" t="s">
        <v>384</v>
      </c>
      <c r="H90" s="206" t="str">
        <f>_xlfn.CONCAT("'&lt;br&gt;','&lt;b&gt;','",F90, ": ','&lt;/b&gt;',",G90, ",'&lt;/br&gt;',")</f>
        <v>'&lt;br&gt;','&lt;b&gt;','Residual pool depth: ','&lt;/b&gt;',RPD ,'&lt;/br&gt;',</v>
      </c>
      <c r="I90" s="437" t="s">
        <v>1820</v>
      </c>
      <c r="J90" s="19" t="s">
        <v>265</v>
      </c>
      <c r="K90" s="224"/>
      <c r="L90" s="437"/>
      <c r="M90" s="356"/>
      <c r="O90" s="13" t="s">
        <v>385</v>
      </c>
      <c r="P90" s="13"/>
      <c r="Q90" s="13"/>
      <c r="R90" s="13"/>
      <c r="S90" s="13"/>
      <c r="T90" s="13"/>
      <c r="U90" s="167"/>
      <c r="V90" s="13"/>
      <c r="W90" s="13" t="s">
        <v>386</v>
      </c>
      <c r="X90" s="278" t="s">
        <v>1565</v>
      </c>
      <c r="Y90" s="153"/>
      <c r="Z90" s="153"/>
      <c r="AA90" s="13" t="s">
        <v>387</v>
      </c>
      <c r="AB90" s="154" t="s">
        <v>371</v>
      </c>
      <c r="AC90" s="154" t="s">
        <v>250</v>
      </c>
      <c r="AD90" s="154">
        <v>0</v>
      </c>
      <c r="AE90" s="154" t="s">
        <v>161</v>
      </c>
      <c r="AF90" s="154" t="s">
        <v>388</v>
      </c>
      <c r="AG90" s="154"/>
      <c r="AH90" s="154"/>
      <c r="AI90" s="379"/>
      <c r="AJ90" s="167"/>
      <c r="AK90" s="384"/>
      <c r="AL90" s="369" t="s">
        <v>389</v>
      </c>
      <c r="AM90" s="371"/>
      <c r="AN90" s="369" t="s">
        <v>389</v>
      </c>
      <c r="AO90" s="371"/>
      <c r="AP90" s="371"/>
      <c r="AQ90" s="319" t="s">
        <v>390</v>
      </c>
      <c r="AR90" s="319" t="s">
        <v>391</v>
      </c>
      <c r="AS90" s="319" t="s">
        <v>391</v>
      </c>
      <c r="AT90" s="319" t="s">
        <v>381</v>
      </c>
      <c r="AU90" s="319"/>
      <c r="AV90" s="319"/>
      <c r="AW90" s="379"/>
      <c r="AX90" s="167"/>
      <c r="AY90" s="13"/>
      <c r="AZ90" s="12" t="s">
        <v>383</v>
      </c>
      <c r="BA90" s="201" t="s">
        <v>1562</v>
      </c>
      <c r="BB90" s="310"/>
      <c r="BC90" s="310"/>
      <c r="BD90" s="13" t="s">
        <v>392</v>
      </c>
      <c r="BE90" s="13" t="s">
        <v>250</v>
      </c>
      <c r="BF90" s="13"/>
      <c r="BG90" s="13"/>
      <c r="BH90" s="13"/>
      <c r="BI90" s="13"/>
      <c r="BJ90" s="278">
        <f>COUNTIF(O90,"*")+COUNTIF(W90,"*")+COUNTIF(AL90,"*")+COUNTIF(AZ90,"*")</f>
        <v>4</v>
      </c>
    </row>
    <row r="91" spans="1:63" ht="27.6" hidden="1">
      <c r="A91" s="19">
        <v>5</v>
      </c>
      <c r="B91" s="225">
        <v>2</v>
      </c>
      <c r="C91" s="408" t="s">
        <v>382</v>
      </c>
      <c r="D91" s="244"/>
      <c r="E91" s="19"/>
      <c r="F91" s="225" t="s">
        <v>393</v>
      </c>
      <c r="G91" s="409"/>
      <c r="H91" s="206"/>
      <c r="I91" s="225"/>
      <c r="J91" s="19"/>
      <c r="K91" s="225"/>
      <c r="L91" s="225"/>
      <c r="M91" s="199"/>
      <c r="N91" s="163"/>
      <c r="O91" s="13"/>
      <c r="P91" s="13"/>
      <c r="Q91" s="13"/>
      <c r="R91" s="13"/>
      <c r="S91" s="13"/>
      <c r="T91" s="13"/>
      <c r="U91" s="167"/>
      <c r="V91" s="13"/>
      <c r="W91" s="13"/>
      <c r="X91" s="163"/>
      <c r="Y91" s="163"/>
      <c r="Z91" s="163"/>
      <c r="AA91" s="13"/>
      <c r="AB91" s="319"/>
      <c r="AC91" s="319"/>
      <c r="AD91" s="319"/>
      <c r="AE91" s="319"/>
      <c r="AF91" s="319"/>
      <c r="AG91" s="319"/>
      <c r="AH91" s="319"/>
      <c r="AI91" s="379"/>
      <c r="AJ91" s="167"/>
      <c r="AK91" s="163"/>
      <c r="AL91" s="200" t="s">
        <v>394</v>
      </c>
      <c r="AM91" s="164"/>
      <c r="AN91" s="164"/>
      <c r="AO91" s="164"/>
      <c r="AP91" s="164"/>
      <c r="AQ91" s="319" t="s">
        <v>327</v>
      </c>
      <c r="AR91" s="319" t="s">
        <v>395</v>
      </c>
      <c r="AS91" s="319" t="s">
        <v>396</v>
      </c>
      <c r="AT91" s="319" t="s">
        <v>381</v>
      </c>
      <c r="AU91" s="21"/>
      <c r="AV91" s="21"/>
      <c r="AW91" s="21"/>
      <c r="AX91" s="167"/>
      <c r="AY91" s="13"/>
      <c r="AZ91" s="12"/>
      <c r="BA91" s="163"/>
      <c r="BB91" s="163"/>
      <c r="BC91" s="163"/>
      <c r="BD91" s="13"/>
      <c r="BE91" s="13"/>
      <c r="BF91" s="13"/>
      <c r="BG91" s="13"/>
      <c r="BH91" s="13"/>
      <c r="BI91" s="13"/>
      <c r="BJ91" s="339">
        <f>COUNTIF(M91,"*")+COUNTIF(W91,"*")+COUNTIF(AL91,"*")+COUNTIF(AZ91,"*")</f>
        <v>1</v>
      </c>
    </row>
    <row r="92" spans="1:63" ht="27.6" hidden="1">
      <c r="A92" s="19">
        <v>5</v>
      </c>
      <c r="B92" s="226">
        <v>3</v>
      </c>
      <c r="C92" s="391" t="s">
        <v>382</v>
      </c>
      <c r="D92" s="244"/>
      <c r="E92" s="19"/>
      <c r="F92" s="226" t="s">
        <v>397</v>
      </c>
      <c r="G92" s="392"/>
      <c r="H92" s="206"/>
      <c r="I92" s="226"/>
      <c r="J92" s="19"/>
      <c r="K92" s="226"/>
      <c r="L92" s="226"/>
      <c r="M92" s="195"/>
      <c r="N92" s="36"/>
      <c r="O92" s="13"/>
      <c r="P92" s="13"/>
      <c r="Q92" s="13"/>
      <c r="R92" s="13"/>
      <c r="S92" s="13"/>
      <c r="T92" s="13"/>
      <c r="U92" s="167"/>
      <c r="V92" s="13"/>
      <c r="W92" s="13"/>
      <c r="X92" s="36"/>
      <c r="Y92" s="36"/>
      <c r="Z92" s="36"/>
      <c r="AA92" s="13"/>
      <c r="AB92" s="262"/>
      <c r="AC92" s="262"/>
      <c r="AD92" s="262"/>
      <c r="AE92" s="262"/>
      <c r="AF92" s="262"/>
      <c r="AG92" s="262"/>
      <c r="AH92" s="262"/>
      <c r="AI92" s="379"/>
      <c r="AJ92" s="167"/>
      <c r="AK92" s="36"/>
      <c r="AL92" s="196" t="s">
        <v>398</v>
      </c>
      <c r="AM92" s="302"/>
      <c r="AN92" s="302"/>
      <c r="AO92" s="302"/>
      <c r="AP92" s="302"/>
      <c r="AQ92" s="319" t="s">
        <v>327</v>
      </c>
      <c r="AR92" s="319" t="s">
        <v>399</v>
      </c>
      <c r="AS92" s="319" t="s">
        <v>400</v>
      </c>
      <c r="AT92" s="319" t="s">
        <v>381</v>
      </c>
      <c r="AU92" s="21"/>
      <c r="AV92" s="21"/>
      <c r="AW92" s="21"/>
      <c r="AX92" s="167"/>
      <c r="AY92" s="13"/>
      <c r="AZ92" s="12"/>
      <c r="BA92" s="36"/>
      <c r="BB92" s="36"/>
      <c r="BC92" s="36"/>
      <c r="BD92" s="13"/>
      <c r="BE92" s="13"/>
      <c r="BF92" s="13"/>
      <c r="BG92" s="13"/>
      <c r="BH92" s="13"/>
      <c r="BI92" s="13"/>
      <c r="BJ92" s="351">
        <f>COUNTIF(M92,"*")+COUNTIF(W92,"*")+COUNTIF(AL92,"*")+COUNTIF(AZ92,"*")</f>
        <v>1</v>
      </c>
    </row>
    <row r="93" spans="1:63" ht="41.4" hidden="1">
      <c r="A93" s="19">
        <v>5</v>
      </c>
      <c r="B93" s="435">
        <v>4</v>
      </c>
      <c r="C93" s="436" t="s">
        <v>382</v>
      </c>
      <c r="D93" s="244"/>
      <c r="E93" s="206" t="s">
        <v>1624</v>
      </c>
      <c r="F93" s="437" t="s">
        <v>401</v>
      </c>
      <c r="G93" s="437" t="s">
        <v>1586</v>
      </c>
      <c r="H93" s="206" t="str">
        <f>_xlfn.CONCAT("'&lt;br&gt;','&lt;b&gt;','",F93, ": ','&lt;/b&gt;',",G93, ",'&lt;/br&gt;',")</f>
        <v>'&lt;br&gt;','&lt;b&gt;','Percent pools: ','&lt;/b&gt;',PctPool,'&lt;/br&gt;',</v>
      </c>
      <c r="I93" s="437" t="s">
        <v>1821</v>
      </c>
      <c r="J93" s="19" t="s">
        <v>265</v>
      </c>
      <c r="K93" s="363"/>
      <c r="L93" s="437"/>
      <c r="M93" s="201"/>
      <c r="N93" s="310"/>
      <c r="O93" s="13"/>
      <c r="P93" s="13"/>
      <c r="Q93" s="13"/>
      <c r="R93" s="13"/>
      <c r="S93" s="13">
        <v>6844</v>
      </c>
      <c r="T93" s="13"/>
      <c r="U93" s="167">
        <v>3852</v>
      </c>
      <c r="V93" s="13"/>
      <c r="W93" s="13" t="s">
        <v>402</v>
      </c>
      <c r="X93" s="278" t="s">
        <v>1579</v>
      </c>
      <c r="Y93" s="153"/>
      <c r="Z93" s="153"/>
      <c r="AA93" s="13" t="s">
        <v>403</v>
      </c>
      <c r="AB93" s="154" t="s">
        <v>371</v>
      </c>
      <c r="AC93" s="154" t="s">
        <v>279</v>
      </c>
      <c r="AD93" s="154">
        <v>0</v>
      </c>
      <c r="AE93" s="262">
        <v>100</v>
      </c>
      <c r="AF93" s="262" t="s">
        <v>388</v>
      </c>
      <c r="AG93" s="262"/>
      <c r="AH93" s="262">
        <v>6859</v>
      </c>
      <c r="AI93" s="379"/>
      <c r="AJ93" s="167">
        <v>36</v>
      </c>
      <c r="AK93" s="384"/>
      <c r="AL93" s="202" t="s">
        <v>404</v>
      </c>
      <c r="AM93" s="305"/>
      <c r="AN93" s="202" t="s">
        <v>404</v>
      </c>
      <c r="AO93" s="305"/>
      <c r="AP93" s="305"/>
      <c r="AQ93" s="21" t="s">
        <v>405</v>
      </c>
      <c r="AR93" s="21" t="s">
        <v>406</v>
      </c>
      <c r="AS93" s="319" t="s">
        <v>406</v>
      </c>
      <c r="AT93" s="21" t="s">
        <v>407</v>
      </c>
      <c r="AU93" s="21"/>
      <c r="AV93" s="21">
        <v>6875</v>
      </c>
      <c r="AW93" s="21"/>
      <c r="AX93" s="167">
        <v>88</v>
      </c>
      <c r="AY93" s="13"/>
      <c r="AZ93" s="12" t="s">
        <v>401</v>
      </c>
      <c r="BA93" s="201" t="s">
        <v>408</v>
      </c>
      <c r="BB93" s="310"/>
      <c r="BC93" s="310"/>
      <c r="BD93" s="13" t="s">
        <v>409</v>
      </c>
      <c r="BE93" s="13" t="s">
        <v>285</v>
      </c>
      <c r="BF93" s="13">
        <v>6872</v>
      </c>
      <c r="BG93" s="13"/>
      <c r="BH93" s="13">
        <v>55</v>
      </c>
      <c r="BI93" s="13"/>
      <c r="BJ93" s="278">
        <f>COUNTIF(M93,"*")+COUNTIF(W93,"*")+COUNTIF(AL93,"*")+COUNTIF(AZ93,"*")</f>
        <v>3</v>
      </c>
    </row>
    <row r="94" spans="1:63" ht="27.6" hidden="1">
      <c r="A94" s="19">
        <v>5</v>
      </c>
      <c r="B94" s="225">
        <v>5</v>
      </c>
      <c r="C94" s="408" t="s">
        <v>382</v>
      </c>
      <c r="D94" s="244"/>
      <c r="E94" s="19"/>
      <c r="F94" s="225" t="s">
        <v>410</v>
      </c>
      <c r="G94" s="409" t="s">
        <v>411</v>
      </c>
      <c r="H94" s="206"/>
      <c r="I94" s="225"/>
      <c r="J94" s="19" t="s">
        <v>265</v>
      </c>
      <c r="K94" s="225"/>
      <c r="L94" s="225"/>
      <c r="M94" s="199"/>
      <c r="N94" s="163"/>
      <c r="O94" s="13"/>
      <c r="P94" s="13"/>
      <c r="Q94" s="13"/>
      <c r="R94" s="13"/>
      <c r="S94" s="13"/>
      <c r="T94" s="13"/>
      <c r="U94" s="167"/>
      <c r="V94" s="13"/>
      <c r="W94" s="13" t="s">
        <v>411</v>
      </c>
      <c r="X94" s="163" t="s">
        <v>411</v>
      </c>
      <c r="Y94" s="163"/>
      <c r="Z94" s="163"/>
      <c r="AA94" s="13" t="s">
        <v>412</v>
      </c>
      <c r="AB94" s="154" t="s">
        <v>371</v>
      </c>
      <c r="AC94" s="154" t="s">
        <v>413</v>
      </c>
      <c r="AD94" s="154">
        <v>0</v>
      </c>
      <c r="AE94" s="154" t="s">
        <v>161</v>
      </c>
      <c r="AF94" s="154" t="s">
        <v>388</v>
      </c>
      <c r="AG94" s="154"/>
      <c r="AH94" s="154"/>
      <c r="AI94" s="379"/>
      <c r="AJ94" s="167"/>
      <c r="AK94" s="163"/>
      <c r="AL94" s="199"/>
      <c r="AM94" s="163"/>
      <c r="AN94" s="163"/>
      <c r="AO94" s="163"/>
      <c r="AP94" s="163"/>
      <c r="AQ94" s="13"/>
      <c r="AR94" s="13"/>
      <c r="AS94" s="13"/>
      <c r="AT94" s="13"/>
      <c r="AU94" s="13"/>
      <c r="AV94" s="13"/>
      <c r="AW94" s="13"/>
      <c r="AX94" s="167"/>
      <c r="AY94" s="13"/>
      <c r="AZ94" s="12" t="s">
        <v>414</v>
      </c>
      <c r="BA94" s="163" t="s">
        <v>411</v>
      </c>
      <c r="BB94" s="163"/>
      <c r="BC94" s="163"/>
      <c r="BD94" s="13" t="s">
        <v>415</v>
      </c>
      <c r="BE94" s="13" t="s">
        <v>416</v>
      </c>
      <c r="BF94" s="13"/>
      <c r="BG94" s="13"/>
      <c r="BH94" s="13"/>
      <c r="BI94" s="13"/>
      <c r="BJ94" s="339">
        <f>COUNTIF(M94,"*")+COUNTIF(W94,"*")+COUNTIF(AL94,"*")+COUNTIF(AZ94,"*")</f>
        <v>2</v>
      </c>
    </row>
    <row r="95" spans="1:63" ht="32.4" hidden="1" customHeight="1">
      <c r="A95" s="19">
        <v>5</v>
      </c>
      <c r="B95" s="19">
        <v>6</v>
      </c>
      <c r="C95" s="244" t="s">
        <v>382</v>
      </c>
      <c r="D95" s="244"/>
      <c r="E95" s="19"/>
      <c r="F95" s="19" t="s">
        <v>417</v>
      </c>
      <c r="G95" s="206"/>
      <c r="H95" s="206"/>
      <c r="I95" s="19"/>
      <c r="J95" s="19"/>
      <c r="K95" s="19"/>
      <c r="L95" s="19"/>
      <c r="M95" s="12"/>
      <c r="N95" s="13"/>
      <c r="O95" s="13"/>
      <c r="P95" s="13"/>
      <c r="Q95" s="13"/>
      <c r="R95" s="13"/>
      <c r="S95" s="13"/>
      <c r="T95" s="13"/>
      <c r="U95" s="167"/>
      <c r="V95" s="13"/>
      <c r="W95" s="13"/>
      <c r="X95" s="13"/>
      <c r="Y95" s="13"/>
      <c r="Z95" s="13"/>
      <c r="AA95" s="13"/>
      <c r="AB95" s="154"/>
      <c r="AC95" s="154"/>
      <c r="AD95" s="154"/>
      <c r="AE95" s="262"/>
      <c r="AF95" s="262"/>
      <c r="AG95" s="262"/>
      <c r="AH95" s="262"/>
      <c r="AI95" s="379"/>
      <c r="AJ95" s="167"/>
      <c r="AK95" s="13"/>
      <c r="AL95" s="17" t="s">
        <v>418</v>
      </c>
      <c r="AM95" s="374"/>
      <c r="AN95" s="319"/>
      <c r="AO95" s="374"/>
      <c r="AP95" s="319"/>
      <c r="AQ95" s="319" t="s">
        <v>390</v>
      </c>
      <c r="AR95" s="319" t="s">
        <v>419</v>
      </c>
      <c r="AS95" s="319" t="s">
        <v>419</v>
      </c>
      <c r="AT95" s="319" t="s">
        <v>420</v>
      </c>
      <c r="AU95" s="319"/>
      <c r="AV95" s="319"/>
      <c r="AW95" s="379"/>
      <c r="AX95" s="167"/>
      <c r="AY95" s="13"/>
      <c r="AZ95" s="12"/>
      <c r="BA95" s="13"/>
      <c r="BB95" s="13"/>
      <c r="BC95" s="13"/>
      <c r="BD95" s="13"/>
      <c r="BE95" s="13"/>
      <c r="BF95" s="13"/>
      <c r="BG95" s="13"/>
      <c r="BH95" s="13"/>
      <c r="BI95" s="13"/>
      <c r="BJ95" s="5">
        <f>COUNTIF(M95,"*")+COUNTIF(W95,"*")+COUNTIF(AL95,"*")+COUNTIF(AZ95,"*")</f>
        <v>1</v>
      </c>
    </row>
    <row r="96" spans="1:63" ht="32.4" hidden="1" customHeight="1">
      <c r="A96" s="19">
        <v>5</v>
      </c>
      <c r="B96" s="19">
        <v>7</v>
      </c>
      <c r="C96" s="244" t="s">
        <v>382</v>
      </c>
      <c r="D96" s="244"/>
      <c r="E96" s="19"/>
      <c r="F96" s="19" t="s">
        <v>421</v>
      </c>
      <c r="G96" s="206"/>
      <c r="H96" s="206"/>
      <c r="I96" s="19"/>
      <c r="J96" s="19"/>
      <c r="K96" s="19"/>
      <c r="L96" s="19"/>
      <c r="M96" s="12"/>
      <c r="N96" s="13"/>
      <c r="O96" s="13"/>
      <c r="P96" s="13"/>
      <c r="Q96" s="13"/>
      <c r="R96" s="13"/>
      <c r="S96" s="13"/>
      <c r="T96" s="13"/>
      <c r="U96" s="167"/>
      <c r="V96" s="13"/>
      <c r="W96" s="13"/>
      <c r="X96" s="13"/>
      <c r="Y96" s="13"/>
      <c r="Z96" s="13"/>
      <c r="AA96" s="13"/>
      <c r="AB96" s="154"/>
      <c r="AC96" s="154"/>
      <c r="AD96" s="154"/>
      <c r="AE96" s="154"/>
      <c r="AF96" s="154"/>
      <c r="AG96" s="154"/>
      <c r="AH96" s="154"/>
      <c r="AI96" s="379"/>
      <c r="AJ96" s="167"/>
      <c r="AK96" s="13"/>
      <c r="AL96" s="17" t="s">
        <v>422</v>
      </c>
      <c r="AM96" s="374"/>
      <c r="AN96" s="319"/>
      <c r="AO96" s="374"/>
      <c r="AP96" s="319"/>
      <c r="AQ96" s="319" t="s">
        <v>390</v>
      </c>
      <c r="AR96" s="319" t="s">
        <v>423</v>
      </c>
      <c r="AS96" s="319" t="s">
        <v>423</v>
      </c>
      <c r="AT96" s="319" t="s">
        <v>420</v>
      </c>
      <c r="AU96" s="319"/>
      <c r="AV96" s="319"/>
      <c r="AW96" s="379"/>
      <c r="AX96" s="167"/>
      <c r="AY96" s="13"/>
      <c r="AZ96" s="12"/>
      <c r="BA96" s="13"/>
      <c r="BB96" s="13"/>
      <c r="BC96" s="13"/>
      <c r="BD96" s="13"/>
      <c r="BE96" s="13"/>
      <c r="BF96" s="13"/>
      <c r="BG96" s="13"/>
      <c r="BH96" s="13"/>
      <c r="BI96" s="13"/>
      <c r="BJ96" s="5">
        <f>COUNTIF(M96,"*")+COUNTIF(W96,"*")+COUNTIF(AL96,"*")+COUNTIF(AZ96,"*")</f>
        <v>1</v>
      </c>
    </row>
    <row r="97" spans="1:62" ht="32.4" hidden="1" customHeight="1">
      <c r="A97" s="19">
        <v>5</v>
      </c>
      <c r="B97" s="19">
        <v>8</v>
      </c>
      <c r="C97" s="244" t="s">
        <v>382</v>
      </c>
      <c r="D97" s="244"/>
      <c r="E97" s="19"/>
      <c r="F97" s="19" t="s">
        <v>424</v>
      </c>
      <c r="G97" s="206"/>
      <c r="H97" s="206"/>
      <c r="I97" s="226"/>
      <c r="J97" s="19"/>
      <c r="K97" s="226"/>
      <c r="L97" s="226"/>
      <c r="M97" s="195"/>
      <c r="N97" s="36"/>
      <c r="O97" s="13"/>
      <c r="P97" s="13"/>
      <c r="Q97" s="13"/>
      <c r="R97" s="13"/>
      <c r="S97" s="13"/>
      <c r="T97" s="13"/>
      <c r="U97" s="167"/>
      <c r="V97" s="13"/>
      <c r="W97" s="13"/>
      <c r="X97" s="36"/>
      <c r="Y97" s="36"/>
      <c r="Z97" s="36"/>
      <c r="AA97" s="13"/>
      <c r="AB97" s="262"/>
      <c r="AC97" s="262"/>
      <c r="AD97" s="262"/>
      <c r="AE97" s="262"/>
      <c r="AF97" s="262"/>
      <c r="AG97" s="262"/>
      <c r="AH97" s="262"/>
      <c r="AI97" s="379"/>
      <c r="AJ97" s="167"/>
      <c r="AK97" s="36"/>
      <c r="AL97" s="196" t="s">
        <v>425</v>
      </c>
      <c r="AM97" s="302"/>
      <c r="AN97" s="302"/>
      <c r="AO97" s="302"/>
      <c r="AP97" s="302"/>
      <c r="AQ97" s="319" t="s">
        <v>327</v>
      </c>
      <c r="AR97" s="319" t="s">
        <v>426</v>
      </c>
      <c r="AS97" s="319" t="s">
        <v>426</v>
      </c>
      <c r="AT97" s="319"/>
      <c r="AU97" s="319"/>
      <c r="AV97" s="319"/>
      <c r="AW97" s="379"/>
      <c r="AX97" s="167"/>
      <c r="AY97" s="13"/>
      <c r="AZ97" s="12"/>
      <c r="BA97" s="36"/>
      <c r="BB97" s="36"/>
      <c r="BC97" s="36"/>
      <c r="BD97" s="13"/>
      <c r="BE97" s="13"/>
      <c r="BF97" s="13"/>
      <c r="BG97" s="13"/>
      <c r="BH97" s="13"/>
      <c r="BI97" s="13"/>
      <c r="BJ97" s="5"/>
    </row>
    <row r="98" spans="1:62" ht="32.4" hidden="1" customHeight="1">
      <c r="A98" s="22">
        <v>5.0999999999999996</v>
      </c>
      <c r="B98" s="393">
        <v>1</v>
      </c>
      <c r="C98" s="394" t="s">
        <v>1596</v>
      </c>
      <c r="D98" s="245"/>
      <c r="E98" s="207"/>
      <c r="F98" s="395" t="s">
        <v>428</v>
      </c>
      <c r="G98" s="395" t="s">
        <v>429</v>
      </c>
      <c r="H98" s="207" t="str">
        <f>_xlfn.CONCAT("'&lt;br&gt;','&lt;b&gt;','",F98, ": ','&lt;/b&gt;',",G98, ",'&lt;/br&gt;',")</f>
        <v>'&lt;br&gt;','&lt;b&gt;','Sinuosity of Local Stream Reach: ','&lt;/b&gt;',Sin ,'&lt;/br&gt;',</v>
      </c>
      <c r="I98" s="396" t="s">
        <v>1979</v>
      </c>
      <c r="J98" s="23" t="s">
        <v>265</v>
      </c>
      <c r="K98" s="227"/>
      <c r="L98" s="396"/>
      <c r="M98" s="397"/>
      <c r="N98" s="309"/>
      <c r="O98" s="13"/>
      <c r="P98" s="13"/>
      <c r="Q98" s="13"/>
      <c r="R98" s="13"/>
      <c r="S98" s="13"/>
      <c r="T98" s="13"/>
      <c r="U98" s="167"/>
      <c r="V98" s="13"/>
      <c r="W98" s="13" t="s">
        <v>430</v>
      </c>
      <c r="X98" s="398" t="s">
        <v>1576</v>
      </c>
      <c r="Y98" s="163"/>
      <c r="Z98" s="163"/>
      <c r="AA98" s="13" t="s">
        <v>431</v>
      </c>
      <c r="AB98" s="262" t="s">
        <v>80</v>
      </c>
      <c r="AC98" s="262" t="s">
        <v>161</v>
      </c>
      <c r="AD98" s="262">
        <v>1</v>
      </c>
      <c r="AE98" s="262" t="s">
        <v>80</v>
      </c>
      <c r="AF98" s="262" t="s">
        <v>80</v>
      </c>
      <c r="AG98" s="262"/>
      <c r="AH98" s="262"/>
      <c r="AI98" s="379"/>
      <c r="AJ98" s="167"/>
      <c r="AK98" s="380"/>
      <c r="AL98" s="399" t="s">
        <v>432</v>
      </c>
      <c r="AM98" s="370"/>
      <c r="AN98" s="305" t="s">
        <v>432</v>
      </c>
      <c r="AO98" s="370"/>
      <c r="AP98" s="370"/>
      <c r="AQ98" s="21" t="s">
        <v>282</v>
      </c>
      <c r="AR98" s="21" t="s">
        <v>433</v>
      </c>
      <c r="AS98" s="262" t="s">
        <v>433</v>
      </c>
      <c r="AT98" s="21"/>
      <c r="AU98" s="21"/>
      <c r="AV98" s="21"/>
      <c r="AW98" s="21"/>
      <c r="AX98" s="167"/>
      <c r="AY98" s="13"/>
      <c r="AZ98" s="12" t="s">
        <v>428</v>
      </c>
      <c r="BA98" s="397" t="s">
        <v>434</v>
      </c>
      <c r="BB98" s="309"/>
      <c r="BC98" s="309"/>
      <c r="BD98" s="13" t="s">
        <v>435</v>
      </c>
      <c r="BE98" s="13" t="s">
        <v>303</v>
      </c>
      <c r="BF98" s="13"/>
      <c r="BG98" s="13"/>
      <c r="BH98" s="13"/>
      <c r="BI98" s="13"/>
      <c r="BJ98" s="351">
        <f>COUNTIF(M98,"*")+COUNTIF(W98,"*")+COUNTIF(AL98,"*")+COUNTIF(AZ98,"*")</f>
        <v>3</v>
      </c>
    </row>
    <row r="99" spans="1:62" ht="55.2" hidden="1">
      <c r="A99" s="22">
        <v>5.0999999999999996</v>
      </c>
      <c r="B99" s="438">
        <v>2</v>
      </c>
      <c r="C99" s="439" t="s">
        <v>1596</v>
      </c>
      <c r="D99" s="245"/>
      <c r="E99" s="207" t="s">
        <v>1624</v>
      </c>
      <c r="F99" s="440" t="s">
        <v>436</v>
      </c>
      <c r="G99" s="440" t="s">
        <v>437</v>
      </c>
      <c r="H99" s="207" t="str">
        <f>_xlfn.CONCAT("'&lt;br&gt;','&lt;b&gt;','",F99, ": ','&lt;/b&gt;',",G99, ",'&lt;/br&gt;',")</f>
        <v>'&lt;br&gt;','&lt;b&gt;','Percent of Reach that is Dry : ','&lt;/b&gt;',PctDry,'&lt;/br&gt;',</v>
      </c>
      <c r="I99" s="440" t="s">
        <v>1822</v>
      </c>
      <c r="J99" s="23" t="s">
        <v>265</v>
      </c>
      <c r="K99" s="227"/>
      <c r="L99" s="440"/>
      <c r="M99" s="201"/>
      <c r="N99" s="309"/>
      <c r="O99" s="192" t="s">
        <v>438</v>
      </c>
      <c r="P99" s="9"/>
      <c r="Q99" s="9"/>
      <c r="R99" s="9"/>
      <c r="S99" s="9"/>
      <c r="T99" s="9"/>
      <c r="U99" s="166"/>
      <c r="V99" s="9"/>
      <c r="W99" s="13" t="s">
        <v>437</v>
      </c>
      <c r="X99" s="278" t="s">
        <v>1578</v>
      </c>
      <c r="Y99" s="13"/>
      <c r="Z99" s="13"/>
      <c r="AA99" s="13" t="s">
        <v>439</v>
      </c>
      <c r="AB99" s="319" t="s">
        <v>309</v>
      </c>
      <c r="AC99" s="319" t="s">
        <v>279</v>
      </c>
      <c r="AD99" s="319">
        <v>0</v>
      </c>
      <c r="AE99" s="319">
        <v>100</v>
      </c>
      <c r="AF99" s="319" t="s">
        <v>80</v>
      </c>
      <c r="AG99" s="319"/>
      <c r="AH99" s="319"/>
      <c r="AI99" s="379"/>
      <c r="AJ99" s="166"/>
      <c r="AK99" s="166"/>
      <c r="AL99" s="369" t="s">
        <v>440</v>
      </c>
      <c r="AM99" s="264"/>
      <c r="AN99" s="369" t="s">
        <v>440</v>
      </c>
      <c r="AO99" s="264"/>
      <c r="AP99" s="264"/>
      <c r="AQ99" s="262" t="s">
        <v>327</v>
      </c>
      <c r="AR99" s="262" t="s">
        <v>441</v>
      </c>
      <c r="AS99" s="262" t="s">
        <v>441</v>
      </c>
      <c r="AT99" s="262"/>
      <c r="AU99" s="262" t="s">
        <v>442</v>
      </c>
      <c r="AV99" s="262"/>
      <c r="AW99" s="379"/>
      <c r="AX99" s="166"/>
      <c r="AY99" s="9"/>
      <c r="AZ99" s="12"/>
      <c r="BA99" s="201"/>
      <c r="BB99" s="236"/>
      <c r="BC99" s="236"/>
      <c r="BD99" s="13"/>
      <c r="BE99" s="13"/>
      <c r="BF99" s="13"/>
      <c r="BG99" s="13"/>
      <c r="BH99" s="13"/>
      <c r="BI99" s="13"/>
      <c r="BJ99" s="278">
        <f>COUNTIF(O99,"*")+COUNTIF(W99,"*")+COUNTIF(AL99,"*")+COUNTIF(AZ99,"*")</f>
        <v>3</v>
      </c>
    </row>
    <row r="100" spans="1:62" ht="27.6" hidden="1">
      <c r="A100" s="22">
        <v>5.0999999999999996</v>
      </c>
      <c r="B100" s="410">
        <v>3</v>
      </c>
      <c r="C100" s="411" t="s">
        <v>1596</v>
      </c>
      <c r="D100" s="245"/>
      <c r="E100" s="207"/>
      <c r="F100" s="396" t="s">
        <v>443</v>
      </c>
      <c r="G100" s="396" t="s">
        <v>444</v>
      </c>
      <c r="H100" s="207" t="str">
        <f>_xlfn.CONCAT("'&lt;br&gt;','&lt;b&gt;','",F100, ": ','&lt;/b&gt;',",G100, ",'&lt;/br&gt;',")</f>
        <v>'&lt;br&gt;','&lt;b&gt;','Beaver Sign at Reach  : ','&lt;/b&gt;',Beaver,'&lt;/br&gt;',</v>
      </c>
      <c r="I100" s="396" t="s">
        <v>1832</v>
      </c>
      <c r="J100" s="207" t="s">
        <v>1888</v>
      </c>
      <c r="K100" s="227"/>
      <c r="L100" s="396"/>
      <c r="M100" s="412"/>
      <c r="N100" s="309"/>
      <c r="O100" s="13" t="s">
        <v>445</v>
      </c>
      <c r="P100" s="13"/>
      <c r="Q100" s="13"/>
      <c r="R100" s="13"/>
      <c r="S100" s="13"/>
      <c r="T100" s="13"/>
      <c r="U100" s="167"/>
      <c r="V100" s="13"/>
      <c r="W100" s="13" t="s">
        <v>446</v>
      </c>
      <c r="X100" s="271" t="s">
        <v>1739</v>
      </c>
      <c r="Y100" s="13"/>
      <c r="Z100" s="13"/>
      <c r="AA100" s="13" t="s">
        <v>447</v>
      </c>
      <c r="AB100" s="319" t="s">
        <v>80</v>
      </c>
      <c r="AC100" s="319" t="s">
        <v>161</v>
      </c>
      <c r="AD100" s="319" t="s">
        <v>448</v>
      </c>
      <c r="AE100" s="319" t="s">
        <v>449</v>
      </c>
      <c r="AF100" s="319" t="s">
        <v>80</v>
      </c>
      <c r="AG100" s="319"/>
      <c r="AH100" s="319"/>
      <c r="AI100" s="379"/>
      <c r="AJ100" s="167"/>
      <c r="AK100" s="167"/>
      <c r="AL100" s="412"/>
      <c r="AM100" s="236"/>
      <c r="AN100" s="310"/>
      <c r="AO100" s="236"/>
      <c r="AP100" s="236"/>
      <c r="AQ100" s="13"/>
      <c r="AR100" s="13"/>
      <c r="AS100" s="13"/>
      <c r="AT100" s="13"/>
      <c r="AU100" s="13"/>
      <c r="AV100" s="13"/>
      <c r="AW100" s="13"/>
      <c r="AX100" s="167"/>
      <c r="AY100" s="13"/>
      <c r="AZ100" s="12"/>
      <c r="BA100" s="412"/>
      <c r="BB100" s="236"/>
      <c r="BC100" s="236"/>
      <c r="BD100" s="13"/>
      <c r="BE100" s="13"/>
      <c r="BF100" s="13"/>
      <c r="BG100" s="13"/>
      <c r="BH100" s="13"/>
      <c r="BI100" s="13"/>
      <c r="BJ100" s="413">
        <f>COUNTIF(O100,"*")+COUNTIF(W100,"*")+COUNTIF(AL100,"*")+COUNTIF(AZ100,"*")</f>
        <v>2</v>
      </c>
    </row>
    <row r="101" spans="1:62" ht="27.6" hidden="1">
      <c r="A101" s="22">
        <v>5.0999999999999996</v>
      </c>
      <c r="B101" s="438">
        <v>4</v>
      </c>
      <c r="C101" s="439" t="s">
        <v>1596</v>
      </c>
      <c r="D101" s="245"/>
      <c r="E101" s="207" t="s">
        <v>1624</v>
      </c>
      <c r="F101" s="440" t="s">
        <v>450</v>
      </c>
      <c r="G101" s="440" t="s">
        <v>451</v>
      </c>
      <c r="H101" s="207" t="str">
        <f>_xlfn.CONCAT("'&lt;br&gt;','&lt;b&gt;','",F101, ": ','&lt;/b&gt;',",G101, ",'&lt;/br&gt;',")</f>
        <v>'&lt;br&gt;','&lt;b&gt;','Stream Order : ','&lt;/b&gt;',StreamOrder,'&lt;/br&gt;',</v>
      </c>
      <c r="I101" s="440" t="s">
        <v>1830</v>
      </c>
      <c r="J101" s="23" t="s">
        <v>265</v>
      </c>
      <c r="K101" s="227"/>
      <c r="L101" s="440"/>
      <c r="M101" s="201"/>
      <c r="N101" s="309"/>
      <c r="O101" s="13"/>
      <c r="P101" s="13"/>
      <c r="Q101" s="13"/>
      <c r="R101" s="13"/>
      <c r="S101" s="13"/>
      <c r="T101" s="13"/>
      <c r="U101" s="167"/>
      <c r="V101" s="13"/>
      <c r="W101" s="13" t="s">
        <v>451</v>
      </c>
      <c r="X101" s="278" t="s">
        <v>1743</v>
      </c>
      <c r="Y101" s="36"/>
      <c r="Z101" s="36"/>
      <c r="AA101" s="13" t="s">
        <v>452</v>
      </c>
      <c r="AB101" s="319" t="s">
        <v>80</v>
      </c>
      <c r="AC101" s="319" t="s">
        <v>80</v>
      </c>
      <c r="AD101" s="319">
        <v>1</v>
      </c>
      <c r="AE101" s="319" t="s">
        <v>161</v>
      </c>
      <c r="AF101" s="319" t="s">
        <v>80</v>
      </c>
      <c r="AG101" s="319"/>
      <c r="AH101" s="319"/>
      <c r="AI101" s="379"/>
      <c r="AJ101" s="167"/>
      <c r="AK101" s="350"/>
      <c r="AL101" s="369" t="s">
        <v>453</v>
      </c>
      <c r="AM101" s="288"/>
      <c r="AN101" s="369"/>
      <c r="AO101" s="288"/>
      <c r="AP101" s="288"/>
      <c r="AQ101" s="13"/>
      <c r="AR101" s="319" t="s">
        <v>454</v>
      </c>
      <c r="AS101" s="319" t="s">
        <v>454</v>
      </c>
      <c r="AT101" s="319"/>
      <c r="AU101" s="319"/>
      <c r="AV101" s="319"/>
      <c r="AW101" s="379"/>
      <c r="AX101" s="167"/>
      <c r="AY101" s="13"/>
      <c r="AZ101" s="12"/>
      <c r="BA101" s="201"/>
      <c r="BB101" s="281"/>
      <c r="BC101" s="281"/>
      <c r="BD101" s="13"/>
      <c r="BE101" s="13"/>
      <c r="BF101" s="13"/>
      <c r="BG101" s="13"/>
      <c r="BH101" s="13"/>
      <c r="BI101" s="13"/>
      <c r="BJ101" s="278">
        <f>COUNTIF(M101,"*")+COUNTIF(W101,"*")+COUNTIF(AL101,"*")+COUNTIF(AZ101,"*")</f>
        <v>2</v>
      </c>
    </row>
    <row r="102" spans="1:62" ht="27.6" hidden="1">
      <c r="A102" s="22">
        <v>5.0999999999999996</v>
      </c>
      <c r="B102" s="414">
        <v>5</v>
      </c>
      <c r="C102" s="415" t="s">
        <v>1596</v>
      </c>
      <c r="D102" s="245"/>
      <c r="E102" s="23"/>
      <c r="F102" s="228" t="s">
        <v>436</v>
      </c>
      <c r="G102" s="227"/>
      <c r="H102" s="207"/>
      <c r="I102" s="228"/>
      <c r="J102" s="23"/>
      <c r="K102" s="228"/>
      <c r="L102" s="228"/>
      <c r="M102" s="416"/>
      <c r="N102" s="309"/>
      <c r="O102" s="13"/>
      <c r="P102" s="13"/>
      <c r="Q102" s="13"/>
      <c r="R102" s="13"/>
      <c r="S102" s="13"/>
      <c r="T102" s="13"/>
      <c r="U102" s="167"/>
      <c r="V102" s="13"/>
      <c r="W102" s="13"/>
      <c r="X102" s="417"/>
      <c r="Y102" s="36"/>
      <c r="Z102" s="36"/>
      <c r="AA102" s="13"/>
      <c r="AB102" s="13"/>
      <c r="AC102" s="13"/>
      <c r="AD102" s="13"/>
      <c r="AE102" s="13"/>
      <c r="AF102" s="13"/>
      <c r="AG102" s="13"/>
      <c r="AH102" s="13"/>
      <c r="AI102" s="13"/>
      <c r="AJ102" s="167"/>
      <c r="AK102" s="350"/>
      <c r="AL102" s="418" t="s">
        <v>455</v>
      </c>
      <c r="AM102" s="302"/>
      <c r="AN102" s="237"/>
      <c r="AO102" s="302"/>
      <c r="AP102" s="302"/>
      <c r="AQ102" s="262" t="s">
        <v>405</v>
      </c>
      <c r="AR102" s="154" t="s">
        <v>456</v>
      </c>
      <c r="AS102" s="154" t="s">
        <v>456</v>
      </c>
      <c r="AT102" s="154"/>
      <c r="AU102" s="154" t="s">
        <v>442</v>
      </c>
      <c r="AV102" s="154"/>
      <c r="AW102" s="379"/>
      <c r="AX102" s="167"/>
      <c r="AY102" s="13"/>
      <c r="AZ102" s="12"/>
      <c r="BA102" s="417"/>
      <c r="BB102" s="36"/>
      <c r="BC102" s="36"/>
      <c r="BD102" s="13"/>
      <c r="BE102" s="13"/>
      <c r="BF102" s="13"/>
      <c r="BG102" s="13"/>
      <c r="BH102" s="13"/>
      <c r="BI102" s="13"/>
      <c r="BJ102" s="339">
        <f>COUNTIF(M102,"*")+COUNTIF(W102,"*")+COUNTIF(AL102,"*")+COUNTIF(AZ102,"*")</f>
        <v>1</v>
      </c>
    </row>
    <row r="103" spans="1:62" ht="13.8" hidden="1">
      <c r="A103" s="22">
        <v>5.0999999999999996</v>
      </c>
      <c r="B103" s="22">
        <v>6</v>
      </c>
      <c r="C103" s="245" t="s">
        <v>1596</v>
      </c>
      <c r="D103" s="245"/>
      <c r="E103" s="23"/>
      <c r="F103" s="23" t="s">
        <v>457</v>
      </c>
      <c r="G103" s="207"/>
      <c r="H103" s="207"/>
      <c r="I103" s="228"/>
      <c r="J103" s="23"/>
      <c r="K103" s="228"/>
      <c r="L103" s="228"/>
      <c r="M103" s="197"/>
      <c r="N103" s="309"/>
      <c r="O103" s="13"/>
      <c r="P103" s="13"/>
      <c r="Q103" s="13"/>
      <c r="R103" s="13"/>
      <c r="S103" s="13"/>
      <c r="T103" s="13"/>
      <c r="U103" s="167"/>
      <c r="V103" s="13"/>
      <c r="W103" s="13"/>
      <c r="X103" s="163"/>
      <c r="Y103" s="163"/>
      <c r="Z103" s="163"/>
      <c r="AA103" s="13"/>
      <c r="AB103" s="13"/>
      <c r="AC103" s="13"/>
      <c r="AD103" s="13"/>
      <c r="AE103" s="13"/>
      <c r="AF103" s="13"/>
      <c r="AG103" s="13"/>
      <c r="AH103" s="13"/>
      <c r="AI103" s="13"/>
      <c r="AJ103" s="167"/>
      <c r="AK103" s="163"/>
      <c r="AL103" s="200" t="s">
        <v>458</v>
      </c>
      <c r="AM103" s="164"/>
      <c r="AN103" s="164"/>
      <c r="AO103" s="164"/>
      <c r="AP103" s="164"/>
      <c r="AQ103" s="262" t="s">
        <v>427</v>
      </c>
      <c r="AR103" s="262" t="s">
        <v>457</v>
      </c>
      <c r="AS103" s="262" t="s">
        <v>457</v>
      </c>
      <c r="AT103" s="262"/>
      <c r="AU103" s="262"/>
      <c r="AV103" s="262"/>
      <c r="AW103" s="379"/>
      <c r="AX103" s="167"/>
      <c r="AY103" s="13"/>
      <c r="AZ103" s="12"/>
      <c r="BA103" s="163"/>
      <c r="BB103" s="163"/>
      <c r="BC103" s="163"/>
      <c r="BD103" s="13"/>
      <c r="BE103" s="13"/>
      <c r="BF103" s="13"/>
      <c r="BG103" s="13"/>
      <c r="BH103" s="13"/>
      <c r="BI103" s="13"/>
      <c r="BJ103" s="5">
        <f>COUNTIF(M103,"*")+COUNTIF(W103,"*")+COUNTIF(AL103,"*")+COUNTIF(AZ103,"*")</f>
        <v>1</v>
      </c>
    </row>
    <row r="104" spans="1:62" ht="13.8" hidden="1">
      <c r="A104" s="22">
        <v>5.0999999999999996</v>
      </c>
      <c r="B104" s="22">
        <v>7</v>
      </c>
      <c r="C104" s="245" t="s">
        <v>1596</v>
      </c>
      <c r="D104" s="245"/>
      <c r="E104" s="23"/>
      <c r="F104" s="23" t="s">
        <v>459</v>
      </c>
      <c r="G104" s="207"/>
      <c r="H104" s="207"/>
      <c r="I104" s="228"/>
      <c r="J104" s="23"/>
      <c r="K104" s="228"/>
      <c r="L104" s="228"/>
      <c r="M104" s="197"/>
      <c r="N104" s="309"/>
      <c r="O104" s="13"/>
      <c r="P104" s="13"/>
      <c r="Q104" s="13"/>
      <c r="R104" s="13"/>
      <c r="S104" s="13"/>
      <c r="T104" s="13"/>
      <c r="U104" s="167"/>
      <c r="V104" s="13"/>
      <c r="W104" s="13"/>
      <c r="X104" s="13"/>
      <c r="Y104" s="13"/>
      <c r="Z104" s="13"/>
      <c r="AA104" s="13"/>
      <c r="AB104" s="13"/>
      <c r="AC104" s="13"/>
      <c r="AD104" s="13"/>
      <c r="AE104" s="13"/>
      <c r="AF104" s="13"/>
      <c r="AG104" s="13"/>
      <c r="AH104" s="13"/>
      <c r="AI104" s="13"/>
      <c r="AJ104" s="167"/>
      <c r="AK104" s="13"/>
      <c r="AL104" s="17" t="s">
        <v>460</v>
      </c>
      <c r="AM104" s="374"/>
      <c r="AN104" s="263"/>
      <c r="AO104" s="374"/>
      <c r="AP104" s="317"/>
      <c r="AQ104" s="262" t="s">
        <v>427</v>
      </c>
      <c r="AR104" s="262" t="s">
        <v>459</v>
      </c>
      <c r="AS104" s="262" t="s">
        <v>459</v>
      </c>
      <c r="AT104" s="262"/>
      <c r="AU104" s="262"/>
      <c r="AV104" s="262"/>
      <c r="AW104" s="379"/>
      <c r="AX104" s="167"/>
      <c r="AY104" s="13"/>
      <c r="AZ104" s="12"/>
      <c r="BA104" s="13"/>
      <c r="BB104" s="13"/>
      <c r="BC104" s="13"/>
      <c r="BD104" s="13"/>
      <c r="BE104" s="13"/>
      <c r="BF104" s="13"/>
      <c r="BG104" s="13"/>
      <c r="BH104" s="13"/>
      <c r="BI104" s="13"/>
      <c r="BJ104" s="5">
        <f>COUNTIF(M104,"*")+COUNTIF(W104,"*")+COUNTIF(AL104,"*")+COUNTIF(AZ104,"*")</f>
        <v>1</v>
      </c>
    </row>
    <row r="105" spans="1:62" ht="27.6" hidden="1">
      <c r="A105" s="22">
        <v>5.0999999999999996</v>
      </c>
      <c r="B105" s="22">
        <v>8</v>
      </c>
      <c r="C105" s="245" t="s">
        <v>1596</v>
      </c>
      <c r="D105" s="245"/>
      <c r="E105" s="23"/>
      <c r="F105" s="23" t="s">
        <v>461</v>
      </c>
      <c r="G105" s="207"/>
      <c r="H105" s="207"/>
      <c r="I105" s="228"/>
      <c r="J105" s="23"/>
      <c r="K105" s="228"/>
      <c r="L105" s="228"/>
      <c r="M105" s="197"/>
      <c r="N105" s="309"/>
      <c r="O105" s="13"/>
      <c r="P105" s="13"/>
      <c r="Q105" s="13"/>
      <c r="R105" s="13"/>
      <c r="S105" s="13"/>
      <c r="T105" s="13"/>
      <c r="U105" s="167"/>
      <c r="V105" s="13"/>
      <c r="W105" s="13"/>
      <c r="X105" s="13"/>
      <c r="Y105" s="13"/>
      <c r="Z105" s="13"/>
      <c r="AA105" s="13"/>
      <c r="AB105" s="13"/>
      <c r="AC105" s="13"/>
      <c r="AD105" s="13"/>
      <c r="AE105" s="13"/>
      <c r="AF105" s="13"/>
      <c r="AG105" s="13"/>
      <c r="AH105" s="13"/>
      <c r="AI105" s="13"/>
      <c r="AJ105" s="167"/>
      <c r="AK105" s="13"/>
      <c r="AL105" s="17" t="s">
        <v>462</v>
      </c>
      <c r="AM105" s="374"/>
      <c r="AN105" s="319"/>
      <c r="AO105" s="374"/>
      <c r="AP105" s="319"/>
      <c r="AQ105" s="319" t="s">
        <v>427</v>
      </c>
      <c r="AR105" s="319" t="s">
        <v>461</v>
      </c>
      <c r="AS105" s="319" t="s">
        <v>461</v>
      </c>
      <c r="AT105" s="319"/>
      <c r="AU105" s="319"/>
      <c r="AV105" s="319"/>
      <c r="AW105" s="379"/>
      <c r="AX105" s="167"/>
      <c r="AY105" s="13"/>
      <c r="AZ105" s="12"/>
      <c r="BA105" s="13"/>
      <c r="BB105" s="13"/>
      <c r="BC105" s="13"/>
      <c r="BD105" s="13"/>
      <c r="BE105" s="13"/>
      <c r="BF105" s="13"/>
      <c r="BG105" s="13"/>
      <c r="BH105" s="13"/>
      <c r="BI105" s="13"/>
      <c r="BJ105" s="5">
        <f>COUNTIF(M105,"*")+COUNTIF(W105,"*")+COUNTIF(AL105,"*")+COUNTIF(AZ105,"*")</f>
        <v>1</v>
      </c>
    </row>
    <row r="106" spans="1:62" ht="13.8" hidden="1">
      <c r="A106" s="22">
        <v>5.0999999999999996</v>
      </c>
      <c r="B106" s="22">
        <v>9</v>
      </c>
      <c r="C106" s="245" t="s">
        <v>1596</v>
      </c>
      <c r="D106" s="245"/>
      <c r="E106" s="23"/>
      <c r="F106" s="23" t="s">
        <v>463</v>
      </c>
      <c r="G106" s="207"/>
      <c r="H106" s="207"/>
      <c r="I106" s="228"/>
      <c r="J106" s="23"/>
      <c r="K106" s="228"/>
      <c r="L106" s="228"/>
      <c r="M106" s="197"/>
      <c r="N106" s="309"/>
      <c r="O106" s="13"/>
      <c r="P106" s="13"/>
      <c r="Q106" s="13"/>
      <c r="R106" s="13"/>
      <c r="S106" s="13"/>
      <c r="T106" s="13"/>
      <c r="U106" s="167"/>
      <c r="V106" s="13"/>
      <c r="W106" s="13"/>
      <c r="X106" s="13"/>
      <c r="Y106" s="13"/>
      <c r="Z106" s="13"/>
      <c r="AA106" s="13"/>
      <c r="AB106" s="13"/>
      <c r="AC106" s="13"/>
      <c r="AD106" s="13"/>
      <c r="AE106" s="13"/>
      <c r="AF106" s="13"/>
      <c r="AG106" s="13"/>
      <c r="AH106" s="13"/>
      <c r="AI106" s="13"/>
      <c r="AJ106" s="167"/>
      <c r="AK106" s="13"/>
      <c r="AL106" s="17" t="s">
        <v>464</v>
      </c>
      <c r="AM106" s="374"/>
      <c r="AN106" s="319"/>
      <c r="AO106" s="374"/>
      <c r="AP106" s="319"/>
      <c r="AQ106" s="319" t="s">
        <v>427</v>
      </c>
      <c r="AR106" s="319" t="s">
        <v>465</v>
      </c>
      <c r="AS106" s="319" t="s">
        <v>465</v>
      </c>
      <c r="AT106" s="319"/>
      <c r="AU106" s="319"/>
      <c r="AV106" s="319"/>
      <c r="AW106" s="379"/>
      <c r="AX106" s="167"/>
      <c r="AY106" s="13"/>
      <c r="AZ106" s="12"/>
      <c r="BA106" s="13"/>
      <c r="BB106" s="13"/>
      <c r="BC106" s="13"/>
      <c r="BD106" s="13"/>
      <c r="BE106" s="13"/>
      <c r="BF106" s="13"/>
      <c r="BG106" s="13"/>
      <c r="BH106" s="13"/>
      <c r="BI106" s="13"/>
      <c r="BJ106" s="5">
        <f>COUNTIF(M106,"*")+COUNTIF(W106,"*")+COUNTIF(AL106,"*")+COUNTIF(AZ106,"*")</f>
        <v>1</v>
      </c>
    </row>
    <row r="107" spans="1:62" ht="13.8" hidden="1">
      <c r="A107" s="22">
        <v>5.0999999999999996</v>
      </c>
      <c r="B107" s="22">
        <v>10</v>
      </c>
      <c r="C107" s="245" t="s">
        <v>1596</v>
      </c>
      <c r="D107" s="245"/>
      <c r="E107" s="23"/>
      <c r="F107" s="23" t="s">
        <v>466</v>
      </c>
      <c r="G107" s="207"/>
      <c r="H107" s="207"/>
      <c r="I107" s="228"/>
      <c r="J107" s="23"/>
      <c r="K107" s="228"/>
      <c r="L107" s="228"/>
      <c r="M107" s="197"/>
      <c r="N107" s="309"/>
      <c r="O107" s="13"/>
      <c r="P107" s="13"/>
      <c r="Q107" s="13"/>
      <c r="R107" s="13"/>
      <c r="S107" s="13"/>
      <c r="T107" s="13"/>
      <c r="U107" s="167"/>
      <c r="V107" s="13"/>
      <c r="W107" s="13"/>
      <c r="X107" s="13"/>
      <c r="Y107" s="13"/>
      <c r="Z107" s="13"/>
      <c r="AA107" s="13"/>
      <c r="AB107" s="13"/>
      <c r="AC107" s="13"/>
      <c r="AD107" s="13"/>
      <c r="AE107" s="13"/>
      <c r="AF107" s="13"/>
      <c r="AG107" s="13"/>
      <c r="AH107" s="13"/>
      <c r="AI107" s="13"/>
      <c r="AJ107" s="167"/>
      <c r="AK107" s="13"/>
      <c r="AL107" s="17" t="s">
        <v>467</v>
      </c>
      <c r="AM107" s="374"/>
      <c r="AN107" s="263"/>
      <c r="AO107" s="374"/>
      <c r="AP107" s="317"/>
      <c r="AQ107" s="262" t="s">
        <v>427</v>
      </c>
      <c r="AR107" s="154" t="s">
        <v>468</v>
      </c>
      <c r="AS107" s="154" t="s">
        <v>468</v>
      </c>
      <c r="AT107" s="154"/>
      <c r="AU107" s="154"/>
      <c r="AV107" s="154"/>
      <c r="AW107" s="379"/>
      <c r="AX107" s="167"/>
      <c r="AY107" s="13"/>
      <c r="AZ107" s="12"/>
      <c r="BA107" s="13"/>
      <c r="BB107" s="13"/>
      <c r="BC107" s="13"/>
      <c r="BD107" s="13"/>
      <c r="BE107" s="13"/>
      <c r="BF107" s="13"/>
      <c r="BG107" s="13"/>
      <c r="BH107" s="13"/>
      <c r="BI107" s="13"/>
      <c r="BJ107" s="5">
        <f>COUNTIF(M107,"*")+COUNTIF(W107,"*")+COUNTIF(AL107,"*")+COUNTIF(AZ107,"*")</f>
        <v>1</v>
      </c>
    </row>
    <row r="108" spans="1:62" ht="13.8" hidden="1">
      <c r="A108" s="22">
        <v>5.0999999999999996</v>
      </c>
      <c r="B108" s="22">
        <v>11</v>
      </c>
      <c r="C108" s="245" t="s">
        <v>1596</v>
      </c>
      <c r="D108" s="245"/>
      <c r="E108" s="23"/>
      <c r="F108" s="23" t="s">
        <v>469</v>
      </c>
      <c r="G108" s="207"/>
      <c r="H108" s="207"/>
      <c r="I108" s="228"/>
      <c r="J108" s="23"/>
      <c r="K108" s="228"/>
      <c r="L108" s="228"/>
      <c r="M108" s="197"/>
      <c r="N108" s="309"/>
      <c r="O108" s="13"/>
      <c r="P108" s="13"/>
      <c r="Q108" s="13"/>
      <c r="R108" s="13"/>
      <c r="S108" s="13"/>
      <c r="T108" s="13"/>
      <c r="U108" s="167"/>
      <c r="V108" s="13"/>
      <c r="W108" s="13"/>
      <c r="X108" s="13"/>
      <c r="Y108" s="13"/>
      <c r="Z108" s="13"/>
      <c r="AA108" s="13"/>
      <c r="AB108" s="13"/>
      <c r="AC108" s="13"/>
      <c r="AD108" s="13"/>
      <c r="AE108" s="13"/>
      <c r="AF108" s="13"/>
      <c r="AG108" s="13"/>
      <c r="AH108" s="13"/>
      <c r="AI108" s="13"/>
      <c r="AJ108" s="167"/>
      <c r="AK108" s="13"/>
      <c r="AL108" s="17" t="s">
        <v>470</v>
      </c>
      <c r="AM108" s="374"/>
      <c r="AN108" s="319"/>
      <c r="AO108" s="374"/>
      <c r="AP108" s="319"/>
      <c r="AQ108" s="319" t="s">
        <v>427</v>
      </c>
      <c r="AR108" s="319" t="s">
        <v>471</v>
      </c>
      <c r="AS108" s="319" t="s">
        <v>471</v>
      </c>
      <c r="AT108" s="319"/>
      <c r="AU108" s="319"/>
      <c r="AV108" s="319"/>
      <c r="AW108" s="379"/>
      <c r="AX108" s="167"/>
      <c r="AY108" s="13"/>
      <c r="AZ108" s="12"/>
      <c r="BA108" s="13"/>
      <c r="BB108" s="13"/>
      <c r="BC108" s="13"/>
      <c r="BD108" s="13"/>
      <c r="BE108" s="13"/>
      <c r="BF108" s="13"/>
      <c r="BG108" s="13"/>
      <c r="BH108" s="13"/>
      <c r="BI108" s="13"/>
      <c r="BJ108" s="5">
        <f>COUNTIF(M108,"*")+COUNTIF(W108,"*")+COUNTIF(AL108,"*")+COUNTIF(AZ108,"*")</f>
        <v>1</v>
      </c>
    </row>
    <row r="109" spans="1:62" ht="27.6" hidden="1">
      <c r="A109" s="22">
        <v>5.0999999999999996</v>
      </c>
      <c r="B109" s="22">
        <v>12</v>
      </c>
      <c r="C109" s="245" t="s">
        <v>1596</v>
      </c>
      <c r="D109" s="245"/>
      <c r="E109" s="23"/>
      <c r="F109" s="23" t="s">
        <v>472</v>
      </c>
      <c r="G109" s="207"/>
      <c r="H109" s="207"/>
      <c r="I109" s="228"/>
      <c r="J109" s="23"/>
      <c r="K109" s="228"/>
      <c r="L109" s="228"/>
      <c r="M109" s="197"/>
      <c r="N109" s="309"/>
      <c r="O109" s="13"/>
      <c r="P109" s="13"/>
      <c r="Q109" s="13"/>
      <c r="R109" s="13"/>
      <c r="S109" s="13"/>
      <c r="T109" s="13"/>
      <c r="U109" s="167"/>
      <c r="V109" s="13"/>
      <c r="W109" s="13"/>
      <c r="X109" s="13"/>
      <c r="Y109" s="13"/>
      <c r="Z109" s="13"/>
      <c r="AA109" s="13"/>
      <c r="AB109" s="13"/>
      <c r="AC109" s="13"/>
      <c r="AD109" s="13"/>
      <c r="AE109" s="13"/>
      <c r="AF109" s="13"/>
      <c r="AG109" s="13"/>
      <c r="AH109" s="13"/>
      <c r="AI109" s="13"/>
      <c r="AJ109" s="167"/>
      <c r="AK109" s="13"/>
      <c r="AL109" s="17" t="s">
        <v>473</v>
      </c>
      <c r="AM109" s="374"/>
      <c r="AN109" s="319"/>
      <c r="AO109" s="374"/>
      <c r="AP109" s="319"/>
      <c r="AQ109" s="319" t="s">
        <v>427</v>
      </c>
      <c r="AR109" s="319" t="s">
        <v>474</v>
      </c>
      <c r="AS109" s="319"/>
      <c r="AT109" s="319"/>
      <c r="AU109" s="319"/>
      <c r="AV109" s="319"/>
      <c r="AW109" s="379"/>
      <c r="AX109" s="167"/>
      <c r="AY109" s="13"/>
      <c r="AZ109" s="12"/>
      <c r="BA109" s="13"/>
      <c r="BB109" s="13"/>
      <c r="BC109" s="13"/>
      <c r="BD109" s="13"/>
      <c r="BE109" s="13"/>
      <c r="BF109" s="13"/>
      <c r="BG109" s="13"/>
      <c r="BH109" s="13"/>
      <c r="BI109" s="13"/>
      <c r="BJ109" s="5">
        <f>COUNTIF(M109,"*")+COUNTIF(W109,"*")+COUNTIF(AL109,"*")+COUNTIF(AZ109,"*")</f>
        <v>1</v>
      </c>
    </row>
    <row r="110" spans="1:62" ht="27.6" hidden="1">
      <c r="A110" s="22">
        <v>5.0999999999999996</v>
      </c>
      <c r="B110" s="22">
        <v>13</v>
      </c>
      <c r="C110" s="245" t="s">
        <v>1596</v>
      </c>
      <c r="D110" s="245"/>
      <c r="E110" s="23"/>
      <c r="F110" s="23" t="s">
        <v>475</v>
      </c>
      <c r="G110" s="207"/>
      <c r="H110" s="207"/>
      <c r="I110" s="228"/>
      <c r="J110" s="23"/>
      <c r="K110" s="228"/>
      <c r="L110" s="228"/>
      <c r="M110" s="197"/>
      <c r="N110" s="309"/>
      <c r="O110" s="13"/>
      <c r="P110" s="13"/>
      <c r="Q110" s="13"/>
      <c r="R110" s="13"/>
      <c r="S110" s="13"/>
      <c r="T110" s="13"/>
      <c r="U110" s="167"/>
      <c r="V110" s="13"/>
      <c r="W110" s="13"/>
      <c r="X110" s="13"/>
      <c r="Y110" s="13"/>
      <c r="Z110" s="13"/>
      <c r="AA110" s="13"/>
      <c r="AB110" s="13"/>
      <c r="AC110" s="13"/>
      <c r="AD110" s="13"/>
      <c r="AE110" s="13"/>
      <c r="AF110" s="13"/>
      <c r="AG110" s="13"/>
      <c r="AH110" s="13"/>
      <c r="AI110" s="13"/>
      <c r="AJ110" s="167"/>
      <c r="AK110" s="13"/>
      <c r="AL110" s="17" t="s">
        <v>476</v>
      </c>
      <c r="AM110" s="374"/>
      <c r="AN110" s="319"/>
      <c r="AO110" s="374"/>
      <c r="AP110" s="319"/>
      <c r="AQ110" s="319" t="s">
        <v>427</v>
      </c>
      <c r="AR110" s="319" t="s">
        <v>477</v>
      </c>
      <c r="AS110" s="319"/>
      <c r="AT110" s="319"/>
      <c r="AU110" s="319"/>
      <c r="AV110" s="319"/>
      <c r="AW110" s="379"/>
      <c r="AX110" s="167"/>
      <c r="AY110" s="13"/>
      <c r="AZ110" s="12"/>
      <c r="BA110" s="13"/>
      <c r="BB110" s="13"/>
      <c r="BC110" s="13"/>
      <c r="BD110" s="13"/>
      <c r="BE110" s="13"/>
      <c r="BF110" s="13"/>
      <c r="BG110" s="13"/>
      <c r="BH110" s="13"/>
      <c r="BI110" s="13"/>
      <c r="BJ110" s="5">
        <f>COUNTIF(M110,"*")+COUNTIF(W110,"*")+COUNTIF(AL110,"*")+COUNTIF(AZ110,"*")</f>
        <v>1</v>
      </c>
    </row>
    <row r="111" spans="1:62" ht="13.8" hidden="1">
      <c r="A111" s="22">
        <v>5.0999999999999996</v>
      </c>
      <c r="B111" s="22">
        <v>14</v>
      </c>
      <c r="C111" s="245" t="s">
        <v>1596</v>
      </c>
      <c r="D111" s="245"/>
      <c r="E111" s="23"/>
      <c r="F111" s="23" t="s">
        <v>456</v>
      </c>
      <c r="G111" s="207"/>
      <c r="H111" s="207"/>
      <c r="I111" s="228"/>
      <c r="J111" s="23"/>
      <c r="K111" s="228"/>
      <c r="L111" s="228"/>
      <c r="M111" s="197"/>
      <c r="N111" s="309"/>
      <c r="O111" s="13"/>
      <c r="P111" s="13"/>
      <c r="Q111" s="13"/>
      <c r="R111" s="13"/>
      <c r="S111" s="13"/>
      <c r="T111" s="13"/>
      <c r="U111" s="167"/>
      <c r="V111" s="13"/>
      <c r="W111" s="13"/>
      <c r="X111" s="13"/>
      <c r="Y111" s="13"/>
      <c r="Z111" s="13"/>
      <c r="AA111" s="13"/>
      <c r="AB111" s="13"/>
      <c r="AC111" s="13"/>
      <c r="AD111" s="13"/>
      <c r="AE111" s="13"/>
      <c r="AF111" s="13"/>
      <c r="AG111" s="13"/>
      <c r="AH111" s="13"/>
      <c r="AI111" s="13"/>
      <c r="AJ111" s="167"/>
      <c r="AK111" s="13"/>
      <c r="AL111" s="17" t="s">
        <v>455</v>
      </c>
      <c r="AM111" s="374"/>
      <c r="AN111" s="319"/>
      <c r="AO111" s="374"/>
      <c r="AP111" s="319"/>
      <c r="AQ111" s="319" t="s">
        <v>405</v>
      </c>
      <c r="AR111" s="319" t="s">
        <v>456</v>
      </c>
      <c r="AS111" s="319" t="s">
        <v>456</v>
      </c>
      <c r="AT111" s="319" t="s">
        <v>279</v>
      </c>
      <c r="AU111" s="319"/>
      <c r="AV111" s="319"/>
      <c r="AW111" s="379"/>
      <c r="AX111" s="167"/>
      <c r="AY111" s="13"/>
      <c r="AZ111" s="12"/>
      <c r="BA111" s="13"/>
      <c r="BB111" s="13"/>
      <c r="BC111" s="13"/>
      <c r="BD111" s="13"/>
      <c r="BE111" s="13"/>
      <c r="BF111" s="13"/>
      <c r="BG111" s="13"/>
      <c r="BH111" s="13"/>
      <c r="BI111" s="13"/>
      <c r="BJ111" s="5">
        <f>COUNTIF(M111,"*")+COUNTIF(W111,"*")+COUNTIF(AL111,"*")+COUNTIF(AZ111,"*")</f>
        <v>1</v>
      </c>
    </row>
    <row r="112" spans="1:62" ht="13.8" hidden="1">
      <c r="A112" s="22">
        <v>5.0999999999999996</v>
      </c>
      <c r="B112" s="22">
        <v>15</v>
      </c>
      <c r="C112" s="245" t="s">
        <v>1596</v>
      </c>
      <c r="D112" s="245"/>
      <c r="E112" s="23"/>
      <c r="F112" s="23" t="s">
        <v>478</v>
      </c>
      <c r="G112" s="207"/>
      <c r="H112" s="207"/>
      <c r="I112" s="228"/>
      <c r="J112" s="23"/>
      <c r="K112" s="228"/>
      <c r="L112" s="228"/>
      <c r="M112" s="197"/>
      <c r="N112" s="309"/>
      <c r="O112" s="13"/>
      <c r="P112" s="13"/>
      <c r="Q112" s="13"/>
      <c r="R112" s="13"/>
      <c r="S112" s="13"/>
      <c r="T112" s="13"/>
      <c r="U112" s="167"/>
      <c r="V112" s="13"/>
      <c r="W112" s="13"/>
      <c r="X112" s="13"/>
      <c r="Y112" s="13"/>
      <c r="Z112" s="13"/>
      <c r="AA112" s="13"/>
      <c r="AB112" s="13"/>
      <c r="AC112" s="13"/>
      <c r="AD112" s="13"/>
      <c r="AE112" s="13"/>
      <c r="AF112" s="13"/>
      <c r="AG112" s="13"/>
      <c r="AH112" s="13"/>
      <c r="AI112" s="13"/>
      <c r="AJ112" s="167"/>
      <c r="AK112" s="13"/>
      <c r="AL112" s="17" t="s">
        <v>479</v>
      </c>
      <c r="AM112" s="374"/>
      <c r="AN112" s="319"/>
      <c r="AO112" s="374"/>
      <c r="AP112" s="319"/>
      <c r="AQ112" s="319" t="s">
        <v>405</v>
      </c>
      <c r="AR112" s="319" t="s">
        <v>480</v>
      </c>
      <c r="AS112" s="319" t="s">
        <v>480</v>
      </c>
      <c r="AT112" s="319" t="s">
        <v>279</v>
      </c>
      <c r="AU112" s="319"/>
      <c r="AV112" s="319"/>
      <c r="AW112" s="379"/>
      <c r="AX112" s="167"/>
      <c r="AY112" s="13"/>
      <c r="AZ112" s="12"/>
      <c r="BA112" s="13"/>
      <c r="BB112" s="13"/>
      <c r="BC112" s="13"/>
      <c r="BD112" s="13"/>
      <c r="BE112" s="13"/>
      <c r="BF112" s="13"/>
      <c r="BG112" s="13"/>
      <c r="BH112" s="13"/>
      <c r="BI112" s="13"/>
      <c r="BJ112" s="5">
        <f>COUNTIF(M112,"*")+COUNTIF(W112,"*")+COUNTIF(AL112,"*")+COUNTIF(AZ112,"*")</f>
        <v>1</v>
      </c>
    </row>
    <row r="113" spans="1:62" ht="13.8" hidden="1">
      <c r="A113" s="22">
        <v>5.0999999999999996</v>
      </c>
      <c r="B113" s="22">
        <v>16</v>
      </c>
      <c r="C113" s="245" t="s">
        <v>1596</v>
      </c>
      <c r="D113" s="245"/>
      <c r="E113" s="23"/>
      <c r="F113" s="23" t="s">
        <v>481</v>
      </c>
      <c r="G113" s="207"/>
      <c r="H113" s="207"/>
      <c r="I113" s="228"/>
      <c r="J113" s="23"/>
      <c r="K113" s="228"/>
      <c r="L113" s="228"/>
      <c r="M113" s="197"/>
      <c r="N113" s="309"/>
      <c r="O113" s="13"/>
      <c r="P113" s="13"/>
      <c r="Q113" s="13"/>
      <c r="R113" s="13"/>
      <c r="S113" s="13"/>
      <c r="T113" s="13"/>
      <c r="U113" s="167"/>
      <c r="V113" s="13"/>
      <c r="W113" s="13"/>
      <c r="X113" s="13"/>
      <c r="Y113" s="13"/>
      <c r="Z113" s="13"/>
      <c r="AA113" s="13"/>
      <c r="AB113" s="13"/>
      <c r="AC113" s="13"/>
      <c r="AD113" s="13"/>
      <c r="AE113" s="13"/>
      <c r="AF113" s="13"/>
      <c r="AG113" s="13"/>
      <c r="AH113" s="13"/>
      <c r="AI113" s="13"/>
      <c r="AJ113" s="167"/>
      <c r="AK113" s="13"/>
      <c r="AL113" s="17" t="s">
        <v>482</v>
      </c>
      <c r="AM113" s="374"/>
      <c r="AN113" s="319"/>
      <c r="AO113" s="374"/>
      <c r="AP113" s="319"/>
      <c r="AQ113" s="319" t="s">
        <v>405</v>
      </c>
      <c r="AR113" s="319" t="s">
        <v>481</v>
      </c>
      <c r="AS113" s="319" t="s">
        <v>481</v>
      </c>
      <c r="AT113" s="319" t="s">
        <v>279</v>
      </c>
      <c r="AU113" s="319"/>
      <c r="AV113" s="319"/>
      <c r="AW113" s="379"/>
      <c r="AX113" s="167"/>
      <c r="AY113" s="13"/>
      <c r="AZ113" s="12"/>
      <c r="BA113" s="13"/>
      <c r="BB113" s="13"/>
      <c r="BC113" s="13"/>
      <c r="BD113" s="13"/>
      <c r="BE113" s="13"/>
      <c r="BF113" s="13"/>
      <c r="BG113" s="13"/>
      <c r="BH113" s="13"/>
      <c r="BI113" s="13"/>
      <c r="BJ113" s="5">
        <f>COUNTIF(M113,"*")+COUNTIF(W113,"*")+COUNTIF(AL113,"*")+COUNTIF(AZ113,"*")</f>
        <v>1</v>
      </c>
    </row>
    <row r="114" spans="1:62" ht="13.8" hidden="1">
      <c r="A114" s="22">
        <v>5.0999999999999996</v>
      </c>
      <c r="B114" s="22">
        <v>17</v>
      </c>
      <c r="C114" s="245" t="s">
        <v>1596</v>
      </c>
      <c r="D114" s="245"/>
      <c r="E114" s="23"/>
      <c r="F114" s="23" t="s">
        <v>483</v>
      </c>
      <c r="G114" s="207"/>
      <c r="H114" s="207"/>
      <c r="I114" s="228"/>
      <c r="J114" s="23"/>
      <c r="K114" s="228"/>
      <c r="L114" s="228"/>
      <c r="M114" s="197"/>
      <c r="N114" s="309"/>
      <c r="O114" s="13"/>
      <c r="P114" s="13"/>
      <c r="Q114" s="13"/>
      <c r="R114" s="13"/>
      <c r="S114" s="13"/>
      <c r="T114" s="13"/>
      <c r="U114" s="167"/>
      <c r="V114" s="13"/>
      <c r="W114" s="13"/>
      <c r="X114" s="13"/>
      <c r="Y114" s="13"/>
      <c r="Z114" s="13"/>
      <c r="AA114" s="13"/>
      <c r="AB114" s="13"/>
      <c r="AC114" s="13"/>
      <c r="AD114" s="13"/>
      <c r="AE114" s="13"/>
      <c r="AF114" s="13"/>
      <c r="AG114" s="13"/>
      <c r="AH114" s="13"/>
      <c r="AI114" s="13"/>
      <c r="AJ114" s="167"/>
      <c r="AK114" s="13"/>
      <c r="AL114" s="17" t="s">
        <v>484</v>
      </c>
      <c r="AM114" s="374"/>
      <c r="AN114" s="319"/>
      <c r="AO114" s="374"/>
      <c r="AP114" s="319"/>
      <c r="AQ114" s="319" t="s">
        <v>405</v>
      </c>
      <c r="AR114" s="319" t="s">
        <v>483</v>
      </c>
      <c r="AS114" s="319" t="s">
        <v>483</v>
      </c>
      <c r="AT114" s="319" t="s">
        <v>279</v>
      </c>
      <c r="AU114" s="319"/>
      <c r="AV114" s="319"/>
      <c r="AW114" s="379"/>
      <c r="AX114" s="167"/>
      <c r="AY114" s="13"/>
      <c r="AZ114" s="12"/>
      <c r="BA114" s="13"/>
      <c r="BB114" s="13"/>
      <c r="BC114" s="13"/>
      <c r="BD114" s="13"/>
      <c r="BE114" s="13"/>
      <c r="BF114" s="13"/>
      <c r="BG114" s="13"/>
      <c r="BH114" s="13"/>
      <c r="BI114" s="13"/>
      <c r="BJ114" s="5">
        <f>COUNTIF(M114,"*")+COUNTIF(W114,"*")+COUNTIF(AL114,"*")+COUNTIF(AZ114,"*")</f>
        <v>1</v>
      </c>
    </row>
    <row r="115" spans="1:62" ht="27.6" hidden="1">
      <c r="A115" s="22">
        <v>5.0999999999999996</v>
      </c>
      <c r="B115" s="22">
        <v>18</v>
      </c>
      <c r="C115" s="245" t="s">
        <v>1596</v>
      </c>
      <c r="D115" s="245"/>
      <c r="E115" s="23"/>
      <c r="F115" s="23" t="s">
        <v>485</v>
      </c>
      <c r="G115" s="207"/>
      <c r="H115" s="207"/>
      <c r="I115" s="228"/>
      <c r="J115" s="23"/>
      <c r="K115" s="228"/>
      <c r="L115" s="228"/>
      <c r="M115" s="197"/>
      <c r="N115" s="309"/>
      <c r="O115" s="13"/>
      <c r="P115" s="13"/>
      <c r="Q115" s="13"/>
      <c r="R115" s="13"/>
      <c r="S115" s="13"/>
      <c r="T115" s="13"/>
      <c r="U115" s="167"/>
      <c r="V115" s="13"/>
      <c r="W115" s="13"/>
      <c r="X115" s="13"/>
      <c r="Y115" s="13"/>
      <c r="Z115" s="13"/>
      <c r="AA115" s="13"/>
      <c r="AB115" s="13"/>
      <c r="AC115" s="13"/>
      <c r="AD115" s="13"/>
      <c r="AE115" s="13"/>
      <c r="AF115" s="13"/>
      <c r="AG115" s="13"/>
      <c r="AH115" s="13"/>
      <c r="AI115" s="13"/>
      <c r="AJ115" s="167"/>
      <c r="AK115" s="13"/>
      <c r="AL115" s="17" t="s">
        <v>486</v>
      </c>
      <c r="AM115" s="374"/>
      <c r="AN115" s="319"/>
      <c r="AO115" s="374"/>
      <c r="AP115" s="319"/>
      <c r="AQ115" s="319" t="s">
        <v>405</v>
      </c>
      <c r="AR115" s="319" t="s">
        <v>487</v>
      </c>
      <c r="AS115" s="319" t="s">
        <v>487</v>
      </c>
      <c r="AT115" s="319" t="s">
        <v>279</v>
      </c>
      <c r="AU115" s="319"/>
      <c r="AV115" s="319"/>
      <c r="AW115" s="379"/>
      <c r="AX115" s="167"/>
      <c r="AY115" s="13"/>
      <c r="AZ115" s="12"/>
      <c r="BA115" s="13"/>
      <c r="BB115" s="13"/>
      <c r="BC115" s="13"/>
      <c r="BD115" s="13"/>
      <c r="BE115" s="13"/>
      <c r="BF115" s="13"/>
      <c r="BG115" s="13"/>
      <c r="BH115" s="13"/>
      <c r="BI115" s="13"/>
      <c r="BJ115" s="5">
        <f>COUNTIF(M115,"*")+COUNTIF(W115,"*")+COUNTIF(AL115,"*")+COUNTIF(AZ115,"*")</f>
        <v>1</v>
      </c>
    </row>
    <row r="116" spans="1:62" ht="27.6" hidden="1">
      <c r="A116" s="22">
        <v>5.0999999999999996</v>
      </c>
      <c r="B116" s="22">
        <v>19</v>
      </c>
      <c r="C116" s="245" t="s">
        <v>1596</v>
      </c>
      <c r="D116" s="245"/>
      <c r="E116" s="23"/>
      <c r="F116" s="23" t="s">
        <v>488</v>
      </c>
      <c r="G116" s="207"/>
      <c r="H116" s="207"/>
      <c r="I116" s="228"/>
      <c r="J116" s="23"/>
      <c r="K116" s="228"/>
      <c r="L116" s="228"/>
      <c r="M116" s="197"/>
      <c r="N116" s="309"/>
      <c r="O116" s="13"/>
      <c r="P116" s="13"/>
      <c r="Q116" s="13"/>
      <c r="R116" s="13"/>
      <c r="S116" s="13"/>
      <c r="T116" s="13"/>
      <c r="U116" s="167"/>
      <c r="V116" s="13"/>
      <c r="W116" s="13" t="s">
        <v>489</v>
      </c>
      <c r="X116" s="13" t="s">
        <v>489</v>
      </c>
      <c r="Y116" s="13"/>
      <c r="Z116" s="13"/>
      <c r="AA116" s="13" t="s">
        <v>490</v>
      </c>
      <c r="AB116" s="319" t="s">
        <v>309</v>
      </c>
      <c r="AC116" s="319" t="s">
        <v>161</v>
      </c>
      <c r="AD116" s="319">
        <v>-1</v>
      </c>
      <c r="AE116" s="319">
        <v>2</v>
      </c>
      <c r="AF116" s="319" t="s">
        <v>80</v>
      </c>
      <c r="AG116" s="319"/>
      <c r="AH116" s="319"/>
      <c r="AI116" s="379"/>
      <c r="AJ116" s="167"/>
      <c r="AK116" s="13"/>
      <c r="AL116" s="12"/>
      <c r="AM116" s="13"/>
      <c r="AN116" s="13"/>
      <c r="AO116" s="13"/>
      <c r="AP116" s="13"/>
      <c r="AQ116" s="13"/>
      <c r="AR116" s="13"/>
      <c r="AS116" s="13"/>
      <c r="AT116" s="13"/>
      <c r="AU116" s="13"/>
      <c r="AV116" s="13"/>
      <c r="AW116" s="13"/>
      <c r="AX116" s="167"/>
      <c r="AY116" s="13"/>
      <c r="AZ116" s="12"/>
      <c r="BA116" s="13"/>
      <c r="BB116" s="13"/>
      <c r="BC116" s="13"/>
      <c r="BD116" s="13"/>
      <c r="BE116" s="13"/>
      <c r="BF116" s="13"/>
      <c r="BG116" s="13"/>
      <c r="BH116" s="13"/>
      <c r="BI116" s="13"/>
      <c r="BJ116" s="5">
        <f>COUNTIF(M116,"*")+COUNTIF(W116,"*")+COUNTIF(AL116,"*")+COUNTIF(AZ116,"*")</f>
        <v>1</v>
      </c>
    </row>
    <row r="117" spans="1:62" ht="69" hidden="1">
      <c r="A117" s="22">
        <v>5.0999999999999996</v>
      </c>
      <c r="B117" s="22">
        <v>20</v>
      </c>
      <c r="C117" s="245" t="s">
        <v>1596</v>
      </c>
      <c r="D117" s="245"/>
      <c r="E117" s="23"/>
      <c r="F117" s="23" t="s">
        <v>491</v>
      </c>
      <c r="G117" s="207"/>
      <c r="H117" s="207"/>
      <c r="I117" s="228"/>
      <c r="J117" s="23"/>
      <c r="K117" s="228"/>
      <c r="L117" s="228"/>
      <c r="M117" s="197"/>
      <c r="N117" s="309"/>
      <c r="O117" s="13"/>
      <c r="P117" s="13"/>
      <c r="Q117" s="13"/>
      <c r="R117" s="13"/>
      <c r="S117" s="13"/>
      <c r="T117" s="13"/>
      <c r="U117" s="167"/>
      <c r="V117" s="13"/>
      <c r="W117" s="13" t="s">
        <v>492</v>
      </c>
      <c r="X117" s="13" t="s">
        <v>492</v>
      </c>
      <c r="Y117" s="13"/>
      <c r="Z117" s="13"/>
      <c r="AA117" s="13" t="s">
        <v>493</v>
      </c>
      <c r="AB117" s="154" t="s">
        <v>371</v>
      </c>
      <c r="AC117" s="154" t="s">
        <v>161</v>
      </c>
      <c r="AD117" s="154">
        <v>0</v>
      </c>
      <c r="AE117" s="154">
        <v>2.2999999999999998</v>
      </c>
      <c r="AF117" s="154" t="s">
        <v>80</v>
      </c>
      <c r="AG117" s="154"/>
      <c r="AH117" s="154"/>
      <c r="AI117" s="379"/>
      <c r="AJ117" s="167"/>
      <c r="AK117" s="13"/>
      <c r="AL117" s="12"/>
      <c r="AM117" s="13"/>
      <c r="AN117" s="13"/>
      <c r="AO117" s="13"/>
      <c r="AP117" s="13"/>
      <c r="AQ117" s="13"/>
      <c r="AR117" s="13"/>
      <c r="AS117" s="13"/>
      <c r="AT117" s="13"/>
      <c r="AU117" s="13"/>
      <c r="AV117" s="13"/>
      <c r="AW117" s="13"/>
      <c r="AX117" s="167"/>
      <c r="AY117" s="13"/>
      <c r="AZ117" s="12"/>
      <c r="BA117" s="13"/>
      <c r="BB117" s="13"/>
      <c r="BC117" s="13"/>
      <c r="BD117" s="13"/>
      <c r="BE117" s="13"/>
      <c r="BF117" s="13"/>
      <c r="BG117" s="13"/>
      <c r="BH117" s="13"/>
      <c r="BI117" s="13"/>
      <c r="BJ117" s="5">
        <f>COUNTIF(M117,"*")+COUNTIF(W117,"*")+COUNTIF(AL117,"*")+COUNTIF(AZ117,"*")</f>
        <v>1</v>
      </c>
    </row>
    <row r="118" spans="1:62" ht="27.6" hidden="1">
      <c r="A118" s="22">
        <v>5.0999999999999996</v>
      </c>
      <c r="B118" s="22">
        <v>21</v>
      </c>
      <c r="C118" s="245" t="s">
        <v>1596</v>
      </c>
      <c r="D118" s="245"/>
      <c r="E118" s="23"/>
      <c r="F118" s="23" t="s">
        <v>494</v>
      </c>
      <c r="G118" s="207"/>
      <c r="H118" s="207"/>
      <c r="I118" s="228"/>
      <c r="J118" s="23"/>
      <c r="K118" s="228"/>
      <c r="L118" s="228"/>
      <c r="M118" s="197"/>
      <c r="N118" s="309"/>
      <c r="O118" s="13"/>
      <c r="P118" s="13"/>
      <c r="Q118" s="13"/>
      <c r="R118" s="13"/>
      <c r="S118" s="13"/>
      <c r="T118" s="13"/>
      <c r="U118" s="167"/>
      <c r="V118" s="13"/>
      <c r="W118" s="13" t="s">
        <v>495</v>
      </c>
      <c r="X118" s="13" t="s">
        <v>495</v>
      </c>
      <c r="Y118" s="13"/>
      <c r="Z118" s="13"/>
      <c r="AA118" s="13" t="s">
        <v>496</v>
      </c>
      <c r="AB118" s="319" t="s">
        <v>80</v>
      </c>
      <c r="AC118" s="319" t="s">
        <v>250</v>
      </c>
      <c r="AD118" s="319">
        <v>0</v>
      </c>
      <c r="AE118" s="319" t="s">
        <v>161</v>
      </c>
      <c r="AF118" s="319" t="s">
        <v>497</v>
      </c>
      <c r="AG118" s="319"/>
      <c r="AH118" s="319"/>
      <c r="AI118" s="379"/>
      <c r="AJ118" s="167"/>
      <c r="AK118" s="13"/>
      <c r="AL118" s="12"/>
      <c r="AM118" s="13"/>
      <c r="AN118" s="13"/>
      <c r="AO118" s="13"/>
      <c r="AP118" s="13"/>
      <c r="AQ118" s="13"/>
      <c r="AR118" s="13"/>
      <c r="AS118" s="13"/>
      <c r="AT118" s="13"/>
      <c r="AU118" s="13"/>
      <c r="AV118" s="13"/>
      <c r="AW118" s="13"/>
      <c r="AX118" s="167"/>
      <c r="AY118" s="13"/>
      <c r="AZ118" s="12"/>
      <c r="BA118" s="13"/>
      <c r="BB118" s="13"/>
      <c r="BC118" s="13"/>
      <c r="BD118" s="13"/>
      <c r="BE118" s="13"/>
      <c r="BF118" s="13"/>
      <c r="BG118" s="13"/>
      <c r="BH118" s="13"/>
      <c r="BI118" s="13"/>
      <c r="BJ118" s="5">
        <f>COUNTIF(M118,"*")+COUNTIF(W118,"*")+COUNTIF(AL118,"*")+COUNTIF(AZ118,"*")</f>
        <v>1</v>
      </c>
    </row>
    <row r="119" spans="1:62" ht="27.6" hidden="1">
      <c r="A119" s="22">
        <v>5.0999999999999996</v>
      </c>
      <c r="B119" s="22">
        <v>22</v>
      </c>
      <c r="C119" s="245" t="s">
        <v>1596</v>
      </c>
      <c r="D119" s="245"/>
      <c r="E119" s="23"/>
      <c r="F119" s="23" t="s">
        <v>498</v>
      </c>
      <c r="G119" s="207"/>
      <c r="H119" s="207"/>
      <c r="I119" s="228"/>
      <c r="J119" s="23"/>
      <c r="K119" s="228"/>
      <c r="L119" s="228"/>
      <c r="M119" s="197"/>
      <c r="N119" s="309"/>
      <c r="O119" s="13"/>
      <c r="P119" s="13"/>
      <c r="Q119" s="13"/>
      <c r="R119" s="13"/>
      <c r="S119" s="13"/>
      <c r="T119" s="13"/>
      <c r="U119" s="167"/>
      <c r="V119" s="13"/>
      <c r="W119" s="13"/>
      <c r="X119" s="13"/>
      <c r="Y119" s="13"/>
      <c r="Z119" s="13"/>
      <c r="AA119" s="13"/>
      <c r="AB119" s="154"/>
      <c r="AC119" s="154"/>
      <c r="AD119" s="154"/>
      <c r="AE119" s="262"/>
      <c r="AF119" s="262"/>
      <c r="AG119" s="262"/>
      <c r="AH119" s="262"/>
      <c r="AI119" s="379"/>
      <c r="AJ119" s="167"/>
      <c r="AK119" s="13"/>
      <c r="AL119" s="17" t="s">
        <v>499</v>
      </c>
      <c r="AM119" s="374"/>
      <c r="AN119" s="319"/>
      <c r="AO119" s="374"/>
      <c r="AP119" s="319"/>
      <c r="AQ119" s="319" t="s">
        <v>292</v>
      </c>
      <c r="AR119" s="319" t="s">
        <v>500</v>
      </c>
      <c r="AS119" s="319" t="s">
        <v>500</v>
      </c>
      <c r="AT119" s="319" t="s">
        <v>501</v>
      </c>
      <c r="AU119" s="319"/>
      <c r="AV119" s="319"/>
      <c r="AW119" s="379"/>
      <c r="AX119" s="167"/>
      <c r="AY119" s="13"/>
      <c r="AZ119" s="12"/>
      <c r="BA119" s="13"/>
      <c r="BB119" s="13"/>
      <c r="BC119" s="13"/>
      <c r="BD119" s="13"/>
      <c r="BE119" s="13"/>
      <c r="BF119" s="13"/>
      <c r="BG119" s="13"/>
      <c r="BH119" s="13"/>
      <c r="BI119" s="13"/>
      <c r="BJ119" s="5">
        <f>COUNTIF(M119,"*")+COUNTIF(W119,"*")+COUNTIF(AL119,"*")+COUNTIF(AZ119,"*")</f>
        <v>1</v>
      </c>
    </row>
    <row r="120" spans="1:62" ht="82.8" hidden="1">
      <c r="A120" s="22">
        <v>5.0999999999999996</v>
      </c>
      <c r="B120" s="22">
        <v>23</v>
      </c>
      <c r="C120" s="245" t="s">
        <v>1596</v>
      </c>
      <c r="D120" s="245"/>
      <c r="E120" s="23"/>
      <c r="F120" s="23" t="s">
        <v>502</v>
      </c>
      <c r="G120" s="207"/>
      <c r="H120" s="207"/>
      <c r="I120" s="228"/>
      <c r="J120" s="23"/>
      <c r="K120" s="228"/>
      <c r="L120" s="228"/>
      <c r="M120" s="197"/>
      <c r="N120" s="309"/>
      <c r="O120" s="13"/>
      <c r="P120" s="13"/>
      <c r="Q120" s="13"/>
      <c r="R120" s="13"/>
      <c r="S120" s="13"/>
      <c r="T120" s="13"/>
      <c r="U120" s="167"/>
      <c r="V120" s="13"/>
      <c r="W120" s="13" t="s">
        <v>503</v>
      </c>
      <c r="X120" s="13" t="s">
        <v>503</v>
      </c>
      <c r="Y120" s="13"/>
      <c r="Z120" s="13"/>
      <c r="AA120" s="13" t="s">
        <v>504</v>
      </c>
      <c r="AB120" s="319" t="s">
        <v>80</v>
      </c>
      <c r="AC120" s="319" t="s">
        <v>161</v>
      </c>
      <c r="AD120" s="319">
        <v>1</v>
      </c>
      <c r="AE120" s="319">
        <v>3</v>
      </c>
      <c r="AF120" s="319" t="s">
        <v>497</v>
      </c>
      <c r="AG120" s="319"/>
      <c r="AH120" s="319"/>
      <c r="AI120" s="379"/>
      <c r="AJ120" s="167"/>
      <c r="AK120" s="13"/>
      <c r="AL120" s="12"/>
      <c r="AM120" s="13"/>
      <c r="AN120" s="13"/>
      <c r="AO120" s="13"/>
      <c r="AP120" s="13"/>
      <c r="AQ120" s="13"/>
      <c r="AR120" s="13"/>
      <c r="AS120" s="13"/>
      <c r="AT120" s="13"/>
      <c r="AU120" s="13"/>
      <c r="AV120" s="13"/>
      <c r="AW120" s="13"/>
      <c r="AX120" s="167"/>
      <c r="AY120" s="13"/>
      <c r="AZ120" s="12"/>
      <c r="BA120" s="13"/>
      <c r="BB120" s="13"/>
      <c r="BC120" s="13"/>
      <c r="BD120" s="13"/>
      <c r="BE120" s="13"/>
      <c r="BF120" s="13"/>
      <c r="BG120" s="13"/>
      <c r="BH120" s="13"/>
      <c r="BI120" s="13"/>
      <c r="BJ120" s="5">
        <f>COUNTIF(M120,"*")+COUNTIF(W120,"*")+COUNTIF(AL120,"*")+COUNTIF(AZ120,"*")</f>
        <v>1</v>
      </c>
    </row>
    <row r="121" spans="1:62" ht="27.6" hidden="1">
      <c r="A121" s="22">
        <v>5.0999999999999996</v>
      </c>
      <c r="B121" s="22">
        <v>24</v>
      </c>
      <c r="C121" s="245" t="s">
        <v>1596</v>
      </c>
      <c r="D121" s="245"/>
      <c r="E121" s="23"/>
      <c r="F121" s="23" t="s">
        <v>505</v>
      </c>
      <c r="G121" s="207"/>
      <c r="H121" s="207"/>
      <c r="I121" s="228"/>
      <c r="J121" s="23"/>
      <c r="K121" s="228"/>
      <c r="L121" s="228"/>
      <c r="M121" s="197"/>
      <c r="N121" s="309"/>
      <c r="O121" s="13"/>
      <c r="P121" s="13"/>
      <c r="Q121" s="13"/>
      <c r="R121" s="13"/>
      <c r="S121" s="13"/>
      <c r="T121" s="13"/>
      <c r="U121" s="167"/>
      <c r="V121" s="13"/>
      <c r="W121" s="13" t="s">
        <v>506</v>
      </c>
      <c r="X121" s="13" t="s">
        <v>506</v>
      </c>
      <c r="Y121" s="13"/>
      <c r="Z121" s="13"/>
      <c r="AA121" s="13" t="s">
        <v>507</v>
      </c>
      <c r="AB121" s="154" t="s">
        <v>80</v>
      </c>
      <c r="AC121" s="154" t="s">
        <v>161</v>
      </c>
      <c r="AD121" s="154" t="s">
        <v>508</v>
      </c>
      <c r="AE121" s="154" t="s">
        <v>509</v>
      </c>
      <c r="AF121" s="154" t="s">
        <v>80</v>
      </c>
      <c r="AG121" s="154"/>
      <c r="AH121" s="154"/>
      <c r="AI121" s="379"/>
      <c r="AJ121" s="167"/>
      <c r="AK121" s="13"/>
      <c r="AL121" s="12"/>
      <c r="AM121" s="13"/>
      <c r="AN121" s="13"/>
      <c r="AO121" s="13"/>
      <c r="AP121" s="13"/>
      <c r="AQ121" s="13"/>
      <c r="AR121" s="13"/>
      <c r="AS121" s="13"/>
      <c r="AT121" s="13"/>
      <c r="AU121" s="13"/>
      <c r="AV121" s="13"/>
      <c r="AW121" s="13"/>
      <c r="AX121" s="167"/>
      <c r="AY121" s="13"/>
      <c r="AZ121" s="12"/>
      <c r="BA121" s="13"/>
      <c r="BB121" s="13"/>
      <c r="BC121" s="13"/>
      <c r="BD121" s="13"/>
      <c r="BE121" s="13"/>
      <c r="BF121" s="13"/>
      <c r="BG121" s="13"/>
      <c r="BH121" s="13"/>
      <c r="BI121" s="13"/>
      <c r="BJ121" s="5">
        <f>COUNTIF(M121,"*")+COUNTIF(W121,"*")+COUNTIF(AL121,"*")+COUNTIF(AZ121,"*")</f>
        <v>1</v>
      </c>
    </row>
    <row r="122" spans="1:62" ht="13.8" hidden="1">
      <c r="A122" s="22">
        <v>5.0999999999999996</v>
      </c>
      <c r="B122" s="22">
        <v>25</v>
      </c>
      <c r="C122" s="245" t="s">
        <v>1596</v>
      </c>
      <c r="D122" s="245"/>
      <c r="E122" s="23"/>
      <c r="F122" s="23" t="s">
        <v>510</v>
      </c>
      <c r="G122" s="207"/>
      <c r="H122" s="207"/>
      <c r="I122" s="228"/>
      <c r="J122" s="23"/>
      <c r="K122" s="228"/>
      <c r="L122" s="228"/>
      <c r="M122" s="197"/>
      <c r="N122" s="309"/>
      <c r="O122" s="13"/>
      <c r="P122" s="13"/>
      <c r="Q122" s="13"/>
      <c r="R122" s="13"/>
      <c r="S122" s="13"/>
      <c r="T122" s="13"/>
      <c r="U122" s="167"/>
      <c r="V122" s="13"/>
      <c r="W122" s="13" t="s">
        <v>511</v>
      </c>
      <c r="X122" s="13" t="s">
        <v>511</v>
      </c>
      <c r="Y122" s="13"/>
      <c r="Z122" s="13"/>
      <c r="AA122" s="13" t="s">
        <v>512</v>
      </c>
      <c r="AB122" s="154" t="s">
        <v>309</v>
      </c>
      <c r="AC122" s="154" t="s">
        <v>161</v>
      </c>
      <c r="AD122" s="154" t="s">
        <v>448</v>
      </c>
      <c r="AE122" s="262" t="s">
        <v>513</v>
      </c>
      <c r="AF122" s="262" t="s">
        <v>80</v>
      </c>
      <c r="AG122" s="262"/>
      <c r="AH122" s="262"/>
      <c r="AI122" s="379"/>
      <c r="AJ122" s="167"/>
      <c r="AK122" s="13"/>
      <c r="AL122" s="12"/>
      <c r="AM122" s="13"/>
      <c r="AN122" s="13"/>
      <c r="AO122" s="13"/>
      <c r="AP122" s="13"/>
      <c r="AQ122" s="13"/>
      <c r="AR122" s="13"/>
      <c r="AS122" s="13"/>
      <c r="AT122" s="13"/>
      <c r="AU122" s="13"/>
      <c r="AV122" s="13"/>
      <c r="AW122" s="13"/>
      <c r="AX122" s="167"/>
      <c r="AY122" s="13"/>
      <c r="AZ122" s="12"/>
      <c r="BA122" s="13"/>
      <c r="BB122" s="13"/>
      <c r="BC122" s="13"/>
      <c r="BD122" s="13"/>
      <c r="BE122" s="13"/>
      <c r="BF122" s="13"/>
      <c r="BG122" s="13"/>
      <c r="BH122" s="13"/>
      <c r="BI122" s="13"/>
      <c r="BJ122" s="5">
        <f>COUNTIF(M122,"*")+COUNTIF(W122,"*")+COUNTIF(AL122,"*")+COUNTIF(AZ122,"*")</f>
        <v>1</v>
      </c>
    </row>
    <row r="123" spans="1:62" ht="41.4" hidden="1">
      <c r="A123" s="22">
        <v>5.0999999999999996</v>
      </c>
      <c r="B123" s="22">
        <v>26</v>
      </c>
      <c r="C123" s="245" t="s">
        <v>1596</v>
      </c>
      <c r="D123" s="245"/>
      <c r="E123" s="23"/>
      <c r="F123" s="23" t="s">
        <v>514</v>
      </c>
      <c r="G123" s="207"/>
      <c r="H123" s="207"/>
      <c r="I123" s="228"/>
      <c r="J123" s="23"/>
      <c r="K123" s="228"/>
      <c r="L123" s="228"/>
      <c r="M123" s="197"/>
      <c r="N123" s="309"/>
      <c r="O123" s="13"/>
      <c r="P123" s="13"/>
      <c r="Q123" s="13"/>
      <c r="R123" s="13"/>
      <c r="S123" s="13"/>
      <c r="T123" s="13"/>
      <c r="U123" s="167"/>
      <c r="V123" s="13"/>
      <c r="W123" s="13" t="s">
        <v>515</v>
      </c>
      <c r="X123" s="13" t="s">
        <v>515</v>
      </c>
      <c r="Y123" s="13"/>
      <c r="Z123" s="13"/>
      <c r="AA123" s="13" t="s">
        <v>516</v>
      </c>
      <c r="AB123" s="319" t="s">
        <v>80</v>
      </c>
      <c r="AC123" s="319" t="s">
        <v>80</v>
      </c>
      <c r="AD123" s="319" t="s">
        <v>80</v>
      </c>
      <c r="AE123" s="319" t="s">
        <v>80</v>
      </c>
      <c r="AF123" s="319" t="s">
        <v>80</v>
      </c>
      <c r="AG123" s="319"/>
      <c r="AH123" s="319"/>
      <c r="AI123" s="379"/>
      <c r="AJ123" s="167"/>
      <c r="AK123" s="13"/>
      <c r="AL123" s="12"/>
      <c r="AM123" s="13"/>
      <c r="AN123" s="13"/>
      <c r="AO123" s="13"/>
      <c r="AP123" s="13"/>
      <c r="AQ123" s="13"/>
      <c r="AR123" s="13"/>
      <c r="AS123" s="13"/>
      <c r="AT123" s="13"/>
      <c r="AU123" s="13"/>
      <c r="AV123" s="13"/>
      <c r="AW123" s="13"/>
      <c r="AX123" s="167"/>
      <c r="AY123" s="13"/>
      <c r="AZ123" s="12"/>
      <c r="BA123" s="13"/>
      <c r="BB123" s="13"/>
      <c r="BC123" s="13"/>
      <c r="BD123" s="13"/>
      <c r="BE123" s="13"/>
      <c r="BF123" s="13"/>
      <c r="BG123" s="13"/>
      <c r="BH123" s="13"/>
      <c r="BI123" s="13"/>
      <c r="BJ123" s="5">
        <f>COUNTIF(M123,"*")+COUNTIF(W123,"*")+COUNTIF(AL123,"*")+COUNTIF(AZ123,"*")</f>
        <v>1</v>
      </c>
    </row>
    <row r="124" spans="1:62" ht="41.4" hidden="1">
      <c r="A124" s="22">
        <v>5.0999999999999996</v>
      </c>
      <c r="B124" s="22">
        <v>27</v>
      </c>
      <c r="C124" s="245" t="s">
        <v>1596</v>
      </c>
      <c r="D124" s="245"/>
      <c r="E124" s="23"/>
      <c r="F124" s="23" t="s">
        <v>517</v>
      </c>
      <c r="G124" s="207"/>
      <c r="H124" s="207"/>
      <c r="I124" s="228"/>
      <c r="J124" s="23"/>
      <c r="K124" s="228"/>
      <c r="L124" s="228"/>
      <c r="M124" s="197"/>
      <c r="N124" s="309"/>
      <c r="O124" s="13"/>
      <c r="P124" s="13"/>
      <c r="Q124" s="13"/>
      <c r="R124" s="13"/>
      <c r="S124" s="13"/>
      <c r="T124" s="13"/>
      <c r="U124" s="167"/>
      <c r="V124" s="13"/>
      <c r="W124" s="13" t="s">
        <v>518</v>
      </c>
      <c r="X124" s="13" t="s">
        <v>518</v>
      </c>
      <c r="Y124" s="13"/>
      <c r="Z124" s="13"/>
      <c r="AA124" s="13" t="s">
        <v>519</v>
      </c>
      <c r="AB124" s="319" t="s">
        <v>80</v>
      </c>
      <c r="AC124" s="319" t="s">
        <v>80</v>
      </c>
      <c r="AD124" s="319" t="s">
        <v>80</v>
      </c>
      <c r="AE124" s="319" t="s">
        <v>80</v>
      </c>
      <c r="AF124" s="319" t="s">
        <v>80</v>
      </c>
      <c r="AG124" s="319"/>
      <c r="AH124" s="319"/>
      <c r="AI124" s="379"/>
      <c r="AJ124" s="167"/>
      <c r="AK124" s="13"/>
      <c r="AL124" s="12"/>
      <c r="AM124" s="13"/>
      <c r="AN124" s="13"/>
      <c r="AO124" s="13"/>
      <c r="AP124" s="13"/>
      <c r="AQ124" s="13"/>
      <c r="AR124" s="13"/>
      <c r="AS124" s="13"/>
      <c r="AT124" s="13"/>
      <c r="AU124" s="13"/>
      <c r="AV124" s="13"/>
      <c r="AW124" s="13"/>
      <c r="AX124" s="167"/>
      <c r="AY124" s="13"/>
      <c r="AZ124" s="12"/>
      <c r="BA124" s="13"/>
      <c r="BB124" s="13"/>
      <c r="BC124" s="13"/>
      <c r="BD124" s="13"/>
      <c r="BE124" s="13"/>
      <c r="BF124" s="13"/>
      <c r="BG124" s="13"/>
      <c r="BH124" s="13"/>
      <c r="BI124" s="13"/>
      <c r="BJ124" s="5">
        <f>COUNTIF(M124,"*")+COUNTIF(W124,"*")+COUNTIF(AL124,"*")+COUNTIF(AZ124,"*")</f>
        <v>1</v>
      </c>
    </row>
    <row r="125" spans="1:62" ht="41.4" hidden="1">
      <c r="A125" s="22">
        <v>5.0999999999999996</v>
      </c>
      <c r="B125" s="22">
        <v>28</v>
      </c>
      <c r="C125" s="245" t="s">
        <v>1596</v>
      </c>
      <c r="D125" s="245"/>
      <c r="E125" s="207"/>
      <c r="F125" s="207" t="s">
        <v>1833</v>
      </c>
      <c r="G125" s="207" t="s">
        <v>1834</v>
      </c>
      <c r="H125" s="207" t="str">
        <f>_xlfn.CONCAT("'&lt;br&gt;','&lt;b&gt;','",F125, ": ','&lt;/b&gt;',",G125, ",'&lt;/br&gt;',")</f>
        <v>'&lt;br&gt;','&lt;b&gt;','Beaver Present : ','&lt;/b&gt;',BeaverPresent ,'&lt;/br&gt;',</v>
      </c>
      <c r="I125" s="227" t="s">
        <v>1980</v>
      </c>
      <c r="J125" s="207" t="s">
        <v>1977</v>
      </c>
      <c r="K125" s="227"/>
      <c r="L125" s="227"/>
      <c r="M125" s="197"/>
      <c r="N125" s="309"/>
      <c r="O125" s="13"/>
      <c r="P125" s="13"/>
      <c r="Q125" s="13"/>
      <c r="R125" s="13"/>
      <c r="S125" s="13"/>
      <c r="T125" s="13"/>
      <c r="U125" s="167"/>
      <c r="V125" s="13"/>
      <c r="W125" s="13"/>
      <c r="X125" s="13"/>
      <c r="Y125" s="13"/>
      <c r="Z125" s="13"/>
      <c r="AA125" s="13"/>
      <c r="AB125" s="319"/>
      <c r="AC125" s="319"/>
      <c r="AD125" s="319"/>
      <c r="AE125" s="319"/>
      <c r="AF125" s="319"/>
      <c r="AG125" s="319"/>
      <c r="AH125" s="319"/>
      <c r="AI125" s="379"/>
      <c r="AJ125" s="167"/>
      <c r="AK125" s="13"/>
      <c r="AL125" s="269"/>
      <c r="AM125" s="236"/>
      <c r="AN125" s="236"/>
      <c r="AO125" s="236"/>
      <c r="AP125" s="236"/>
      <c r="AQ125" s="13"/>
      <c r="AR125" s="13"/>
      <c r="AS125" s="13"/>
      <c r="AT125" s="13"/>
      <c r="AU125" s="13"/>
      <c r="AV125" s="13"/>
      <c r="AW125" s="13"/>
      <c r="AX125" s="167"/>
      <c r="AY125" s="13"/>
      <c r="AZ125" s="12"/>
      <c r="BA125" s="236"/>
      <c r="BB125" s="236"/>
      <c r="BC125" s="236"/>
      <c r="BD125" s="13"/>
      <c r="BE125" s="13"/>
      <c r="BF125" s="13"/>
      <c r="BG125" s="13"/>
      <c r="BH125" s="13"/>
      <c r="BI125" s="13"/>
      <c r="BJ125" s="5">
        <v>0</v>
      </c>
    </row>
    <row r="126" spans="1:62" ht="27.6" hidden="1">
      <c r="A126" s="24">
        <v>6</v>
      </c>
      <c r="B126" s="24">
        <v>1</v>
      </c>
      <c r="C126" s="246" t="s">
        <v>520</v>
      </c>
      <c r="D126" s="246"/>
      <c r="E126" s="24"/>
      <c r="F126" s="24" t="s">
        <v>521</v>
      </c>
      <c r="G126" s="291" t="s">
        <v>522</v>
      </c>
      <c r="H126" s="291"/>
      <c r="I126" s="229"/>
      <c r="J126" s="24" t="s">
        <v>265</v>
      </c>
      <c r="K126" s="229"/>
      <c r="L126" s="229"/>
      <c r="M126" s="197"/>
      <c r="N126" s="309"/>
      <c r="O126" s="13"/>
      <c r="P126" s="13"/>
      <c r="Q126" s="13"/>
      <c r="R126" s="13"/>
      <c r="S126" s="13"/>
      <c r="T126" s="13"/>
      <c r="U126" s="167"/>
      <c r="V126" s="13"/>
      <c r="W126" s="13" t="s">
        <v>522</v>
      </c>
      <c r="X126" s="13" t="s">
        <v>1585</v>
      </c>
      <c r="Y126" s="13"/>
      <c r="Z126" s="13"/>
      <c r="AA126" s="13" t="s">
        <v>523</v>
      </c>
      <c r="AB126" s="319" t="s">
        <v>309</v>
      </c>
      <c r="AC126" s="319" t="s">
        <v>524</v>
      </c>
      <c r="AD126" s="319">
        <v>0</v>
      </c>
      <c r="AE126" s="319">
        <v>180</v>
      </c>
      <c r="AF126" s="319" t="s">
        <v>80</v>
      </c>
      <c r="AG126" s="319"/>
      <c r="AH126" s="319"/>
      <c r="AI126" s="379"/>
      <c r="AJ126" s="167"/>
      <c r="AK126" s="13"/>
      <c r="AL126" s="17" t="s">
        <v>525</v>
      </c>
      <c r="AM126" s="374"/>
      <c r="AN126" s="319"/>
      <c r="AO126" s="374"/>
      <c r="AP126" s="319"/>
      <c r="AQ126" s="264" t="s">
        <v>526</v>
      </c>
      <c r="AR126" s="265"/>
      <c r="AS126" s="154" t="s">
        <v>527</v>
      </c>
      <c r="AT126" s="154" t="s">
        <v>524</v>
      </c>
      <c r="AU126" s="319"/>
      <c r="AV126" s="154"/>
      <c r="AW126" s="379"/>
      <c r="AX126" s="167"/>
      <c r="AY126" s="13"/>
      <c r="AZ126" s="12" t="s">
        <v>521</v>
      </c>
      <c r="BA126" s="185" t="s">
        <v>522</v>
      </c>
      <c r="BB126" s="185"/>
      <c r="BC126" s="185"/>
      <c r="BD126" s="13" t="s">
        <v>528</v>
      </c>
      <c r="BE126" s="13" t="s">
        <v>524</v>
      </c>
      <c r="BF126" s="13"/>
      <c r="BG126" s="13"/>
      <c r="BH126" s="13"/>
      <c r="BI126" s="13"/>
      <c r="BJ126" s="5">
        <f>COUNTIF(M126,"*")+COUNTIF(W126,"*")+COUNTIF(AL126,"*")+COUNTIF(AZ126,"*")</f>
        <v>3</v>
      </c>
    </row>
    <row r="127" spans="1:62" ht="41.4" hidden="1">
      <c r="A127" s="24">
        <v>6</v>
      </c>
      <c r="B127" s="24">
        <v>2</v>
      </c>
      <c r="C127" s="246" t="s">
        <v>520</v>
      </c>
      <c r="D127" s="246"/>
      <c r="E127" s="24"/>
      <c r="F127" s="24" t="s">
        <v>529</v>
      </c>
      <c r="G127" s="291" t="s">
        <v>530</v>
      </c>
      <c r="H127" s="291"/>
      <c r="I127" s="229"/>
      <c r="J127" s="24" t="s">
        <v>265</v>
      </c>
      <c r="K127" s="229"/>
      <c r="L127" s="229"/>
      <c r="M127" s="197"/>
      <c r="N127" s="309"/>
      <c r="O127" s="13"/>
      <c r="P127" s="13"/>
      <c r="Q127" s="13"/>
      <c r="R127" s="13"/>
      <c r="S127" s="13"/>
      <c r="T127" s="13"/>
      <c r="U127" s="167"/>
      <c r="V127" s="13"/>
      <c r="W127" s="13" t="s">
        <v>531</v>
      </c>
      <c r="X127" s="13" t="s">
        <v>531</v>
      </c>
      <c r="Y127" s="13"/>
      <c r="Z127" s="13"/>
      <c r="AA127" s="13" t="s">
        <v>532</v>
      </c>
      <c r="AB127" s="319" t="s">
        <v>371</v>
      </c>
      <c r="AC127" s="319" t="s">
        <v>279</v>
      </c>
      <c r="AD127" s="319">
        <v>0</v>
      </c>
      <c r="AE127" s="319">
        <v>100</v>
      </c>
      <c r="AF127" s="319" t="s">
        <v>80</v>
      </c>
      <c r="AG127" s="319"/>
      <c r="AH127" s="319"/>
      <c r="AI127" s="379"/>
      <c r="AJ127" s="167"/>
      <c r="AK127" s="13"/>
      <c r="AL127" s="12"/>
      <c r="AM127" s="13"/>
      <c r="AN127" s="13"/>
      <c r="AO127" s="13"/>
      <c r="AP127" s="13"/>
      <c r="AQ127" s="13"/>
      <c r="AR127" s="13"/>
      <c r="AS127" s="13"/>
      <c r="AT127" s="13"/>
      <c r="AU127" s="13"/>
      <c r="AV127" s="13"/>
      <c r="AW127" s="13"/>
      <c r="AX127" s="167"/>
      <c r="AY127" s="13"/>
      <c r="AZ127" s="12" t="s">
        <v>529</v>
      </c>
      <c r="BA127" s="13" t="s">
        <v>533</v>
      </c>
      <c r="BB127" s="13"/>
      <c r="BC127" s="13"/>
      <c r="BD127" s="13" t="s">
        <v>534</v>
      </c>
      <c r="BE127" s="13" t="s">
        <v>285</v>
      </c>
      <c r="BF127" s="13"/>
      <c r="BG127" s="13"/>
      <c r="BH127" s="13"/>
      <c r="BI127" s="13"/>
      <c r="BJ127" s="5">
        <f>COUNTIF(M127,"*")+COUNTIF(W127,"*")+COUNTIF(AL127,"*")+COUNTIF(AZ127,"*")</f>
        <v>2</v>
      </c>
    </row>
    <row r="128" spans="1:62" ht="13.8" hidden="1">
      <c r="A128" s="24">
        <v>6</v>
      </c>
      <c r="B128" s="24">
        <v>3</v>
      </c>
      <c r="C128" s="246" t="s">
        <v>520</v>
      </c>
      <c r="D128" s="246"/>
      <c r="E128" s="24"/>
      <c r="F128" s="24" t="s">
        <v>535</v>
      </c>
      <c r="G128" s="291"/>
      <c r="H128" s="291"/>
      <c r="I128" s="229"/>
      <c r="J128" s="24"/>
      <c r="K128" s="229"/>
      <c r="L128" s="229"/>
      <c r="M128" s="197"/>
      <c r="N128" s="309"/>
      <c r="O128" s="13"/>
      <c r="P128" s="13"/>
      <c r="Q128" s="13"/>
      <c r="R128" s="13"/>
      <c r="S128" s="13"/>
      <c r="T128" s="13"/>
      <c r="U128" s="167"/>
      <c r="V128" s="13"/>
      <c r="W128" s="13"/>
      <c r="X128" s="13"/>
      <c r="Y128" s="13"/>
      <c r="Z128" s="13"/>
      <c r="AA128" s="13"/>
      <c r="AB128" s="13"/>
      <c r="AC128" s="13"/>
      <c r="AD128" s="13"/>
      <c r="AE128" s="13"/>
      <c r="AF128" s="13"/>
      <c r="AG128" s="13"/>
      <c r="AH128" s="13"/>
      <c r="AI128" s="13"/>
      <c r="AJ128" s="167"/>
      <c r="AK128" s="13"/>
      <c r="AL128" s="17" t="s">
        <v>536</v>
      </c>
      <c r="AM128" s="374"/>
      <c r="AN128" s="319"/>
      <c r="AO128" s="374"/>
      <c r="AP128" s="319"/>
      <c r="AQ128" s="264" t="s">
        <v>526</v>
      </c>
      <c r="AR128" s="265"/>
      <c r="AS128" s="319" t="s">
        <v>537</v>
      </c>
      <c r="AT128" s="319" t="s">
        <v>524</v>
      </c>
      <c r="AU128" s="319"/>
      <c r="AV128" s="319"/>
      <c r="AW128" s="379"/>
      <c r="AX128" s="167"/>
      <c r="AY128" s="13"/>
      <c r="AZ128" s="12"/>
      <c r="BA128" s="13"/>
      <c r="BB128" s="13"/>
      <c r="BC128" s="13"/>
      <c r="BD128" s="13"/>
      <c r="BE128" s="13"/>
      <c r="BF128" s="13"/>
      <c r="BG128" s="13"/>
      <c r="BH128" s="13"/>
      <c r="BI128" s="13"/>
      <c r="BJ128" s="5">
        <f>COUNTIF(M128,"*")+COUNTIF(W128,"*")+COUNTIF(AL128,"*")+COUNTIF(AZ128,"*")</f>
        <v>1</v>
      </c>
    </row>
    <row r="129" spans="1:62" ht="13.8" hidden="1">
      <c r="A129" s="24">
        <v>6</v>
      </c>
      <c r="B129" s="24">
        <v>4</v>
      </c>
      <c r="C129" s="246" t="s">
        <v>520</v>
      </c>
      <c r="D129" s="246"/>
      <c r="E129" s="24"/>
      <c r="F129" s="24" t="s">
        <v>538</v>
      </c>
      <c r="G129" s="291"/>
      <c r="H129" s="291"/>
      <c r="I129" s="229"/>
      <c r="J129" s="24"/>
      <c r="K129" s="229"/>
      <c r="L129" s="229"/>
      <c r="M129" s="197"/>
      <c r="N129" s="309"/>
      <c r="O129" s="13"/>
      <c r="P129" s="13"/>
      <c r="Q129" s="13"/>
      <c r="R129" s="13"/>
      <c r="S129" s="13"/>
      <c r="T129" s="13"/>
      <c r="U129" s="167"/>
      <c r="V129" s="13"/>
      <c r="W129" s="13"/>
      <c r="X129" s="13"/>
      <c r="Y129" s="13"/>
      <c r="Z129" s="13"/>
      <c r="AA129" s="13"/>
      <c r="AB129" s="13"/>
      <c r="AC129" s="13"/>
      <c r="AD129" s="13"/>
      <c r="AE129" s="13"/>
      <c r="AF129" s="13"/>
      <c r="AG129" s="13"/>
      <c r="AH129" s="13"/>
      <c r="AI129" s="13"/>
      <c r="AJ129" s="167"/>
      <c r="AK129" s="13"/>
      <c r="AL129" s="17" t="s">
        <v>539</v>
      </c>
      <c r="AM129" s="374"/>
      <c r="AN129" s="319"/>
      <c r="AO129" s="374"/>
      <c r="AP129" s="319"/>
      <c r="AQ129" s="264" t="s">
        <v>526</v>
      </c>
      <c r="AR129" s="265"/>
      <c r="AS129" s="319" t="s">
        <v>540</v>
      </c>
      <c r="AT129" s="319" t="s">
        <v>541</v>
      </c>
      <c r="AU129" s="319"/>
      <c r="AV129" s="319"/>
      <c r="AW129" s="379"/>
      <c r="AX129" s="167"/>
      <c r="AY129" s="13"/>
      <c r="AZ129" s="12"/>
      <c r="BA129" s="13"/>
      <c r="BB129" s="13"/>
      <c r="BC129" s="13"/>
      <c r="BD129" s="13"/>
      <c r="BE129" s="13"/>
      <c r="BF129" s="13"/>
      <c r="BG129" s="13"/>
      <c r="BH129" s="13"/>
      <c r="BI129" s="13"/>
      <c r="BJ129" s="5">
        <f>COUNTIF(M129,"*")+COUNTIF(W129,"*")+COUNTIF(AL129,"*")+COUNTIF(AZ129,"*")</f>
        <v>1</v>
      </c>
    </row>
    <row r="130" spans="1:62" ht="13.8" hidden="1">
      <c r="A130" s="24">
        <v>6</v>
      </c>
      <c r="B130" s="24">
        <v>5</v>
      </c>
      <c r="C130" s="246" t="s">
        <v>520</v>
      </c>
      <c r="D130" s="246"/>
      <c r="E130" s="24"/>
      <c r="F130" s="24" t="s">
        <v>542</v>
      </c>
      <c r="G130" s="291"/>
      <c r="H130" s="291"/>
      <c r="I130" s="229"/>
      <c r="J130" s="24"/>
      <c r="K130" s="229"/>
      <c r="L130" s="229"/>
      <c r="M130" s="197"/>
      <c r="N130" s="309"/>
      <c r="O130" s="13"/>
      <c r="P130" s="13"/>
      <c r="Q130" s="13"/>
      <c r="R130" s="13"/>
      <c r="S130" s="13"/>
      <c r="T130" s="13"/>
      <c r="U130" s="167"/>
      <c r="V130" s="13"/>
      <c r="W130" s="13"/>
      <c r="X130" s="13"/>
      <c r="Y130" s="13"/>
      <c r="Z130" s="13"/>
      <c r="AA130" s="13"/>
      <c r="AB130" s="13"/>
      <c r="AC130" s="13"/>
      <c r="AD130" s="13"/>
      <c r="AE130" s="13"/>
      <c r="AF130" s="13"/>
      <c r="AG130" s="13"/>
      <c r="AH130" s="13"/>
      <c r="AI130" s="13"/>
      <c r="AJ130" s="167"/>
      <c r="AK130" s="13"/>
      <c r="AL130" s="17" t="s">
        <v>543</v>
      </c>
      <c r="AM130" s="374"/>
      <c r="AN130" s="319"/>
      <c r="AO130" s="374"/>
      <c r="AP130" s="319"/>
      <c r="AQ130" s="264" t="s">
        <v>526</v>
      </c>
      <c r="AR130" s="265"/>
      <c r="AS130" s="319" t="s">
        <v>544</v>
      </c>
      <c r="AT130" s="319" t="s">
        <v>541</v>
      </c>
      <c r="AU130" s="319"/>
      <c r="AV130" s="319"/>
      <c r="AW130" s="379"/>
      <c r="AX130" s="167"/>
      <c r="AY130" s="13"/>
      <c r="AZ130" s="12"/>
      <c r="BA130" s="13"/>
      <c r="BB130" s="13"/>
      <c r="BC130" s="13"/>
      <c r="BD130" s="13"/>
      <c r="BE130" s="13"/>
      <c r="BF130" s="13"/>
      <c r="BG130" s="13"/>
      <c r="BH130" s="13"/>
      <c r="BI130" s="13"/>
      <c r="BJ130" s="5">
        <f>COUNTIF(M130,"*")+COUNTIF(W130,"*")+COUNTIF(AL130,"*")+COUNTIF(AZ130,"*")</f>
        <v>1</v>
      </c>
    </row>
    <row r="131" spans="1:62" ht="13.8" hidden="1">
      <c r="A131" s="24">
        <v>6</v>
      </c>
      <c r="B131" s="24">
        <v>6</v>
      </c>
      <c r="C131" s="246" t="s">
        <v>520</v>
      </c>
      <c r="D131" s="246"/>
      <c r="E131" s="24"/>
      <c r="F131" s="24" t="s">
        <v>545</v>
      </c>
      <c r="G131" s="291"/>
      <c r="H131" s="291"/>
      <c r="I131" s="229"/>
      <c r="J131" s="24"/>
      <c r="K131" s="229"/>
      <c r="L131" s="229"/>
      <c r="M131" s="197"/>
      <c r="N131" s="309"/>
      <c r="O131" s="13"/>
      <c r="P131" s="13"/>
      <c r="Q131" s="13"/>
      <c r="R131" s="13"/>
      <c r="S131" s="13"/>
      <c r="T131" s="13"/>
      <c r="U131" s="167"/>
      <c r="V131" s="13"/>
      <c r="W131" s="11"/>
      <c r="X131" s="11"/>
      <c r="Y131" s="11"/>
      <c r="Z131" s="11"/>
      <c r="AA131" s="11"/>
      <c r="AB131" s="11"/>
      <c r="AC131" s="11"/>
      <c r="AD131" s="11"/>
      <c r="AE131" s="11"/>
      <c r="AF131" s="11"/>
      <c r="AG131" s="11"/>
      <c r="AH131" s="11"/>
      <c r="AI131" s="11"/>
      <c r="AJ131" s="167"/>
      <c r="AK131" s="13"/>
      <c r="AL131" s="17" t="s">
        <v>546</v>
      </c>
      <c r="AM131" s="374"/>
      <c r="AN131" s="319"/>
      <c r="AO131" s="374"/>
      <c r="AP131" s="319"/>
      <c r="AQ131" s="319" t="s">
        <v>526</v>
      </c>
      <c r="AR131" s="319" t="s">
        <v>547</v>
      </c>
      <c r="AS131" s="319"/>
      <c r="AT131" s="319"/>
      <c r="AU131" s="319"/>
      <c r="AV131" s="319"/>
      <c r="AW131" s="379"/>
      <c r="AX131" s="167"/>
      <c r="AY131" s="13"/>
      <c r="AZ131" s="25"/>
      <c r="BA131" s="11"/>
      <c r="BB131" s="11"/>
      <c r="BC131" s="11"/>
      <c r="BD131" s="11"/>
      <c r="BE131" s="11"/>
      <c r="BF131" s="11"/>
      <c r="BG131" s="11"/>
      <c r="BH131" s="11"/>
      <c r="BI131" s="11"/>
      <c r="BJ131" s="5">
        <f>COUNTIF(M131,"*")+COUNTIF(W131,"*")+COUNTIF(AL131,"*")+COUNTIF(AZ131,"*")</f>
        <v>1</v>
      </c>
    </row>
    <row r="132" spans="1:62" ht="41.4" hidden="1">
      <c r="A132" s="24">
        <v>6</v>
      </c>
      <c r="B132" s="24">
        <v>7</v>
      </c>
      <c r="C132" s="246" t="s">
        <v>520</v>
      </c>
      <c r="D132" s="246"/>
      <c r="E132" s="24"/>
      <c r="F132" s="24" t="s">
        <v>548</v>
      </c>
      <c r="G132" s="291"/>
      <c r="H132" s="291"/>
      <c r="I132" s="229"/>
      <c r="J132" s="24"/>
      <c r="K132" s="229"/>
      <c r="L132" s="229"/>
      <c r="M132" s="197"/>
      <c r="N132" s="309"/>
      <c r="O132" s="13"/>
      <c r="P132" s="13"/>
      <c r="Q132" s="13"/>
      <c r="R132" s="13"/>
      <c r="S132" s="13"/>
      <c r="T132" s="13"/>
      <c r="U132" s="167"/>
      <c r="V132" s="13"/>
      <c r="W132" s="13"/>
      <c r="X132" s="13"/>
      <c r="Y132" s="13"/>
      <c r="Z132" s="13"/>
      <c r="AA132" s="13"/>
      <c r="AB132" s="13"/>
      <c r="AC132" s="13"/>
      <c r="AD132" s="13"/>
      <c r="AE132" s="13"/>
      <c r="AF132" s="13"/>
      <c r="AG132" s="13"/>
      <c r="AH132" s="13"/>
      <c r="AI132" s="13"/>
      <c r="AJ132" s="167"/>
      <c r="AK132" s="13"/>
      <c r="AL132" s="12"/>
      <c r="AM132" s="13"/>
      <c r="AN132" s="13"/>
      <c r="AO132" s="13"/>
      <c r="AP132" s="13"/>
      <c r="AQ132" s="13"/>
      <c r="AR132" s="13"/>
      <c r="AS132" s="13"/>
      <c r="AT132" s="13"/>
      <c r="AU132" s="13"/>
      <c r="AV132" s="13"/>
      <c r="AW132" s="13"/>
      <c r="AX132" s="167"/>
      <c r="AY132" s="13"/>
      <c r="AZ132" s="12" t="s">
        <v>548</v>
      </c>
      <c r="BA132" s="13" t="s">
        <v>549</v>
      </c>
      <c r="BB132" s="13"/>
      <c r="BC132" s="13"/>
      <c r="BD132" s="13" t="s">
        <v>550</v>
      </c>
      <c r="BE132" s="13" t="s">
        <v>285</v>
      </c>
      <c r="BF132" s="13"/>
      <c r="BG132" s="13"/>
      <c r="BH132" s="13"/>
      <c r="BI132" s="13"/>
      <c r="BJ132" s="5">
        <f>COUNTIF(M132,"*")+COUNTIF(W132,"*")+COUNTIF(AL132,"*")+COUNTIF(AZ132,"*")</f>
        <v>1</v>
      </c>
    </row>
    <row r="133" spans="1:62" ht="27.6" hidden="1">
      <c r="A133" s="24">
        <v>6</v>
      </c>
      <c r="B133" s="24">
        <v>8</v>
      </c>
      <c r="C133" s="246" t="s">
        <v>520</v>
      </c>
      <c r="D133" s="246"/>
      <c r="E133" s="24"/>
      <c r="F133" s="24" t="s">
        <v>551</v>
      </c>
      <c r="G133" s="291"/>
      <c r="H133" s="291"/>
      <c r="I133" s="229"/>
      <c r="J133" s="24"/>
      <c r="K133" s="229"/>
      <c r="L133" s="229"/>
      <c r="M133" s="197"/>
      <c r="N133" s="309"/>
      <c r="O133" s="13"/>
      <c r="P133" s="13"/>
      <c r="Q133" s="13"/>
      <c r="R133" s="13"/>
      <c r="S133" s="13"/>
      <c r="T133" s="13"/>
      <c r="U133" s="167"/>
      <c r="V133" s="13"/>
      <c r="W133" s="13" t="s">
        <v>552</v>
      </c>
      <c r="X133" s="13" t="s">
        <v>552</v>
      </c>
      <c r="Y133" s="13"/>
      <c r="Z133" s="13"/>
      <c r="AA133" s="13" t="s">
        <v>553</v>
      </c>
      <c r="AB133" s="319" t="s">
        <v>371</v>
      </c>
      <c r="AC133" s="319" t="s">
        <v>279</v>
      </c>
      <c r="AD133" s="319">
        <v>0</v>
      </c>
      <c r="AE133" s="319">
        <v>100</v>
      </c>
      <c r="AF133" s="319" t="s">
        <v>80</v>
      </c>
      <c r="AG133" s="319"/>
      <c r="AH133" s="319"/>
      <c r="AI133" s="379"/>
      <c r="AJ133" s="167"/>
      <c r="AK133" s="13"/>
      <c r="AL133" s="12"/>
      <c r="AM133" s="13"/>
      <c r="AN133" s="13"/>
      <c r="AO133" s="13"/>
      <c r="AP133" s="13"/>
      <c r="AQ133" s="13"/>
      <c r="AR133" s="13"/>
      <c r="AS133" s="13"/>
      <c r="AT133" s="13"/>
      <c r="AU133" s="13"/>
      <c r="AV133" s="13"/>
      <c r="AW133" s="13"/>
      <c r="AX133" s="167"/>
      <c r="AY133" s="13"/>
      <c r="AZ133" s="12"/>
      <c r="BA133" s="13"/>
      <c r="BB133" s="13"/>
      <c r="BC133" s="13"/>
      <c r="BD133" s="13"/>
      <c r="BE133" s="13"/>
      <c r="BF133" s="13"/>
      <c r="BG133" s="13"/>
      <c r="BH133" s="13"/>
      <c r="BI133" s="13"/>
      <c r="BJ133" s="5">
        <f>COUNTIF(M133,"*")+COUNTIF(W133,"*")+COUNTIF(AL133,"*")+COUNTIF(AZ133,"*")</f>
        <v>1</v>
      </c>
    </row>
    <row r="134" spans="1:62" ht="41.4" hidden="1">
      <c r="A134" s="24">
        <v>6</v>
      </c>
      <c r="B134" s="24">
        <v>9</v>
      </c>
      <c r="C134" s="246" t="s">
        <v>520</v>
      </c>
      <c r="D134" s="246"/>
      <c r="E134" s="24"/>
      <c r="F134" s="24" t="s">
        <v>554</v>
      </c>
      <c r="G134" s="291"/>
      <c r="H134" s="291"/>
      <c r="I134" s="229"/>
      <c r="J134" s="24"/>
      <c r="K134" s="229"/>
      <c r="L134" s="229"/>
      <c r="M134" s="197"/>
      <c r="N134" s="309"/>
      <c r="O134" s="13"/>
      <c r="P134" s="13"/>
      <c r="Q134" s="13"/>
      <c r="R134" s="13"/>
      <c r="S134" s="13"/>
      <c r="T134" s="13"/>
      <c r="U134" s="167"/>
      <c r="V134" s="13"/>
      <c r="W134" s="13" t="s">
        <v>555</v>
      </c>
      <c r="X134" s="13" t="s">
        <v>555</v>
      </c>
      <c r="Y134" s="13"/>
      <c r="Z134" s="13"/>
      <c r="AA134" s="13" t="s">
        <v>556</v>
      </c>
      <c r="AB134" s="154" t="s">
        <v>371</v>
      </c>
      <c r="AC134" s="154" t="s">
        <v>279</v>
      </c>
      <c r="AD134" s="154">
        <v>0</v>
      </c>
      <c r="AE134" s="154">
        <v>100</v>
      </c>
      <c r="AF134" s="154" t="s">
        <v>80</v>
      </c>
      <c r="AG134" s="154"/>
      <c r="AH134" s="154"/>
      <c r="AI134" s="379"/>
      <c r="AJ134" s="167"/>
      <c r="AK134" s="13"/>
      <c r="AL134" s="12"/>
      <c r="AM134" s="13"/>
      <c r="AN134" s="13"/>
      <c r="AO134" s="13"/>
      <c r="AP134" s="13"/>
      <c r="AQ134" s="13"/>
      <c r="AR134" s="13"/>
      <c r="AS134" s="13"/>
      <c r="AT134" s="13"/>
      <c r="AU134" s="13"/>
      <c r="AV134" s="13"/>
      <c r="AW134" s="13"/>
      <c r="AX134" s="167"/>
      <c r="AY134" s="13"/>
      <c r="AZ134" s="12"/>
      <c r="BA134" s="13"/>
      <c r="BB134" s="13"/>
      <c r="BC134" s="13"/>
      <c r="BD134" s="13"/>
      <c r="BE134" s="13"/>
      <c r="BF134" s="13"/>
      <c r="BG134" s="13"/>
      <c r="BH134" s="13"/>
      <c r="BI134" s="13"/>
      <c r="BJ134" s="5">
        <f>COUNTIF(M134,"*")+COUNTIF(W134,"*")+COUNTIF(AL134,"*")+COUNTIF(AZ134,"*")</f>
        <v>1</v>
      </c>
    </row>
    <row r="135" spans="1:62" ht="32.4" hidden="1" customHeight="1">
      <c r="A135" s="24">
        <v>6</v>
      </c>
      <c r="B135" s="24">
        <v>10</v>
      </c>
      <c r="C135" s="246" t="s">
        <v>520</v>
      </c>
      <c r="D135" s="246"/>
      <c r="E135" s="24"/>
      <c r="F135" s="24" t="s">
        <v>557</v>
      </c>
      <c r="G135" s="291"/>
      <c r="H135" s="291"/>
      <c r="I135" s="229"/>
      <c r="J135" s="24"/>
      <c r="K135" s="229"/>
      <c r="L135" s="229"/>
      <c r="M135" s="197"/>
      <c r="N135" s="309"/>
      <c r="O135" s="13"/>
      <c r="P135" s="13"/>
      <c r="Q135" s="13"/>
      <c r="R135" s="13"/>
      <c r="S135" s="13"/>
      <c r="T135" s="13"/>
      <c r="U135" s="167"/>
      <c r="V135" s="13"/>
      <c r="W135" s="13" t="s">
        <v>558</v>
      </c>
      <c r="X135" s="13" t="s">
        <v>558</v>
      </c>
      <c r="Y135" s="13"/>
      <c r="Z135" s="13"/>
      <c r="AA135" s="13" t="s">
        <v>559</v>
      </c>
      <c r="AB135" s="319" t="s">
        <v>371</v>
      </c>
      <c r="AC135" s="319" t="s">
        <v>279</v>
      </c>
      <c r="AD135" s="319">
        <v>0</v>
      </c>
      <c r="AE135" s="319">
        <v>100</v>
      </c>
      <c r="AF135" s="319" t="s">
        <v>80</v>
      </c>
      <c r="AG135" s="319"/>
      <c r="AH135" s="319"/>
      <c r="AI135" s="379"/>
      <c r="AJ135" s="167"/>
      <c r="AK135" s="13"/>
      <c r="AL135" s="12"/>
      <c r="AM135" s="13"/>
      <c r="AN135" s="13"/>
      <c r="AO135" s="13"/>
      <c r="AP135" s="13"/>
      <c r="AQ135" s="13"/>
      <c r="AR135" s="13"/>
      <c r="AS135" s="13"/>
      <c r="AT135" s="13"/>
      <c r="AU135" s="13"/>
      <c r="AV135" s="13"/>
      <c r="AW135" s="13"/>
      <c r="AX135" s="167"/>
      <c r="AY135" s="13"/>
      <c r="AZ135" s="12"/>
      <c r="BA135" s="13"/>
      <c r="BB135" s="13"/>
      <c r="BC135" s="13"/>
      <c r="BD135" s="13"/>
      <c r="BE135" s="13"/>
      <c r="BF135" s="13"/>
      <c r="BG135" s="13"/>
      <c r="BH135" s="13"/>
      <c r="BI135" s="13"/>
      <c r="BJ135" s="5">
        <f>COUNTIF(M135,"*")+COUNTIF(W135,"*")+COUNTIF(AL135,"*")+COUNTIF(AZ135,"*")</f>
        <v>1</v>
      </c>
    </row>
    <row r="136" spans="1:62" ht="13.8" hidden="1">
      <c r="A136" s="24">
        <v>6</v>
      </c>
      <c r="B136" s="24">
        <v>11</v>
      </c>
      <c r="C136" s="246" t="s">
        <v>520</v>
      </c>
      <c r="D136" s="246"/>
      <c r="E136" s="24"/>
      <c r="F136" s="24" t="s">
        <v>560</v>
      </c>
      <c r="G136" s="291"/>
      <c r="H136" s="291"/>
      <c r="I136" s="229"/>
      <c r="J136" s="24"/>
      <c r="K136" s="229"/>
      <c r="L136" s="229"/>
      <c r="M136" s="197"/>
      <c r="N136" s="309"/>
      <c r="O136" s="13"/>
      <c r="P136" s="13"/>
      <c r="Q136" s="13"/>
      <c r="R136" s="13"/>
      <c r="S136" s="13"/>
      <c r="T136" s="13"/>
      <c r="U136" s="167"/>
      <c r="V136" s="13"/>
      <c r="W136" s="13" t="s">
        <v>561</v>
      </c>
      <c r="X136" s="13" t="s">
        <v>561</v>
      </c>
      <c r="Y136" s="13"/>
      <c r="Z136" s="13"/>
      <c r="AA136" s="13" t="s">
        <v>562</v>
      </c>
      <c r="AB136" s="154" t="s">
        <v>371</v>
      </c>
      <c r="AC136" s="154" t="s">
        <v>279</v>
      </c>
      <c r="AD136" s="154">
        <v>0</v>
      </c>
      <c r="AE136" s="154">
        <v>100</v>
      </c>
      <c r="AF136" s="154" t="s">
        <v>80</v>
      </c>
      <c r="AG136" s="154"/>
      <c r="AH136" s="154"/>
      <c r="AI136" s="379"/>
      <c r="AJ136" s="167"/>
      <c r="AK136" s="13"/>
      <c r="AL136" s="12"/>
      <c r="AM136" s="13"/>
      <c r="AN136" s="13"/>
      <c r="AO136" s="13"/>
      <c r="AP136" s="13"/>
      <c r="AQ136" s="13"/>
      <c r="AR136" s="13"/>
      <c r="AS136" s="13"/>
      <c r="AT136" s="13"/>
      <c r="AU136" s="13"/>
      <c r="AV136" s="13"/>
      <c r="AW136" s="13"/>
      <c r="AX136" s="167"/>
      <c r="AY136" s="13"/>
      <c r="AZ136" s="12"/>
      <c r="BA136" s="13"/>
      <c r="BB136" s="13"/>
      <c r="BC136" s="13"/>
      <c r="BD136" s="13"/>
      <c r="BE136" s="13"/>
      <c r="BF136" s="13"/>
      <c r="BG136" s="13"/>
      <c r="BH136" s="13"/>
      <c r="BI136" s="13"/>
      <c r="BJ136" s="5">
        <f>COUNTIF(M136,"*")+COUNTIF(W136,"*")+COUNTIF(AL136,"*")+COUNTIF(AZ136,"*")</f>
        <v>1</v>
      </c>
    </row>
    <row r="137" spans="1:62" ht="32.4" hidden="1" customHeight="1">
      <c r="A137" s="24">
        <v>6</v>
      </c>
      <c r="B137" s="24">
        <v>12</v>
      </c>
      <c r="C137" s="246" t="s">
        <v>520</v>
      </c>
      <c r="D137" s="246"/>
      <c r="E137" s="24"/>
      <c r="F137" s="24" t="s">
        <v>563</v>
      </c>
      <c r="G137" s="291"/>
      <c r="H137" s="291"/>
      <c r="I137" s="229"/>
      <c r="J137" s="24"/>
      <c r="K137" s="229"/>
      <c r="L137" s="229"/>
      <c r="M137" s="197"/>
      <c r="N137" s="309"/>
      <c r="O137" s="13"/>
      <c r="P137" s="13"/>
      <c r="Q137" s="13"/>
      <c r="R137" s="13"/>
      <c r="S137" s="13"/>
      <c r="T137" s="13"/>
      <c r="U137" s="167"/>
      <c r="V137" s="13"/>
      <c r="W137" s="13" t="s">
        <v>564</v>
      </c>
      <c r="X137" s="13" t="s">
        <v>564</v>
      </c>
      <c r="Y137" s="13"/>
      <c r="Z137" s="13"/>
      <c r="AA137" s="13" t="s">
        <v>565</v>
      </c>
      <c r="AB137" s="154" t="s">
        <v>371</v>
      </c>
      <c r="AC137" s="154" t="s">
        <v>279</v>
      </c>
      <c r="AD137" s="154">
        <v>0</v>
      </c>
      <c r="AE137" s="154">
        <v>100</v>
      </c>
      <c r="AF137" s="154" t="s">
        <v>80</v>
      </c>
      <c r="AG137" s="154"/>
      <c r="AH137" s="154"/>
      <c r="AI137" s="379"/>
      <c r="AJ137" s="167"/>
      <c r="AK137" s="13"/>
      <c r="AL137" s="12"/>
      <c r="AM137" s="13"/>
      <c r="AN137" s="13"/>
      <c r="AO137" s="13"/>
      <c r="AP137" s="13"/>
      <c r="AQ137" s="13"/>
      <c r="AR137" s="13"/>
      <c r="AS137" s="13"/>
      <c r="AT137" s="13"/>
      <c r="AU137" s="13"/>
      <c r="AV137" s="13"/>
      <c r="AW137" s="13"/>
      <c r="AX137" s="167"/>
      <c r="AY137" s="13"/>
      <c r="AZ137" s="12"/>
      <c r="BA137" s="13"/>
      <c r="BB137" s="13"/>
      <c r="BC137" s="13"/>
      <c r="BD137" s="13"/>
      <c r="BE137" s="13"/>
      <c r="BF137" s="13"/>
      <c r="BG137" s="13"/>
      <c r="BH137" s="13"/>
      <c r="BI137" s="13"/>
      <c r="BJ137" s="5">
        <f>COUNTIF(M137,"*")+COUNTIF(W137,"*")+COUNTIF(AL137,"*")+COUNTIF(AZ137,"*")</f>
        <v>1</v>
      </c>
    </row>
    <row r="138" spans="1:62" ht="32.4" hidden="1" customHeight="1">
      <c r="A138" s="24">
        <v>6</v>
      </c>
      <c r="B138" s="400">
        <v>13</v>
      </c>
      <c r="C138" s="401" t="s">
        <v>520</v>
      </c>
      <c r="D138" s="246"/>
      <c r="E138" s="24"/>
      <c r="F138" s="400" t="s">
        <v>1989</v>
      </c>
      <c r="G138" s="402"/>
      <c r="H138" s="291"/>
      <c r="I138" s="403"/>
      <c r="J138" s="24"/>
      <c r="K138" s="229"/>
      <c r="L138" s="403"/>
      <c r="M138" s="397"/>
      <c r="N138" s="309"/>
      <c r="O138" s="13"/>
      <c r="P138" s="13"/>
      <c r="Q138" s="13"/>
      <c r="R138" s="13"/>
      <c r="S138" s="13"/>
      <c r="T138" s="13"/>
      <c r="U138" s="167"/>
      <c r="V138" s="13"/>
      <c r="W138" s="13" t="s">
        <v>566</v>
      </c>
      <c r="X138" s="36" t="s">
        <v>566</v>
      </c>
      <c r="Y138" s="36"/>
      <c r="Z138" s="36"/>
      <c r="AA138" s="13" t="s">
        <v>567</v>
      </c>
      <c r="AB138" s="319" t="s">
        <v>371</v>
      </c>
      <c r="AC138" s="319" t="s">
        <v>279</v>
      </c>
      <c r="AD138" s="319">
        <v>0</v>
      </c>
      <c r="AE138" s="319">
        <v>100</v>
      </c>
      <c r="AF138" s="319" t="s">
        <v>80</v>
      </c>
      <c r="AG138" s="319"/>
      <c r="AH138" s="319"/>
      <c r="AI138" s="379"/>
      <c r="AJ138" s="167"/>
      <c r="AK138" s="36"/>
      <c r="AL138" s="195"/>
      <c r="AM138" s="36"/>
      <c r="AN138" s="36"/>
      <c r="AO138" s="36"/>
      <c r="AP138" s="36"/>
      <c r="AQ138" s="13"/>
      <c r="AR138" s="13"/>
      <c r="AS138" s="13"/>
      <c r="AT138" s="13"/>
      <c r="AU138" s="13"/>
      <c r="AV138" s="13"/>
      <c r="AW138" s="13"/>
      <c r="AX138" s="167"/>
      <c r="AY138" s="13"/>
      <c r="AZ138" s="12"/>
      <c r="BA138" s="36"/>
      <c r="BB138" s="36"/>
      <c r="BC138" s="36"/>
      <c r="BD138" s="13"/>
      <c r="BE138" s="13"/>
      <c r="BF138" s="13"/>
      <c r="BG138" s="13"/>
      <c r="BH138" s="13"/>
      <c r="BI138" s="13"/>
      <c r="BJ138" s="351">
        <f>COUNTIF(M138,"*")+COUNTIF(W138,"*")+COUNTIF(AL138,"*")+COUNTIF(AZ138,"*")</f>
        <v>1</v>
      </c>
    </row>
    <row r="139" spans="1:62" ht="32.4" customHeight="1">
      <c r="A139" s="1">
        <v>7</v>
      </c>
      <c r="B139" s="1">
        <v>1</v>
      </c>
      <c r="C139" s="1" t="s">
        <v>568</v>
      </c>
      <c r="D139" s="1"/>
      <c r="E139" s="1" t="s">
        <v>1624</v>
      </c>
      <c r="F139" s="1" t="s">
        <v>569</v>
      </c>
      <c r="G139" s="441" t="s">
        <v>570</v>
      </c>
      <c r="H139" s="208" t="str">
        <f>_xlfn.CONCAT("'&lt;br&gt;','&lt;b&gt;','",F139, ": ','&lt;/b&gt;',",G139, ",'&lt;/br&gt;',")</f>
        <v>'&lt;br&gt;','&lt;b&gt;','Diameter of the 50th percentile streambed particle: ','&lt;/b&gt;',D50,'&lt;/br&gt;',</v>
      </c>
      <c r="I139" s="441" t="s">
        <v>1823</v>
      </c>
      <c r="J139" s="1" t="s">
        <v>265</v>
      </c>
      <c r="K139" s="230"/>
      <c r="L139" s="441"/>
      <c r="M139" s="201" t="s">
        <v>1891</v>
      </c>
      <c r="N139" s="309"/>
      <c r="O139" s="192" t="s">
        <v>570</v>
      </c>
      <c r="P139" s="9"/>
      <c r="Q139" s="9"/>
      <c r="R139" s="9"/>
      <c r="S139" s="9">
        <v>6797</v>
      </c>
      <c r="T139" s="9"/>
      <c r="U139" s="166"/>
      <c r="V139" s="9"/>
      <c r="W139" s="13" t="s">
        <v>570</v>
      </c>
      <c r="X139" s="278" t="s">
        <v>570</v>
      </c>
      <c r="Y139" s="153"/>
      <c r="Z139" s="153"/>
      <c r="AA139" s="13" t="s">
        <v>571</v>
      </c>
      <c r="AB139" s="154" t="s">
        <v>371</v>
      </c>
      <c r="AC139" s="154" t="s">
        <v>572</v>
      </c>
      <c r="AD139" s="154">
        <v>1</v>
      </c>
      <c r="AE139" s="154">
        <v>4098</v>
      </c>
      <c r="AF139" s="154" t="s">
        <v>388</v>
      </c>
      <c r="AG139" s="154"/>
      <c r="AH139" s="154">
        <v>6801</v>
      </c>
      <c r="AI139" s="379"/>
      <c r="AJ139" s="166"/>
      <c r="AK139" s="385"/>
      <c r="AL139" s="201"/>
      <c r="AM139" s="310"/>
      <c r="AN139" s="201"/>
      <c r="AO139" s="310"/>
      <c r="AP139" s="310"/>
      <c r="AQ139" s="13"/>
      <c r="AR139" s="13"/>
      <c r="AS139" s="13"/>
      <c r="AT139" s="13"/>
      <c r="AU139" s="13"/>
      <c r="AV139" s="13">
        <v>6874</v>
      </c>
      <c r="AW139" s="13"/>
      <c r="AX139" s="166"/>
      <c r="AY139" s="9"/>
      <c r="AZ139" s="12" t="s">
        <v>569</v>
      </c>
      <c r="BA139" s="201" t="s">
        <v>570</v>
      </c>
      <c r="BB139" s="310"/>
      <c r="BC139" s="310"/>
      <c r="BD139" s="13" t="s">
        <v>573</v>
      </c>
      <c r="BE139" s="13" t="s">
        <v>250</v>
      </c>
      <c r="BF139" s="13">
        <v>6797</v>
      </c>
      <c r="BG139" s="13" t="s">
        <v>2008</v>
      </c>
      <c r="BH139" s="13"/>
      <c r="BI139" s="13"/>
      <c r="BJ139" s="278">
        <f>COUNTIF(O139,"*")+COUNTIF(W139,"*")+COUNTIF(AL139,"*")+COUNTIF(AZ139,"*")</f>
        <v>3</v>
      </c>
    </row>
    <row r="140" spans="1:62" ht="27.6">
      <c r="A140" s="1">
        <v>7</v>
      </c>
      <c r="B140" s="1">
        <v>4</v>
      </c>
      <c r="C140" s="1" t="s">
        <v>568</v>
      </c>
      <c r="D140" s="1"/>
      <c r="E140" s="1" t="s">
        <v>1624</v>
      </c>
      <c r="F140" s="1" t="s">
        <v>580</v>
      </c>
      <c r="G140" s="441" t="s">
        <v>581</v>
      </c>
      <c r="H140" s="208" t="str">
        <f>_xlfn.CONCAT("'&lt;br&gt;','&lt;b&gt;','",F140, ": ','&lt;/b&gt;',",G140, ",'&lt;/br&gt;',")</f>
        <v>'&lt;br&gt;','&lt;b&gt;','Percent of streambed particles &lt;2mm: ','&lt;/b&gt;',PctFines2,'&lt;/br&gt;',</v>
      </c>
      <c r="I140" s="441" t="s">
        <v>1825</v>
      </c>
      <c r="J140" s="1" t="s">
        <v>265</v>
      </c>
      <c r="K140" s="366"/>
      <c r="L140" s="441"/>
      <c r="M140" s="201"/>
      <c r="N140" s="310"/>
      <c r="O140" s="13" t="s">
        <v>582</v>
      </c>
      <c r="P140" s="13"/>
      <c r="Q140" s="13"/>
      <c r="R140" s="13"/>
      <c r="S140" s="9">
        <v>6797</v>
      </c>
      <c r="T140" s="9"/>
      <c r="U140" s="167"/>
      <c r="V140" s="13"/>
      <c r="W140" s="13" t="s">
        <v>583</v>
      </c>
      <c r="X140" s="278" t="s">
        <v>593</v>
      </c>
      <c r="Y140" s="153"/>
      <c r="Z140" s="153"/>
      <c r="AA140" s="13" t="s">
        <v>584</v>
      </c>
      <c r="AB140" s="319" t="s">
        <v>309</v>
      </c>
      <c r="AC140" s="319" t="s">
        <v>279</v>
      </c>
      <c r="AD140" s="319">
        <v>0</v>
      </c>
      <c r="AE140" s="319">
        <v>100</v>
      </c>
      <c r="AF140" s="319" t="s">
        <v>585</v>
      </c>
      <c r="AG140" s="319"/>
      <c r="AH140" s="319">
        <v>6862</v>
      </c>
      <c r="AI140" s="379"/>
      <c r="AJ140" s="167"/>
      <c r="AK140" s="153"/>
      <c r="AL140" s="369" t="s">
        <v>586</v>
      </c>
      <c r="AM140" s="371"/>
      <c r="AN140" s="369" t="s">
        <v>586</v>
      </c>
      <c r="AO140" s="371"/>
      <c r="AP140" s="371"/>
      <c r="AQ140" s="319" t="s">
        <v>587</v>
      </c>
      <c r="AR140" s="319" t="s">
        <v>588</v>
      </c>
      <c r="AS140" s="319" t="s">
        <v>588</v>
      </c>
      <c r="AT140" s="13" t="s">
        <v>279</v>
      </c>
      <c r="AU140" s="13"/>
      <c r="AV140" s="13">
        <v>6874</v>
      </c>
      <c r="AW140" s="13"/>
      <c r="AX140" s="167"/>
      <c r="AY140" s="13"/>
      <c r="AZ140" s="12"/>
      <c r="BA140" s="201"/>
      <c r="BB140" s="310"/>
      <c r="BC140" s="310"/>
      <c r="BD140" s="13"/>
      <c r="BE140" s="13"/>
      <c r="BF140" s="13">
        <v>6797</v>
      </c>
      <c r="BG140" s="13" t="s">
        <v>2008</v>
      </c>
      <c r="BH140" s="13"/>
      <c r="BI140" s="13"/>
      <c r="BJ140" s="278">
        <f>COUNTIF(O140,"*")+COUNTIF(W140,"*")+COUNTIF(AL140,"*")+COUNTIF(AZ140,"*")</f>
        <v>3</v>
      </c>
    </row>
    <row r="141" spans="1:62" ht="27.6">
      <c r="A141" s="1">
        <v>7</v>
      </c>
      <c r="B141" s="1">
        <v>5</v>
      </c>
      <c r="C141" s="1" t="s">
        <v>568</v>
      </c>
      <c r="D141" s="1"/>
      <c r="E141" s="1" t="s">
        <v>1624</v>
      </c>
      <c r="F141" s="1" t="s">
        <v>589</v>
      </c>
      <c r="G141" s="441" t="s">
        <v>590</v>
      </c>
      <c r="H141" s="208" t="str">
        <f>_xlfn.CONCAT("'&lt;br&gt;','&lt;b&gt;','",F141, ": ','&lt;/b&gt;',",G141, ",'&lt;/br&gt;',")</f>
        <v>'&lt;br&gt;','&lt;b&gt;','Percent of streambed particles &lt;6mm: ','&lt;/b&gt;',PctFines6,'&lt;/br&gt;',</v>
      </c>
      <c r="I141" s="441" t="s">
        <v>1827</v>
      </c>
      <c r="J141" s="1" t="s">
        <v>265</v>
      </c>
      <c r="K141" s="365"/>
      <c r="L141" s="441"/>
      <c r="M141" s="201"/>
      <c r="N141" s="281"/>
      <c r="O141" s="13" t="s">
        <v>591</v>
      </c>
      <c r="P141" s="13"/>
      <c r="Q141" s="13"/>
      <c r="R141" s="13"/>
      <c r="S141" s="9">
        <v>6797</v>
      </c>
      <c r="T141" s="9"/>
      <c r="U141" s="167"/>
      <c r="V141" s="13"/>
      <c r="W141" s="13" t="s">
        <v>590</v>
      </c>
      <c r="X141" s="278" t="s">
        <v>1582</v>
      </c>
      <c r="Y141" s="163"/>
      <c r="Z141" s="163"/>
      <c r="AA141" s="13" t="s">
        <v>592</v>
      </c>
      <c r="AB141" s="154" t="s">
        <v>309</v>
      </c>
      <c r="AC141" s="154" t="s">
        <v>279</v>
      </c>
      <c r="AD141" s="154">
        <v>0</v>
      </c>
      <c r="AE141" s="154">
        <v>100</v>
      </c>
      <c r="AF141" s="154" t="s">
        <v>585</v>
      </c>
      <c r="AG141" s="154"/>
      <c r="AH141" s="154">
        <v>6801</v>
      </c>
      <c r="AI141" s="379"/>
      <c r="AJ141" s="167"/>
      <c r="AK141" s="380"/>
      <c r="AL141" s="369" t="s">
        <v>593</v>
      </c>
      <c r="AM141" s="303"/>
      <c r="AN141" s="369" t="s">
        <v>593</v>
      </c>
      <c r="AO141" s="303"/>
      <c r="AP141" s="303"/>
      <c r="AQ141" s="319" t="s">
        <v>587</v>
      </c>
      <c r="AR141" s="262" t="s">
        <v>594</v>
      </c>
      <c r="AS141" s="262" t="s">
        <v>594</v>
      </c>
      <c r="AT141" s="262" t="s">
        <v>279</v>
      </c>
      <c r="AU141" s="262"/>
      <c r="AV141" s="262">
        <v>6874</v>
      </c>
      <c r="AW141" s="379"/>
      <c r="AX141" s="167"/>
      <c r="AY141" s="13"/>
      <c r="AZ141" s="12"/>
      <c r="BA141" s="201"/>
      <c r="BB141" s="309"/>
      <c r="BC141" s="309"/>
      <c r="BD141" s="13"/>
      <c r="BE141" s="13"/>
      <c r="BF141" s="13">
        <v>6797</v>
      </c>
      <c r="BG141" s="13" t="s">
        <v>2008</v>
      </c>
      <c r="BH141" s="13"/>
      <c r="BI141" s="13"/>
      <c r="BJ141" s="278">
        <f>COUNTIF(O141,"*")+COUNTIF(W141,"*")+COUNTIF(AL141,"*")+COUNTIF(AZ141,"*")</f>
        <v>3</v>
      </c>
    </row>
    <row r="142" spans="1:62" ht="32.4" customHeight="1">
      <c r="A142" s="1">
        <v>7</v>
      </c>
      <c r="B142" s="1">
        <v>32</v>
      </c>
      <c r="C142" s="1" t="s">
        <v>568</v>
      </c>
      <c r="D142" s="1"/>
      <c r="E142" s="1"/>
      <c r="F142" s="1" t="s">
        <v>574</v>
      </c>
      <c r="G142" s="230" t="s">
        <v>1584</v>
      </c>
      <c r="H142" s="208" t="str">
        <f>_xlfn.CONCAT("'&lt;br&gt;','&lt;b&gt;','",F142, ": ','&lt;/b&gt;',",G142, ",'&lt;/br&gt;',")</f>
        <v>'&lt;br&gt;','&lt;b&gt;','Percent pool tail fines &lt; 2mm: ','&lt;/b&gt;',PoolTailFines2,'&lt;/br&gt;',</v>
      </c>
      <c r="I142" s="366" t="s">
        <v>1824</v>
      </c>
      <c r="J142" s="1" t="s">
        <v>265</v>
      </c>
      <c r="K142" s="365"/>
      <c r="L142" s="366"/>
      <c r="M142" s="419"/>
      <c r="N142" s="281"/>
      <c r="O142" s="192" t="s">
        <v>576</v>
      </c>
      <c r="P142" s="9"/>
      <c r="Q142" s="9"/>
      <c r="R142" s="9"/>
      <c r="S142" s="9">
        <v>6798</v>
      </c>
      <c r="T142" s="9"/>
      <c r="U142" s="166"/>
      <c r="V142" s="9"/>
      <c r="W142" s="13" t="s">
        <v>575</v>
      </c>
      <c r="X142" s="272" t="s">
        <v>1583</v>
      </c>
      <c r="Y142" s="13"/>
      <c r="Z142" s="13"/>
      <c r="AA142" s="13" t="s">
        <v>577</v>
      </c>
      <c r="AB142" s="154" t="s">
        <v>309</v>
      </c>
      <c r="AC142" s="154" t="s">
        <v>279</v>
      </c>
      <c r="AD142" s="154">
        <v>0</v>
      </c>
      <c r="AE142" s="154">
        <v>100</v>
      </c>
      <c r="AF142" s="154" t="s">
        <v>578</v>
      </c>
      <c r="AG142" s="154"/>
      <c r="AH142" s="190">
        <v>6862</v>
      </c>
      <c r="AI142" s="379"/>
      <c r="AJ142" s="166"/>
      <c r="AK142" s="166"/>
      <c r="AL142" s="416"/>
      <c r="AM142" s="236"/>
      <c r="AN142" s="309"/>
      <c r="AO142" s="236"/>
      <c r="AP142" s="236"/>
      <c r="AQ142" s="13"/>
      <c r="AR142" s="13"/>
      <c r="AS142" s="13"/>
      <c r="AT142" s="13"/>
      <c r="AU142" s="13"/>
      <c r="AV142" s="13"/>
      <c r="AW142" s="13"/>
      <c r="AX142" s="166"/>
      <c r="AY142" s="9"/>
      <c r="AZ142" s="12" t="s">
        <v>574</v>
      </c>
      <c r="BA142" s="416" t="s">
        <v>1571</v>
      </c>
      <c r="BB142" s="236"/>
      <c r="BC142" s="236"/>
      <c r="BD142" s="13" t="s">
        <v>579</v>
      </c>
      <c r="BE142" s="13" t="s">
        <v>331</v>
      </c>
      <c r="BF142" s="13">
        <v>6862</v>
      </c>
      <c r="BG142" s="13"/>
      <c r="BH142" s="13"/>
      <c r="BI142" s="13"/>
      <c r="BJ142" s="339">
        <f>COUNTIF(O142,"*")+COUNTIF(W142,"*")+COUNTIF(AL142,"*")+COUNTIF(AZ142,"*")</f>
        <v>3</v>
      </c>
    </row>
    <row r="143" spans="1:62" ht="41.4">
      <c r="A143" s="1">
        <v>7</v>
      </c>
      <c r="B143" s="1">
        <v>33</v>
      </c>
      <c r="C143" s="1" t="s">
        <v>568</v>
      </c>
      <c r="D143" s="1"/>
      <c r="E143" s="1"/>
      <c r="F143" s="1" t="s">
        <v>601</v>
      </c>
      <c r="G143" s="208" t="s">
        <v>602</v>
      </c>
      <c r="H143" s="208" t="str">
        <f>_xlfn.CONCAT("'&lt;br&gt;','&lt;b&gt;','",F143, ": ','&lt;/b&gt;',",G143, ",'&lt;/br&gt;',")</f>
        <v>'&lt;br&gt;','&lt;b&gt;','Percent pool tail fines &lt; 6mm: ','&lt;/b&gt;',PoolTailFines6,'&lt;/br&gt;',</v>
      </c>
      <c r="I143" s="365" t="s">
        <v>1826</v>
      </c>
      <c r="J143" s="1" t="s">
        <v>265</v>
      </c>
      <c r="K143" s="365"/>
      <c r="L143" s="365"/>
      <c r="M143" s="355" t="s">
        <v>1892</v>
      </c>
      <c r="N143" s="281"/>
      <c r="O143" s="13"/>
      <c r="P143" s="13"/>
      <c r="Q143" s="13"/>
      <c r="R143" s="13"/>
      <c r="S143" s="13"/>
      <c r="T143" s="13"/>
      <c r="U143" s="167"/>
      <c r="V143" s="13"/>
      <c r="W143" s="13" t="s">
        <v>602</v>
      </c>
      <c r="X143" s="279" t="s">
        <v>1742</v>
      </c>
      <c r="Y143" s="36"/>
      <c r="Z143" s="36"/>
      <c r="AA143" s="13" t="s">
        <v>603</v>
      </c>
      <c r="AB143" s="319" t="s">
        <v>309</v>
      </c>
      <c r="AC143" s="319" t="s">
        <v>279</v>
      </c>
      <c r="AD143" s="319">
        <v>0</v>
      </c>
      <c r="AE143" s="319">
        <v>100</v>
      </c>
      <c r="AF143" s="319" t="s">
        <v>578</v>
      </c>
      <c r="AG143" s="319"/>
      <c r="AH143" s="319">
        <v>6862</v>
      </c>
      <c r="AI143" s="379"/>
      <c r="AJ143" s="167"/>
      <c r="AK143" s="350"/>
      <c r="AL143" s="355"/>
      <c r="AM143" s="281"/>
      <c r="AN143" s="281"/>
      <c r="AO143" s="281"/>
      <c r="AP143" s="281"/>
      <c r="AQ143" s="13"/>
      <c r="AR143" s="13"/>
      <c r="AS143" s="13"/>
      <c r="AT143" s="13"/>
      <c r="AU143" s="13"/>
      <c r="AV143" s="13"/>
      <c r="AW143" s="13"/>
      <c r="AX143" s="167"/>
      <c r="AY143" s="13"/>
      <c r="AZ143" s="12" t="s">
        <v>601</v>
      </c>
      <c r="BA143" s="355" t="s">
        <v>1572</v>
      </c>
      <c r="BB143" s="281"/>
      <c r="BC143" s="281"/>
      <c r="BD143" s="13"/>
      <c r="BE143" s="13" t="s">
        <v>331</v>
      </c>
      <c r="BF143" s="13"/>
      <c r="BG143" s="13"/>
      <c r="BH143" s="13"/>
      <c r="BI143" s="13"/>
      <c r="BJ143" s="5">
        <f>COUNTIF(M143,"*")+COUNTIF(W143,"*")+COUNTIF(AL143,"*")+COUNTIF(AZ143,"*")</f>
        <v>3</v>
      </c>
    </row>
    <row r="144" spans="1:62" ht="138">
      <c r="A144" s="1">
        <v>7</v>
      </c>
      <c r="B144" s="1">
        <v>6</v>
      </c>
      <c r="C144" s="1" t="s">
        <v>568</v>
      </c>
      <c r="D144" s="1"/>
      <c r="E144" s="1"/>
      <c r="F144" s="1" t="s">
        <v>595</v>
      </c>
      <c r="G144" s="208" t="s">
        <v>596</v>
      </c>
      <c r="H144" s="208"/>
      <c r="I144" s="231"/>
      <c r="J144" s="1" t="s">
        <v>265</v>
      </c>
      <c r="K144" s="231"/>
      <c r="L144" s="231"/>
      <c r="M144" s="355"/>
      <c r="N144" s="281"/>
      <c r="O144" s="13"/>
      <c r="P144" s="13"/>
      <c r="Q144" s="13"/>
      <c r="R144" s="13"/>
      <c r="S144" s="13">
        <v>6797</v>
      </c>
      <c r="T144" s="13"/>
      <c r="U144" s="167"/>
      <c r="V144" s="13"/>
      <c r="W144" s="13" t="s">
        <v>596</v>
      </c>
      <c r="X144" s="163" t="s">
        <v>596</v>
      </c>
      <c r="Y144" s="163"/>
      <c r="Z144" s="163"/>
      <c r="AA144" s="13" t="s">
        <v>597</v>
      </c>
      <c r="AB144" s="262" t="s">
        <v>371</v>
      </c>
      <c r="AC144" s="262" t="s">
        <v>572</v>
      </c>
      <c r="AD144" s="262">
        <v>1</v>
      </c>
      <c r="AE144" s="262">
        <v>4098</v>
      </c>
      <c r="AF144" s="262" t="s">
        <v>388</v>
      </c>
      <c r="AG144" s="262"/>
      <c r="AH144" s="262">
        <v>6810</v>
      </c>
      <c r="AI144" s="379"/>
      <c r="AJ144" s="167"/>
      <c r="AK144" s="163"/>
      <c r="AL144" s="199"/>
      <c r="AM144" s="163"/>
      <c r="AN144" s="163"/>
      <c r="AO144" s="163"/>
      <c r="AP144" s="163"/>
      <c r="AQ144" s="13"/>
      <c r="AR144" s="13"/>
      <c r="AS144" s="13"/>
      <c r="AT144" s="13"/>
      <c r="AU144" s="13"/>
      <c r="AV144" s="13"/>
      <c r="AW144" s="13"/>
      <c r="AX144" s="167"/>
      <c r="AY144" s="13"/>
      <c r="AZ144" s="12" t="s">
        <v>595</v>
      </c>
      <c r="BA144" s="163" t="s">
        <v>596</v>
      </c>
      <c r="BB144" s="163"/>
      <c r="BC144" s="163"/>
      <c r="BD144" s="13" t="s">
        <v>573</v>
      </c>
      <c r="BE144" s="13" t="s">
        <v>250</v>
      </c>
      <c r="BF144" s="13"/>
      <c r="BG144" s="13"/>
      <c r="BH144" s="13"/>
      <c r="BI144" s="13"/>
      <c r="BJ144" s="5">
        <f>COUNTIF(M144,"*")+COUNTIF(W144,"*")+COUNTIF(AL144,"*")+COUNTIF(AZ144,"*")</f>
        <v>2</v>
      </c>
    </row>
    <row r="145" spans="1:62" ht="138">
      <c r="A145" s="1">
        <v>7</v>
      </c>
      <c r="B145" s="1">
        <v>7</v>
      </c>
      <c r="C145" s="1" t="s">
        <v>568</v>
      </c>
      <c r="D145" s="1"/>
      <c r="E145" s="1"/>
      <c r="F145" s="1" t="s">
        <v>598</v>
      </c>
      <c r="G145" s="208" t="s">
        <v>599</v>
      </c>
      <c r="H145" s="208"/>
      <c r="I145" s="231"/>
      <c r="J145" s="1" t="s">
        <v>265</v>
      </c>
      <c r="K145" s="231"/>
      <c r="L145" s="231"/>
      <c r="M145" s="355"/>
      <c r="N145" s="281"/>
      <c r="O145" s="13"/>
      <c r="P145" s="13"/>
      <c r="Q145" s="13"/>
      <c r="R145" s="13"/>
      <c r="S145" s="13"/>
      <c r="T145" s="13"/>
      <c r="U145" s="167"/>
      <c r="V145" s="13"/>
      <c r="W145" s="13" t="s">
        <v>599</v>
      </c>
      <c r="X145" s="36" t="s">
        <v>599</v>
      </c>
      <c r="Y145" s="36"/>
      <c r="Z145" s="36"/>
      <c r="AA145" s="13" t="s">
        <v>600</v>
      </c>
      <c r="AB145" s="154" t="s">
        <v>371</v>
      </c>
      <c r="AC145" s="154" t="s">
        <v>572</v>
      </c>
      <c r="AD145" s="154">
        <v>1</v>
      </c>
      <c r="AE145" s="154">
        <v>4098</v>
      </c>
      <c r="AF145" s="154" t="s">
        <v>388</v>
      </c>
      <c r="AG145" s="154"/>
      <c r="AH145" s="190">
        <v>6810</v>
      </c>
      <c r="AI145" s="379"/>
      <c r="AJ145" s="167"/>
      <c r="AK145" s="36"/>
      <c r="AL145" s="195"/>
      <c r="AM145" s="36"/>
      <c r="AN145" s="36"/>
      <c r="AO145" s="36"/>
      <c r="AP145" s="36"/>
      <c r="AQ145" s="13"/>
      <c r="AR145" s="13"/>
      <c r="AS145" s="13"/>
      <c r="AT145" s="13"/>
      <c r="AU145" s="13"/>
      <c r="AV145" s="13"/>
      <c r="AW145" s="13"/>
      <c r="AX145" s="167"/>
      <c r="AY145" s="13"/>
      <c r="AZ145" s="12" t="s">
        <v>598</v>
      </c>
      <c r="BA145" s="36" t="s">
        <v>599</v>
      </c>
      <c r="BB145" s="36"/>
      <c r="BC145" s="36"/>
      <c r="BD145" s="13" t="s">
        <v>573</v>
      </c>
      <c r="BE145" s="13" t="s">
        <v>250</v>
      </c>
      <c r="BF145" s="13"/>
      <c r="BG145" s="13"/>
      <c r="BH145" s="13"/>
      <c r="BI145" s="13"/>
      <c r="BJ145" s="5">
        <f>COUNTIF(M145,"*")+COUNTIF(W145,"*")+COUNTIF(AL145,"*")+COUNTIF(AZ145,"*")</f>
        <v>2</v>
      </c>
    </row>
    <row r="146" spans="1:62" ht="27.6">
      <c r="A146" s="1">
        <v>7</v>
      </c>
      <c r="B146" s="1">
        <v>14</v>
      </c>
      <c r="C146" s="1" t="s">
        <v>568</v>
      </c>
      <c r="D146" s="1"/>
      <c r="E146" s="1"/>
      <c r="F146" s="1" t="s">
        <v>618</v>
      </c>
      <c r="G146" s="208" t="s">
        <v>619</v>
      </c>
      <c r="H146" s="208"/>
      <c r="I146" s="231"/>
      <c r="J146" s="1" t="s">
        <v>265</v>
      </c>
      <c r="K146" s="231"/>
      <c r="L146" s="231"/>
      <c r="M146" s="503" t="s">
        <v>620</v>
      </c>
      <c r="N146" s="504"/>
      <c r="O146" s="9"/>
      <c r="P146" s="9"/>
      <c r="Q146" s="9"/>
      <c r="R146" s="9"/>
      <c r="S146" s="9"/>
      <c r="T146" s="9"/>
      <c r="U146" s="166"/>
      <c r="V146" s="9"/>
      <c r="W146" s="13"/>
      <c r="X146" s="278"/>
      <c r="Y146" s="153"/>
      <c r="Z146" s="153"/>
      <c r="AA146" s="13"/>
      <c r="AB146" s="319"/>
      <c r="AC146" s="319"/>
      <c r="AD146" s="319"/>
      <c r="AE146" s="319"/>
      <c r="AF146" s="319"/>
      <c r="AG146" s="319"/>
      <c r="AH146" s="319"/>
      <c r="AI146" s="379"/>
      <c r="AJ146" s="166"/>
      <c r="AK146" s="385"/>
      <c r="AL146" s="285" t="s">
        <v>621</v>
      </c>
      <c r="AM146" s="237"/>
      <c r="AN146" s="237"/>
      <c r="AO146" s="237"/>
      <c r="AP146" s="237"/>
      <c r="AQ146" s="262" t="s">
        <v>587</v>
      </c>
      <c r="AR146" s="262" t="s">
        <v>622</v>
      </c>
      <c r="AS146" s="262" t="s">
        <v>622</v>
      </c>
      <c r="AT146" s="262" t="s">
        <v>609</v>
      </c>
      <c r="AU146" s="262"/>
      <c r="AV146" s="262"/>
      <c r="AW146" s="379"/>
      <c r="AX146" s="166"/>
      <c r="AY146" s="9"/>
      <c r="AZ146" s="12"/>
      <c r="BA146" s="278"/>
      <c r="BB146" s="153"/>
      <c r="BC146" s="153"/>
      <c r="BD146" s="13"/>
      <c r="BE146" s="13"/>
      <c r="BF146" s="13"/>
      <c r="BG146" s="13"/>
      <c r="BH146" s="13"/>
      <c r="BI146" s="13"/>
      <c r="BJ146" s="5">
        <f>COUNTIF(M146,"*")+COUNTIF(W146,"*")+COUNTIF(AL146,"*")+COUNTIF(AZ146,"*")</f>
        <v>2</v>
      </c>
    </row>
    <row r="147" spans="1:62" ht="41.4">
      <c r="A147" s="1">
        <v>7</v>
      </c>
      <c r="B147" s="1">
        <v>9</v>
      </c>
      <c r="C147" s="1" t="s">
        <v>568</v>
      </c>
      <c r="D147" s="1"/>
      <c r="E147" s="1"/>
      <c r="F147" s="1" t="s">
        <v>604</v>
      </c>
      <c r="G147" s="208"/>
      <c r="H147" s="208"/>
      <c r="I147" s="232"/>
      <c r="J147" s="1"/>
      <c r="K147" s="232"/>
      <c r="L147" s="232"/>
      <c r="M147" s="199" t="s">
        <v>605</v>
      </c>
      <c r="N147" s="163"/>
      <c r="O147" s="13"/>
      <c r="P147" s="13"/>
      <c r="Q147" s="13"/>
      <c r="R147" s="13"/>
      <c r="S147" s="13"/>
      <c r="T147" s="13"/>
      <c r="U147" s="167"/>
      <c r="V147" s="13"/>
      <c r="W147" s="13"/>
      <c r="X147" s="163"/>
      <c r="Y147" s="163"/>
      <c r="Z147" s="163"/>
      <c r="AA147" s="13"/>
      <c r="AB147" s="154"/>
      <c r="AC147" s="154"/>
      <c r="AD147" s="154"/>
      <c r="AE147" s="154"/>
      <c r="AF147" s="154"/>
      <c r="AG147" s="154"/>
      <c r="AH147" s="154"/>
      <c r="AI147" s="379"/>
      <c r="AJ147" s="167"/>
      <c r="AK147" s="163"/>
      <c r="AL147" s="199"/>
      <c r="AM147" s="163"/>
      <c r="AN147" s="163"/>
      <c r="AO147" s="163"/>
      <c r="AP147" s="163"/>
      <c r="AQ147" s="13"/>
      <c r="AR147" s="13"/>
      <c r="AS147" s="13"/>
      <c r="AT147" s="13"/>
      <c r="AU147" s="13"/>
      <c r="AV147" s="13"/>
      <c r="AW147" s="13"/>
      <c r="AX147" s="167"/>
      <c r="AY147" s="13"/>
      <c r="AZ147" s="12"/>
      <c r="BA147" s="163"/>
      <c r="BB147" s="163"/>
      <c r="BC147" s="163"/>
      <c r="BD147" s="13"/>
      <c r="BE147" s="13"/>
      <c r="BF147" s="13"/>
      <c r="BG147" s="13"/>
      <c r="BH147" s="13"/>
      <c r="BI147" s="13"/>
      <c r="BJ147" s="5">
        <f>COUNTIF(M147,"*")+COUNTIF(W147,"*")+COUNTIF(AL147,"*")+COUNTIF(AZ147,"*")</f>
        <v>1</v>
      </c>
    </row>
    <row r="148" spans="1:62" ht="41.4">
      <c r="A148" s="1">
        <v>7</v>
      </c>
      <c r="B148" s="1">
        <v>10</v>
      </c>
      <c r="C148" s="1" t="s">
        <v>568</v>
      </c>
      <c r="D148" s="1"/>
      <c r="E148" s="1"/>
      <c r="F148" s="1" t="s">
        <v>606</v>
      </c>
      <c r="G148" s="208"/>
      <c r="H148" s="208"/>
      <c r="I148" s="1"/>
      <c r="J148" s="1"/>
      <c r="K148" s="1"/>
      <c r="L148" s="1"/>
      <c r="M148" s="12"/>
      <c r="N148" s="13"/>
      <c r="O148" s="13"/>
      <c r="P148" s="13"/>
      <c r="Q148" s="13"/>
      <c r="R148" s="13"/>
      <c r="S148" s="13"/>
      <c r="T148" s="13"/>
      <c r="U148" s="167"/>
      <c r="V148" s="13"/>
      <c r="W148" s="13"/>
      <c r="X148" s="13"/>
      <c r="Y148" s="13"/>
      <c r="Z148" s="13"/>
      <c r="AA148" s="13"/>
      <c r="AB148" s="319"/>
      <c r="AC148" s="319"/>
      <c r="AD148" s="319"/>
      <c r="AE148" s="319"/>
      <c r="AF148" s="319"/>
      <c r="AG148" s="319"/>
      <c r="AH148" s="319"/>
      <c r="AI148" s="379"/>
      <c r="AJ148" s="167"/>
      <c r="AK148" s="13"/>
      <c r="AL148" s="17" t="s">
        <v>607</v>
      </c>
      <c r="AM148" s="387"/>
      <c r="AN148" s="387"/>
      <c r="AO148" s="387"/>
      <c r="AP148" s="387"/>
      <c r="AQ148" s="154" t="s">
        <v>587</v>
      </c>
      <c r="AR148" s="154" t="s">
        <v>608</v>
      </c>
      <c r="AS148" s="154" t="s">
        <v>608</v>
      </c>
      <c r="AT148" s="154" t="s">
        <v>609</v>
      </c>
      <c r="AU148" s="154"/>
      <c r="AV148" s="154"/>
      <c r="AW148" s="379"/>
      <c r="AX148" s="167"/>
      <c r="AY148" s="13"/>
      <c r="AZ148" s="12"/>
      <c r="BA148" s="13"/>
      <c r="BB148" s="13"/>
      <c r="BC148" s="13"/>
      <c r="BD148" s="13"/>
      <c r="BE148" s="13"/>
      <c r="BF148" s="13"/>
      <c r="BG148" s="13"/>
      <c r="BH148" s="13"/>
      <c r="BI148" s="13"/>
      <c r="BJ148" s="5">
        <f>COUNTIF(M148,"*")+COUNTIF(W148,"*")+COUNTIF(AL148,"*")+COUNTIF(AZ148,"*")</f>
        <v>1</v>
      </c>
    </row>
    <row r="149" spans="1:62" ht="41.4">
      <c r="A149" s="1">
        <v>7</v>
      </c>
      <c r="B149" s="1">
        <v>11</v>
      </c>
      <c r="C149" s="1" t="s">
        <v>568</v>
      </c>
      <c r="D149" s="1"/>
      <c r="E149" s="1"/>
      <c r="F149" s="1" t="s">
        <v>610</v>
      </c>
      <c r="G149" s="208"/>
      <c r="H149" s="208"/>
      <c r="I149" s="1"/>
      <c r="J149" s="1"/>
      <c r="K149" s="1"/>
      <c r="L149" s="1"/>
      <c r="M149" s="12"/>
      <c r="N149" s="13"/>
      <c r="O149" s="13"/>
      <c r="P149" s="13"/>
      <c r="Q149" s="13"/>
      <c r="R149" s="13"/>
      <c r="S149" s="13"/>
      <c r="T149" s="13"/>
      <c r="U149" s="167"/>
      <c r="V149" s="13"/>
      <c r="W149" s="13"/>
      <c r="X149" s="13"/>
      <c r="Y149" s="13"/>
      <c r="Z149" s="13"/>
      <c r="AA149" s="13"/>
      <c r="AB149" s="262"/>
      <c r="AC149" s="262"/>
      <c r="AD149" s="262"/>
      <c r="AE149" s="262"/>
      <c r="AF149" s="262"/>
      <c r="AG149" s="262"/>
      <c r="AH149" s="262"/>
      <c r="AI149" s="379"/>
      <c r="AJ149" s="167"/>
      <c r="AK149" s="13"/>
      <c r="AL149" s="17" t="s">
        <v>611</v>
      </c>
      <c r="AM149" s="387"/>
      <c r="AN149" s="387"/>
      <c r="AO149" s="387"/>
      <c r="AP149" s="387"/>
      <c r="AQ149" s="319" t="s">
        <v>587</v>
      </c>
      <c r="AR149" s="319" t="s">
        <v>612</v>
      </c>
      <c r="AS149" s="319" t="s">
        <v>612</v>
      </c>
      <c r="AT149" s="319" t="s">
        <v>609</v>
      </c>
      <c r="AU149" s="319"/>
      <c r="AV149" s="319"/>
      <c r="AW149" s="379"/>
      <c r="AX149" s="167"/>
      <c r="AY149" s="13"/>
      <c r="AZ149" s="12"/>
      <c r="BA149" s="13"/>
      <c r="BB149" s="13"/>
      <c r="BC149" s="13"/>
      <c r="BD149" s="13"/>
      <c r="BE149" s="13"/>
      <c r="BF149" s="13"/>
      <c r="BG149" s="13"/>
      <c r="BH149" s="13"/>
      <c r="BI149" s="13"/>
      <c r="BJ149" s="5">
        <f>COUNTIF(M149,"*")+COUNTIF(W149,"*")+COUNTIF(AL149,"*")+COUNTIF(AZ149,"*")</f>
        <v>1</v>
      </c>
    </row>
    <row r="150" spans="1:62" ht="41.4">
      <c r="A150" s="1">
        <v>7</v>
      </c>
      <c r="B150" s="1">
        <v>12</v>
      </c>
      <c r="C150" s="1" t="s">
        <v>568</v>
      </c>
      <c r="D150" s="1"/>
      <c r="E150" s="1"/>
      <c r="F150" s="1" t="s">
        <v>613</v>
      </c>
      <c r="G150" s="208"/>
      <c r="H150" s="208"/>
      <c r="I150" s="1"/>
      <c r="J150" s="1"/>
      <c r="K150" s="1"/>
      <c r="L150" s="1"/>
      <c r="M150" s="12"/>
      <c r="N150" s="13"/>
      <c r="O150" s="13"/>
      <c r="P150" s="13"/>
      <c r="Q150" s="13"/>
      <c r="R150" s="13"/>
      <c r="S150" s="13"/>
      <c r="T150" s="13"/>
      <c r="U150" s="167"/>
      <c r="V150" s="13"/>
      <c r="W150" s="13"/>
      <c r="X150" s="13"/>
      <c r="Y150" s="13"/>
      <c r="Z150" s="13"/>
      <c r="AA150" s="13"/>
      <c r="AB150" s="154"/>
      <c r="AC150" s="154"/>
      <c r="AD150" s="154"/>
      <c r="AE150" s="154"/>
      <c r="AF150" s="154"/>
      <c r="AG150" s="154"/>
      <c r="AH150" s="154"/>
      <c r="AI150" s="379"/>
      <c r="AJ150" s="167"/>
      <c r="AK150" s="13"/>
      <c r="AL150" s="17" t="s">
        <v>614</v>
      </c>
      <c r="AM150" s="387"/>
      <c r="AN150" s="387"/>
      <c r="AO150" s="387"/>
      <c r="AP150" s="387"/>
      <c r="AQ150" s="319" t="s">
        <v>587</v>
      </c>
      <c r="AR150" s="319" t="s">
        <v>613</v>
      </c>
      <c r="AS150" s="319" t="s">
        <v>613</v>
      </c>
      <c r="AT150" s="319" t="s">
        <v>609</v>
      </c>
      <c r="AU150" s="319"/>
      <c r="AV150" s="319"/>
      <c r="AW150" s="379"/>
      <c r="AX150" s="167"/>
      <c r="AY150" s="13"/>
      <c r="AZ150" s="12"/>
      <c r="BA150" s="13"/>
      <c r="BB150" s="13"/>
      <c r="BC150" s="13"/>
      <c r="BD150" s="13"/>
      <c r="BE150" s="13"/>
      <c r="BF150" s="13"/>
      <c r="BG150" s="13"/>
      <c r="BH150" s="13"/>
      <c r="BI150" s="13"/>
      <c r="BJ150" s="5">
        <f>COUNTIF(M150,"*")+COUNTIF(W150,"*")+COUNTIF(AL150,"*")+COUNTIF(AZ150,"*")</f>
        <v>1</v>
      </c>
    </row>
    <row r="151" spans="1:62" ht="27.6">
      <c r="A151" s="1">
        <v>7</v>
      </c>
      <c r="B151" s="1">
        <v>13</v>
      </c>
      <c r="C151" s="1" t="s">
        <v>568</v>
      </c>
      <c r="D151" s="1"/>
      <c r="E151" s="1"/>
      <c r="F151" s="1" t="s">
        <v>1990</v>
      </c>
      <c r="G151" s="208"/>
      <c r="H151" s="208"/>
      <c r="I151" s="1"/>
      <c r="J151" s="1"/>
      <c r="K151" s="1"/>
      <c r="L151" s="1"/>
      <c r="M151" s="12"/>
      <c r="N151" s="13"/>
      <c r="O151" s="13"/>
      <c r="P151" s="13"/>
      <c r="Q151" s="13"/>
      <c r="R151" s="13"/>
      <c r="S151" s="13"/>
      <c r="T151" s="13"/>
      <c r="U151" s="167"/>
      <c r="V151" s="13"/>
      <c r="W151" s="13"/>
      <c r="X151" s="13"/>
      <c r="Y151" s="13"/>
      <c r="Z151" s="13"/>
      <c r="AA151" s="13"/>
      <c r="AB151" s="319"/>
      <c r="AC151" s="319"/>
      <c r="AD151" s="319"/>
      <c r="AE151" s="319"/>
      <c r="AF151" s="319"/>
      <c r="AG151" s="319"/>
      <c r="AH151" s="319"/>
      <c r="AI151" s="379"/>
      <c r="AJ151" s="167"/>
      <c r="AK151" s="13"/>
      <c r="AL151" s="17" t="s">
        <v>615</v>
      </c>
      <c r="AM151" s="374"/>
      <c r="AN151" s="263"/>
      <c r="AO151" s="374"/>
      <c r="AP151" s="317"/>
      <c r="AQ151" s="154" t="s">
        <v>587</v>
      </c>
      <c r="AR151" s="154" t="s">
        <v>616</v>
      </c>
      <c r="AS151" s="154" t="s">
        <v>617</v>
      </c>
      <c r="AT151" s="154" t="s">
        <v>609</v>
      </c>
      <c r="AU151" s="154"/>
      <c r="AV151" s="154"/>
      <c r="AW151" s="379"/>
      <c r="AX151" s="167"/>
      <c r="AY151" s="13"/>
      <c r="AZ151" s="12"/>
      <c r="BA151" s="13"/>
      <c r="BB151" s="13"/>
      <c r="BC151" s="13"/>
      <c r="BD151" s="13"/>
      <c r="BE151" s="13"/>
      <c r="BF151" s="13"/>
      <c r="BG151" s="13"/>
      <c r="BH151" s="13"/>
      <c r="BI151" s="13"/>
      <c r="BJ151" s="5">
        <f>COUNTIF(M151,"*")+COUNTIF(W151,"*")+COUNTIF(AL151,"*")+COUNTIF(AZ151,"*")</f>
        <v>1</v>
      </c>
    </row>
    <row r="152" spans="1:62" ht="27.6">
      <c r="A152" s="1">
        <v>7</v>
      </c>
      <c r="B152" s="1">
        <v>15</v>
      </c>
      <c r="C152" s="1" t="s">
        <v>568</v>
      </c>
      <c r="D152" s="1"/>
      <c r="E152" s="1"/>
      <c r="F152" s="1" t="s">
        <v>623</v>
      </c>
      <c r="G152" s="208"/>
      <c r="H152" s="208"/>
      <c r="I152" s="1"/>
      <c r="J152" s="1"/>
      <c r="K152" s="1"/>
      <c r="L152" s="1"/>
      <c r="M152" s="12"/>
      <c r="N152" s="13"/>
      <c r="O152" s="13"/>
      <c r="P152" s="13"/>
      <c r="Q152" s="13"/>
      <c r="R152" s="13"/>
      <c r="S152" s="13"/>
      <c r="T152" s="13"/>
      <c r="U152" s="167"/>
      <c r="V152" s="13"/>
      <c r="W152" s="13"/>
      <c r="X152" s="13"/>
      <c r="Y152" s="13"/>
      <c r="Z152" s="13"/>
      <c r="AA152" s="13"/>
      <c r="AB152" s="319"/>
      <c r="AC152" s="319"/>
      <c r="AD152" s="319"/>
      <c r="AE152" s="319"/>
      <c r="AF152" s="319"/>
      <c r="AG152" s="319"/>
      <c r="AH152" s="319"/>
      <c r="AI152" s="379"/>
      <c r="AJ152" s="167"/>
      <c r="AK152" s="13"/>
      <c r="AL152" s="17" t="s">
        <v>624</v>
      </c>
      <c r="AM152" s="374"/>
      <c r="AN152" s="319"/>
      <c r="AO152" s="374"/>
      <c r="AP152" s="319"/>
      <c r="AQ152" s="319" t="s">
        <v>587</v>
      </c>
      <c r="AR152" s="319" t="s">
        <v>625</v>
      </c>
      <c r="AS152" s="319" t="s">
        <v>625</v>
      </c>
      <c r="AT152" s="319"/>
      <c r="AU152" s="319"/>
      <c r="AV152" s="319"/>
      <c r="AW152" s="379"/>
      <c r="AX152" s="167"/>
      <c r="AY152" s="13"/>
      <c r="AZ152" s="12"/>
      <c r="BA152" s="13"/>
      <c r="BB152" s="13"/>
      <c r="BC152" s="13"/>
      <c r="BD152" s="13"/>
      <c r="BE152" s="13"/>
      <c r="BF152" s="13"/>
      <c r="BG152" s="13"/>
      <c r="BH152" s="13"/>
      <c r="BI152" s="13"/>
      <c r="BJ152" s="5">
        <f>COUNTIF(M152,"*")+COUNTIF(W152,"*")+COUNTIF(AL152,"*")+COUNTIF(AZ152,"*")</f>
        <v>1</v>
      </c>
    </row>
    <row r="153" spans="1:62" ht="27.6">
      <c r="A153" s="1">
        <v>7</v>
      </c>
      <c r="B153" s="1">
        <v>16</v>
      </c>
      <c r="C153" s="1" t="s">
        <v>568</v>
      </c>
      <c r="D153" s="1"/>
      <c r="E153" s="1"/>
      <c r="F153" s="1" t="s">
        <v>626</v>
      </c>
      <c r="G153" s="208"/>
      <c r="H153" s="208"/>
      <c r="I153" s="1"/>
      <c r="J153" s="1"/>
      <c r="K153" s="1"/>
      <c r="L153" s="1"/>
      <c r="M153" s="12"/>
      <c r="N153" s="13"/>
      <c r="O153" s="13"/>
      <c r="P153" s="13"/>
      <c r="Q153" s="13"/>
      <c r="R153" s="13"/>
      <c r="S153" s="13"/>
      <c r="T153" s="13"/>
      <c r="U153" s="167"/>
      <c r="V153" s="13"/>
      <c r="W153" s="13"/>
      <c r="X153" s="13"/>
      <c r="Y153" s="13"/>
      <c r="Z153" s="13"/>
      <c r="AA153" s="13"/>
      <c r="AB153" s="319"/>
      <c r="AC153" s="319"/>
      <c r="AD153" s="319"/>
      <c r="AE153" s="319"/>
      <c r="AF153" s="319"/>
      <c r="AG153" s="319"/>
      <c r="AH153" s="319"/>
      <c r="AI153" s="379"/>
      <c r="AJ153" s="167"/>
      <c r="AK153" s="13"/>
      <c r="AL153" s="17" t="s">
        <v>627</v>
      </c>
      <c r="AM153" s="374"/>
      <c r="AN153" s="319"/>
      <c r="AO153" s="374"/>
      <c r="AP153" s="319"/>
      <c r="AQ153" s="319" t="s">
        <v>587</v>
      </c>
      <c r="AR153" s="319" t="s">
        <v>626</v>
      </c>
      <c r="AS153" s="319" t="s">
        <v>626</v>
      </c>
      <c r="AT153" s="319" t="s">
        <v>501</v>
      </c>
      <c r="AU153" s="319"/>
      <c r="AV153" s="319"/>
      <c r="AW153" s="379"/>
      <c r="AX153" s="167"/>
      <c r="AY153" s="13"/>
      <c r="AZ153" s="12"/>
      <c r="BA153" s="13"/>
      <c r="BB153" s="13"/>
      <c r="BC153" s="13"/>
      <c r="BD153" s="13"/>
      <c r="BE153" s="13"/>
      <c r="BF153" s="13"/>
      <c r="BG153" s="13"/>
      <c r="BH153" s="13"/>
      <c r="BI153" s="13"/>
      <c r="BJ153" s="5">
        <f>COUNTIF(M153,"*")+COUNTIF(W153,"*")+COUNTIF(AL153,"*")+COUNTIF(AZ153,"*")</f>
        <v>1</v>
      </c>
    </row>
    <row r="154" spans="1:62" ht="27.6">
      <c r="A154" s="1">
        <v>7</v>
      </c>
      <c r="B154" s="1">
        <v>17</v>
      </c>
      <c r="C154" s="1" t="s">
        <v>568</v>
      </c>
      <c r="D154" s="1"/>
      <c r="E154" s="1"/>
      <c r="F154" s="1" t="s">
        <v>628</v>
      </c>
      <c r="G154" s="208"/>
      <c r="H154" s="208"/>
      <c r="I154" s="1"/>
      <c r="J154" s="1"/>
      <c r="K154" s="1"/>
      <c r="L154" s="1"/>
      <c r="M154" s="12"/>
      <c r="N154" s="13"/>
      <c r="O154" s="13"/>
      <c r="P154" s="13"/>
      <c r="Q154" s="13"/>
      <c r="R154" s="13"/>
      <c r="S154" s="13"/>
      <c r="T154" s="13"/>
      <c r="U154" s="167"/>
      <c r="V154" s="13"/>
      <c r="W154" s="13"/>
      <c r="X154" s="13"/>
      <c r="Y154" s="13"/>
      <c r="Z154" s="13"/>
      <c r="AA154" s="13"/>
      <c r="AB154" s="262"/>
      <c r="AC154" s="262"/>
      <c r="AD154" s="262"/>
      <c r="AE154" s="262"/>
      <c r="AF154" s="262"/>
      <c r="AG154" s="262"/>
      <c r="AH154" s="262"/>
      <c r="AI154" s="379"/>
      <c r="AJ154" s="167"/>
      <c r="AK154" s="13"/>
      <c r="AL154" s="17" t="s">
        <v>629</v>
      </c>
      <c r="AM154" s="374"/>
      <c r="AN154" s="319"/>
      <c r="AO154" s="374"/>
      <c r="AP154" s="319"/>
      <c r="AQ154" s="319" t="s">
        <v>587</v>
      </c>
      <c r="AR154" s="154" t="s">
        <v>630</v>
      </c>
      <c r="AS154" s="154" t="s">
        <v>630</v>
      </c>
      <c r="AT154" s="154" t="s">
        <v>501</v>
      </c>
      <c r="AU154" s="154"/>
      <c r="AV154" s="154"/>
      <c r="AW154" s="379"/>
      <c r="AX154" s="167"/>
      <c r="AY154" s="13"/>
      <c r="AZ154" s="12"/>
      <c r="BA154" s="13"/>
      <c r="BB154" s="13"/>
      <c r="BC154" s="13"/>
      <c r="BD154" s="13"/>
      <c r="BE154" s="13"/>
      <c r="BF154" s="13"/>
      <c r="BG154" s="13"/>
      <c r="BH154" s="13"/>
      <c r="BI154" s="13"/>
      <c r="BJ154" s="5">
        <f>COUNTIF(M154,"*")+COUNTIF(W154,"*")+COUNTIF(AL154,"*")+COUNTIF(AZ154,"*")</f>
        <v>1</v>
      </c>
    </row>
    <row r="155" spans="1:62" ht="27.6">
      <c r="A155" s="1">
        <v>7</v>
      </c>
      <c r="B155" s="1">
        <v>18</v>
      </c>
      <c r="C155" s="1" t="s">
        <v>568</v>
      </c>
      <c r="D155" s="1"/>
      <c r="E155" s="1"/>
      <c r="F155" s="1" t="s">
        <v>631</v>
      </c>
      <c r="G155" s="208"/>
      <c r="H155" s="208"/>
      <c r="I155" s="1"/>
      <c r="J155" s="1"/>
      <c r="K155" s="1"/>
      <c r="L155" s="1"/>
      <c r="M155" s="12"/>
      <c r="N155" s="13"/>
      <c r="O155" s="13"/>
      <c r="P155" s="13"/>
      <c r="Q155" s="13"/>
      <c r="R155" s="13"/>
      <c r="S155" s="13"/>
      <c r="T155" s="13"/>
      <c r="U155" s="167"/>
      <c r="V155" s="13"/>
      <c r="W155" s="13"/>
      <c r="X155" s="13"/>
      <c r="Y155" s="13"/>
      <c r="Z155" s="13"/>
      <c r="AA155" s="13"/>
      <c r="AB155" s="262"/>
      <c r="AC155" s="262"/>
      <c r="AD155" s="262"/>
      <c r="AE155" s="262"/>
      <c r="AF155" s="262"/>
      <c r="AG155" s="262"/>
      <c r="AH155" s="262"/>
      <c r="AI155" s="379"/>
      <c r="AJ155" s="167"/>
      <c r="AK155" s="13"/>
      <c r="AL155" s="17" t="s">
        <v>632</v>
      </c>
      <c r="AM155" s="374"/>
      <c r="AN155" s="319"/>
      <c r="AO155" s="374"/>
      <c r="AP155" s="319"/>
      <c r="AQ155" s="262" t="s">
        <v>587</v>
      </c>
      <c r="AR155" s="262" t="s">
        <v>633</v>
      </c>
      <c r="AS155" s="262" t="s">
        <v>633</v>
      </c>
      <c r="AT155" s="262" t="s">
        <v>501</v>
      </c>
      <c r="AU155" s="262"/>
      <c r="AV155" s="262"/>
      <c r="AW155" s="379"/>
      <c r="AX155" s="167"/>
      <c r="AY155" s="13"/>
      <c r="AZ155" s="12"/>
      <c r="BA155" s="13"/>
      <c r="BB155" s="13"/>
      <c r="BC155" s="13"/>
      <c r="BD155" s="13"/>
      <c r="BE155" s="13"/>
      <c r="BF155" s="13"/>
      <c r="BG155" s="13"/>
      <c r="BH155" s="13"/>
      <c r="BI155" s="13"/>
      <c r="BJ155" s="5">
        <f>COUNTIF(M155,"*")+COUNTIF(W155,"*")+COUNTIF(AL155,"*")+COUNTIF(AZ155,"*")</f>
        <v>1</v>
      </c>
    </row>
    <row r="156" spans="1:62" ht="27.6">
      <c r="A156" s="1">
        <v>7</v>
      </c>
      <c r="B156" s="1">
        <v>19</v>
      </c>
      <c r="C156" s="1" t="s">
        <v>568</v>
      </c>
      <c r="D156" s="1"/>
      <c r="E156" s="1"/>
      <c r="F156" s="1" t="s">
        <v>634</v>
      </c>
      <c r="G156" s="208"/>
      <c r="H156" s="208"/>
      <c r="I156" s="1"/>
      <c r="J156" s="1"/>
      <c r="K156" s="1"/>
      <c r="L156" s="1"/>
      <c r="M156" s="12"/>
      <c r="N156" s="13"/>
      <c r="O156" s="13"/>
      <c r="P156" s="13"/>
      <c r="Q156" s="13"/>
      <c r="R156" s="13"/>
      <c r="S156" s="13"/>
      <c r="T156" s="13"/>
      <c r="U156" s="167"/>
      <c r="V156" s="13"/>
      <c r="W156" s="13"/>
      <c r="X156" s="13"/>
      <c r="Y156" s="13"/>
      <c r="Z156" s="13"/>
      <c r="AA156" s="13"/>
      <c r="AB156" s="319"/>
      <c r="AC156" s="319"/>
      <c r="AD156" s="319"/>
      <c r="AE156" s="319"/>
      <c r="AF156" s="319"/>
      <c r="AG156" s="319"/>
      <c r="AH156" s="319"/>
      <c r="AI156" s="379"/>
      <c r="AJ156" s="167"/>
      <c r="AK156" s="13"/>
      <c r="AL156" s="17" t="s">
        <v>635</v>
      </c>
      <c r="AM156" s="374"/>
      <c r="AN156" s="263"/>
      <c r="AO156" s="374"/>
      <c r="AP156" s="317"/>
      <c r="AQ156" s="154" t="s">
        <v>587</v>
      </c>
      <c r="AR156" s="154" t="s">
        <v>636</v>
      </c>
      <c r="AS156" s="154"/>
      <c r="AT156" s="154"/>
      <c r="AU156" s="154"/>
      <c r="AV156" s="154"/>
      <c r="AW156" s="379"/>
      <c r="AX156" s="167"/>
      <c r="AY156" s="13"/>
      <c r="AZ156" s="12"/>
      <c r="BA156" s="13"/>
      <c r="BB156" s="13"/>
      <c r="BC156" s="13"/>
      <c r="BD156" s="13"/>
      <c r="BE156" s="13"/>
      <c r="BF156" s="13"/>
      <c r="BG156" s="13"/>
      <c r="BH156" s="13"/>
      <c r="BI156" s="13"/>
      <c r="BJ156" s="5">
        <f>COUNTIF(M156,"*")+COUNTIF(W156,"*")+COUNTIF(AL156,"*")+COUNTIF(AZ156,"*")</f>
        <v>1</v>
      </c>
    </row>
    <row r="157" spans="1:62" ht="27.6">
      <c r="A157" s="1">
        <v>7</v>
      </c>
      <c r="B157" s="1">
        <v>20</v>
      </c>
      <c r="C157" s="1" t="s">
        <v>568</v>
      </c>
      <c r="D157" s="1"/>
      <c r="E157" s="1"/>
      <c r="F157" s="1" t="s">
        <v>637</v>
      </c>
      <c r="G157" s="208"/>
      <c r="H157" s="208"/>
      <c r="I157" s="1"/>
      <c r="J157" s="1"/>
      <c r="K157" s="1"/>
      <c r="L157" s="1"/>
      <c r="M157" s="12"/>
      <c r="N157" s="13"/>
      <c r="O157" s="13"/>
      <c r="P157" s="13"/>
      <c r="Q157" s="13"/>
      <c r="R157" s="13"/>
      <c r="S157" s="13"/>
      <c r="T157" s="13"/>
      <c r="U157" s="167"/>
      <c r="V157" s="13"/>
      <c r="W157" s="13"/>
      <c r="X157" s="13"/>
      <c r="Y157" s="13"/>
      <c r="Z157" s="13"/>
      <c r="AA157" s="13"/>
      <c r="AB157" s="262"/>
      <c r="AC157" s="262"/>
      <c r="AD157" s="262"/>
      <c r="AE157" s="262"/>
      <c r="AF157" s="262"/>
      <c r="AG157" s="262"/>
      <c r="AH157" s="262"/>
      <c r="AI157" s="379"/>
      <c r="AJ157" s="167"/>
      <c r="AK157" s="13"/>
      <c r="AL157" s="17" t="s">
        <v>638</v>
      </c>
      <c r="AM157" s="374"/>
      <c r="AN157" s="319"/>
      <c r="AO157" s="374"/>
      <c r="AP157" s="319"/>
      <c r="AQ157" s="319" t="s">
        <v>587</v>
      </c>
      <c r="AR157" s="319" t="s">
        <v>637</v>
      </c>
      <c r="AS157" s="319"/>
      <c r="AT157" s="319"/>
      <c r="AU157" s="319"/>
      <c r="AV157" s="319"/>
      <c r="AW157" s="379"/>
      <c r="AX157" s="167"/>
      <c r="AY157" s="13"/>
      <c r="AZ157" s="12"/>
      <c r="BA157" s="13"/>
      <c r="BB157" s="13"/>
      <c r="BC157" s="13"/>
      <c r="BD157" s="13"/>
      <c r="BE157" s="13"/>
      <c r="BF157" s="13"/>
      <c r="BG157" s="13"/>
      <c r="BH157" s="13"/>
      <c r="BI157" s="13"/>
      <c r="BJ157" s="5">
        <f>COUNTIF(M157,"*")+COUNTIF(W157,"*")+COUNTIF(AL157,"*")+COUNTIF(AZ157,"*")</f>
        <v>1</v>
      </c>
    </row>
    <row r="158" spans="1:62" ht="27.6">
      <c r="A158" s="1">
        <v>7</v>
      </c>
      <c r="B158" s="1">
        <v>21</v>
      </c>
      <c r="C158" s="1" t="s">
        <v>568</v>
      </c>
      <c r="D158" s="1"/>
      <c r="E158" s="1"/>
      <c r="F158" s="1" t="s">
        <v>639</v>
      </c>
      <c r="G158" s="208"/>
      <c r="H158" s="208"/>
      <c r="I158" s="1"/>
      <c r="J158" s="1"/>
      <c r="K158" s="1"/>
      <c r="L158" s="1"/>
      <c r="M158" s="12"/>
      <c r="N158" s="13"/>
      <c r="O158" s="13"/>
      <c r="P158" s="13"/>
      <c r="Q158" s="13"/>
      <c r="R158" s="13"/>
      <c r="S158" s="13"/>
      <c r="T158" s="13"/>
      <c r="U158" s="167"/>
      <c r="V158" s="13"/>
      <c r="W158" s="13"/>
      <c r="X158" s="13"/>
      <c r="Y158" s="13"/>
      <c r="Z158" s="13"/>
      <c r="AA158" s="13"/>
      <c r="AB158" s="154"/>
      <c r="AC158" s="154"/>
      <c r="AD158" s="154"/>
      <c r="AE158" s="154"/>
      <c r="AF158" s="154"/>
      <c r="AG158" s="154"/>
      <c r="AH158" s="154"/>
      <c r="AI158" s="379"/>
      <c r="AJ158" s="167"/>
      <c r="AK158" s="13"/>
      <c r="AL158" s="17" t="s">
        <v>640</v>
      </c>
      <c r="AM158" s="374"/>
      <c r="AN158" s="319"/>
      <c r="AO158" s="374"/>
      <c r="AP158" s="319"/>
      <c r="AQ158" s="262" t="s">
        <v>587</v>
      </c>
      <c r="AR158" s="262" t="s">
        <v>641</v>
      </c>
      <c r="AS158" s="262" t="s">
        <v>641</v>
      </c>
      <c r="AT158" s="262" t="s">
        <v>501</v>
      </c>
      <c r="AU158" s="262"/>
      <c r="AV158" s="262"/>
      <c r="AW158" s="379"/>
      <c r="AX158" s="167"/>
      <c r="AY158" s="13"/>
      <c r="AZ158" s="12"/>
      <c r="BA158" s="13"/>
      <c r="BB158" s="13"/>
      <c r="BC158" s="13"/>
      <c r="BD158" s="13"/>
      <c r="BE158" s="13"/>
      <c r="BF158" s="13"/>
      <c r="BG158" s="13"/>
      <c r="BH158" s="13"/>
      <c r="BI158" s="13"/>
      <c r="BJ158" s="5">
        <f>COUNTIF(M158,"*")+COUNTIF(W158,"*")+COUNTIF(AL158,"*")+COUNTIF(AZ158,"*")</f>
        <v>1</v>
      </c>
    </row>
    <row r="159" spans="1:62" ht="27.6">
      <c r="A159" s="1">
        <v>7</v>
      </c>
      <c r="B159" s="1">
        <v>22</v>
      </c>
      <c r="C159" s="1" t="s">
        <v>568</v>
      </c>
      <c r="D159" s="1"/>
      <c r="E159" s="1"/>
      <c r="F159" s="1" t="s">
        <v>642</v>
      </c>
      <c r="G159" s="208"/>
      <c r="H159" s="208"/>
      <c r="I159" s="1"/>
      <c r="J159" s="1"/>
      <c r="K159" s="1"/>
      <c r="L159" s="1"/>
      <c r="M159" s="12"/>
      <c r="N159" s="13"/>
      <c r="O159" s="13"/>
      <c r="P159" s="13"/>
      <c r="Q159" s="13"/>
      <c r="R159" s="13"/>
      <c r="S159" s="13"/>
      <c r="T159" s="13"/>
      <c r="U159" s="167"/>
      <c r="V159" s="13"/>
      <c r="W159" s="13"/>
      <c r="X159" s="13"/>
      <c r="Y159" s="13"/>
      <c r="Z159" s="13"/>
      <c r="AA159" s="13"/>
      <c r="AB159" s="319"/>
      <c r="AC159" s="319"/>
      <c r="AD159" s="319"/>
      <c r="AE159" s="319"/>
      <c r="AF159" s="319"/>
      <c r="AG159" s="319"/>
      <c r="AH159" s="319"/>
      <c r="AI159" s="379"/>
      <c r="AJ159" s="167"/>
      <c r="AK159" s="13"/>
      <c r="AL159" s="17" t="s">
        <v>643</v>
      </c>
      <c r="AM159" s="374"/>
      <c r="AN159" s="263"/>
      <c r="AO159" s="374"/>
      <c r="AP159" s="317"/>
      <c r="AQ159" s="154" t="s">
        <v>587</v>
      </c>
      <c r="AR159" s="154" t="s">
        <v>644</v>
      </c>
      <c r="AS159" s="154" t="s">
        <v>644</v>
      </c>
      <c r="AT159" s="154" t="s">
        <v>501</v>
      </c>
      <c r="AU159" s="154"/>
      <c r="AV159" s="154"/>
      <c r="AW159" s="379"/>
      <c r="AX159" s="167"/>
      <c r="AY159" s="13"/>
      <c r="AZ159" s="12"/>
      <c r="BA159" s="13"/>
      <c r="BB159" s="13"/>
      <c r="BC159" s="13"/>
      <c r="BD159" s="13"/>
      <c r="BE159" s="13"/>
      <c r="BF159" s="13"/>
      <c r="BG159" s="13"/>
      <c r="BH159" s="13"/>
      <c r="BI159" s="13"/>
      <c r="BJ159" s="5">
        <f>COUNTIF(M159,"*")+COUNTIF(W159,"*")+COUNTIF(AL159,"*")+COUNTIF(AZ159,"*")</f>
        <v>1</v>
      </c>
    </row>
    <row r="160" spans="1:62" ht="27.6">
      <c r="A160" s="1">
        <v>7</v>
      </c>
      <c r="B160" s="1">
        <v>23</v>
      </c>
      <c r="C160" s="1" t="s">
        <v>568</v>
      </c>
      <c r="D160" s="1"/>
      <c r="E160" s="1"/>
      <c r="F160" s="1" t="s">
        <v>645</v>
      </c>
      <c r="G160" s="208"/>
      <c r="H160" s="208"/>
      <c r="I160" s="1"/>
      <c r="J160" s="1"/>
      <c r="K160" s="1"/>
      <c r="L160" s="1"/>
      <c r="M160" s="12"/>
      <c r="N160" s="13"/>
      <c r="O160" s="13"/>
      <c r="P160" s="13"/>
      <c r="Q160" s="13"/>
      <c r="R160" s="13"/>
      <c r="S160" s="13"/>
      <c r="T160" s="13"/>
      <c r="U160" s="167"/>
      <c r="V160" s="13"/>
      <c r="W160" s="13"/>
      <c r="X160" s="13"/>
      <c r="Y160" s="13"/>
      <c r="Z160" s="13"/>
      <c r="AA160" s="13"/>
      <c r="AB160" s="262"/>
      <c r="AC160" s="262"/>
      <c r="AD160" s="262"/>
      <c r="AE160" s="262"/>
      <c r="AF160" s="262"/>
      <c r="AG160" s="262"/>
      <c r="AH160" s="262"/>
      <c r="AI160" s="379"/>
      <c r="AJ160" s="167"/>
      <c r="AK160" s="13"/>
      <c r="AL160" s="17" t="s">
        <v>646</v>
      </c>
      <c r="AM160" s="374"/>
      <c r="AN160" s="263"/>
      <c r="AO160" s="374"/>
      <c r="AP160" s="317"/>
      <c r="AQ160" s="154" t="s">
        <v>587</v>
      </c>
      <c r="AR160" s="154" t="s">
        <v>647</v>
      </c>
      <c r="AS160" s="154" t="s">
        <v>648</v>
      </c>
      <c r="AT160" s="319" t="s">
        <v>501</v>
      </c>
      <c r="AU160" s="154"/>
      <c r="AV160" s="154"/>
      <c r="AW160" s="379"/>
      <c r="AX160" s="167"/>
      <c r="AY160" s="13"/>
      <c r="AZ160" s="12"/>
      <c r="BA160" s="13"/>
      <c r="BB160" s="13"/>
      <c r="BC160" s="13"/>
      <c r="BD160" s="13"/>
      <c r="BE160" s="13"/>
      <c r="BF160" s="13"/>
      <c r="BG160" s="13"/>
      <c r="BH160" s="13"/>
      <c r="BI160" s="13"/>
      <c r="BJ160" s="5">
        <f>COUNTIF(M160,"*")+COUNTIF(W160,"*")+COUNTIF(AL160,"*")+COUNTIF(AZ160,"*")</f>
        <v>1</v>
      </c>
    </row>
    <row r="161" spans="1:62" ht="27.6">
      <c r="A161" s="1">
        <v>7</v>
      </c>
      <c r="B161" s="1">
        <v>24</v>
      </c>
      <c r="C161" s="1" t="s">
        <v>568</v>
      </c>
      <c r="D161" s="1"/>
      <c r="E161" s="1"/>
      <c r="F161" s="1" t="s">
        <v>649</v>
      </c>
      <c r="G161" s="208"/>
      <c r="H161" s="208"/>
      <c r="I161" s="1"/>
      <c r="J161" s="1"/>
      <c r="K161" s="1"/>
      <c r="L161" s="1"/>
      <c r="M161" s="12"/>
      <c r="N161" s="13"/>
      <c r="O161" s="13"/>
      <c r="P161" s="13"/>
      <c r="Q161" s="13"/>
      <c r="R161" s="13"/>
      <c r="S161" s="13"/>
      <c r="T161" s="13"/>
      <c r="U161" s="167"/>
      <c r="V161" s="13"/>
      <c r="W161" s="13"/>
      <c r="X161" s="13"/>
      <c r="Y161" s="13"/>
      <c r="Z161" s="13"/>
      <c r="AA161" s="13"/>
      <c r="AB161" s="319"/>
      <c r="AC161" s="319"/>
      <c r="AD161" s="319"/>
      <c r="AE161" s="319"/>
      <c r="AF161" s="319"/>
      <c r="AG161" s="319"/>
      <c r="AH161" s="319"/>
      <c r="AI161" s="379"/>
      <c r="AJ161" s="167"/>
      <c r="AK161" s="13"/>
      <c r="AL161" s="17" t="s">
        <v>650</v>
      </c>
      <c r="AM161" s="374"/>
      <c r="AN161" s="319"/>
      <c r="AO161" s="374"/>
      <c r="AP161" s="319"/>
      <c r="AQ161" s="319" t="s">
        <v>587</v>
      </c>
      <c r="AR161" s="319" t="s">
        <v>651</v>
      </c>
      <c r="AS161" s="319" t="s">
        <v>651</v>
      </c>
      <c r="AT161" s="319" t="s">
        <v>501</v>
      </c>
      <c r="AU161" s="319"/>
      <c r="AV161" s="319"/>
      <c r="AW161" s="379"/>
      <c r="AX161" s="167"/>
      <c r="AY161" s="13"/>
      <c r="AZ161" s="12"/>
      <c r="BA161" s="13"/>
      <c r="BB161" s="13"/>
      <c r="BC161" s="13"/>
      <c r="BD161" s="13"/>
      <c r="BE161" s="13"/>
      <c r="BF161" s="13"/>
      <c r="BG161" s="13"/>
      <c r="BH161" s="13"/>
      <c r="BI161" s="13"/>
      <c r="BJ161" s="5">
        <f>COUNTIF(M161,"*")+COUNTIF(W161,"*")+COUNTIF(AL161,"*")+COUNTIF(AZ161,"*")</f>
        <v>1</v>
      </c>
    </row>
    <row r="162" spans="1:62" ht="27.6">
      <c r="A162" s="1">
        <v>7</v>
      </c>
      <c r="B162" s="1">
        <v>25</v>
      </c>
      <c r="C162" s="1" t="s">
        <v>568</v>
      </c>
      <c r="D162" s="1"/>
      <c r="E162" s="1"/>
      <c r="F162" s="1" t="s">
        <v>652</v>
      </c>
      <c r="G162" s="208"/>
      <c r="H162" s="208"/>
      <c r="I162" s="1"/>
      <c r="J162" s="1"/>
      <c r="K162" s="1"/>
      <c r="L162" s="1"/>
      <c r="M162" s="12"/>
      <c r="N162" s="13"/>
      <c r="O162" s="13"/>
      <c r="P162" s="13"/>
      <c r="Q162" s="13"/>
      <c r="R162" s="13"/>
      <c r="S162" s="13"/>
      <c r="T162" s="13"/>
      <c r="U162" s="167"/>
      <c r="V162" s="13"/>
      <c r="W162" s="13"/>
      <c r="X162" s="13"/>
      <c r="Y162" s="13"/>
      <c r="Z162" s="13"/>
      <c r="AA162" s="13"/>
      <c r="AB162" s="262"/>
      <c r="AC162" s="262"/>
      <c r="AD162" s="262"/>
      <c r="AE162" s="262"/>
      <c r="AF162" s="262"/>
      <c r="AG162" s="262"/>
      <c r="AH162" s="262"/>
      <c r="AI162" s="379"/>
      <c r="AJ162" s="167"/>
      <c r="AK162" s="13"/>
      <c r="AL162" s="17" t="s">
        <v>653</v>
      </c>
      <c r="AM162" s="374"/>
      <c r="AN162" s="263"/>
      <c r="AO162" s="374"/>
      <c r="AP162" s="317"/>
      <c r="AQ162" s="319" t="s">
        <v>587</v>
      </c>
      <c r="AR162" s="319" t="s">
        <v>654</v>
      </c>
      <c r="AS162" s="319" t="s">
        <v>655</v>
      </c>
      <c r="AT162" s="319" t="s">
        <v>501</v>
      </c>
      <c r="AU162" s="319"/>
      <c r="AV162" s="319"/>
      <c r="AW162" s="379"/>
      <c r="AX162" s="167"/>
      <c r="AY162" s="13"/>
      <c r="AZ162" s="12"/>
      <c r="BA162" s="13"/>
      <c r="BB162" s="13"/>
      <c r="BC162" s="13"/>
      <c r="BD162" s="13"/>
      <c r="BE162" s="13"/>
      <c r="BF162" s="13"/>
      <c r="BG162" s="13"/>
      <c r="BH162" s="13"/>
      <c r="BI162" s="13"/>
      <c r="BJ162" s="5">
        <f>COUNTIF(M162,"*")+COUNTIF(W162,"*")+COUNTIF(AL162,"*")+COUNTIF(AZ162,"*")</f>
        <v>1</v>
      </c>
    </row>
    <row r="163" spans="1:62" ht="27.6">
      <c r="A163" s="1">
        <v>7</v>
      </c>
      <c r="B163" s="1">
        <v>26</v>
      </c>
      <c r="C163" s="1" t="s">
        <v>568</v>
      </c>
      <c r="D163" s="1"/>
      <c r="E163" s="1"/>
      <c r="F163" s="1" t="s">
        <v>656</v>
      </c>
      <c r="G163" s="208"/>
      <c r="H163" s="208"/>
      <c r="I163" s="1"/>
      <c r="J163" s="1"/>
      <c r="K163" s="1"/>
      <c r="L163" s="1"/>
      <c r="M163" s="12"/>
      <c r="N163" s="13"/>
      <c r="O163" s="13"/>
      <c r="P163" s="13"/>
      <c r="Q163" s="13"/>
      <c r="R163" s="13"/>
      <c r="S163" s="13"/>
      <c r="T163" s="13"/>
      <c r="U163" s="167"/>
      <c r="V163" s="13"/>
      <c r="W163" s="13"/>
      <c r="X163" s="13"/>
      <c r="Y163" s="13"/>
      <c r="Z163" s="13"/>
      <c r="AA163" s="13"/>
      <c r="AB163" s="154"/>
      <c r="AC163" s="154"/>
      <c r="AD163" s="154"/>
      <c r="AE163" s="154"/>
      <c r="AF163" s="154"/>
      <c r="AG163" s="154"/>
      <c r="AH163" s="154"/>
      <c r="AI163" s="379"/>
      <c r="AJ163" s="167"/>
      <c r="AK163" s="13"/>
      <c r="AL163" s="17" t="s">
        <v>657</v>
      </c>
      <c r="AM163" s="374"/>
      <c r="AN163" s="319"/>
      <c r="AO163" s="374"/>
      <c r="AP163" s="319"/>
      <c r="AQ163" s="319" t="s">
        <v>587</v>
      </c>
      <c r="AR163" s="319" t="s">
        <v>656</v>
      </c>
      <c r="AS163" s="319" t="s">
        <v>656</v>
      </c>
      <c r="AT163" s="319" t="s">
        <v>501</v>
      </c>
      <c r="AU163" s="319"/>
      <c r="AV163" s="319"/>
      <c r="AW163" s="379"/>
      <c r="AX163" s="167"/>
      <c r="AY163" s="13"/>
      <c r="AZ163" s="12"/>
      <c r="BA163" s="13"/>
      <c r="BB163" s="13"/>
      <c r="BC163" s="13"/>
      <c r="BD163" s="13"/>
      <c r="BE163" s="13"/>
      <c r="BF163" s="13"/>
      <c r="BG163" s="13"/>
      <c r="BH163" s="13"/>
      <c r="BI163" s="13"/>
      <c r="BJ163" s="5">
        <f>COUNTIF(M163,"*")+COUNTIF(W163,"*")+COUNTIF(AL163,"*")+COUNTIF(AZ163,"*")</f>
        <v>1</v>
      </c>
    </row>
    <row r="164" spans="1:62" ht="27.6">
      <c r="A164" s="1">
        <v>7</v>
      </c>
      <c r="B164" s="1">
        <v>27</v>
      </c>
      <c r="C164" s="1" t="s">
        <v>568</v>
      </c>
      <c r="D164" s="1"/>
      <c r="E164" s="1"/>
      <c r="F164" s="1" t="s">
        <v>658</v>
      </c>
      <c r="G164" s="208"/>
      <c r="H164" s="208"/>
      <c r="I164" s="1"/>
      <c r="J164" s="1"/>
      <c r="K164" s="1"/>
      <c r="L164" s="1"/>
      <c r="M164" s="12"/>
      <c r="N164" s="13"/>
      <c r="O164" s="13"/>
      <c r="P164" s="13"/>
      <c r="Q164" s="13"/>
      <c r="R164" s="13"/>
      <c r="S164" s="13"/>
      <c r="T164" s="13"/>
      <c r="U164" s="167"/>
      <c r="V164" s="13"/>
      <c r="W164" s="13"/>
      <c r="X164" s="13"/>
      <c r="Y164" s="13"/>
      <c r="Z164" s="13"/>
      <c r="AA164" s="13"/>
      <c r="AB164" s="319"/>
      <c r="AC164" s="319"/>
      <c r="AD164" s="319"/>
      <c r="AE164" s="319"/>
      <c r="AF164" s="319"/>
      <c r="AG164" s="319"/>
      <c r="AH164" s="319"/>
      <c r="AI164" s="379"/>
      <c r="AJ164" s="167"/>
      <c r="AK164" s="13"/>
      <c r="AL164" s="17" t="s">
        <v>659</v>
      </c>
      <c r="AM164" s="374"/>
      <c r="AN164" s="319"/>
      <c r="AO164" s="374"/>
      <c r="AP164" s="319"/>
      <c r="AQ164" s="319" t="s">
        <v>587</v>
      </c>
      <c r="AR164" s="319" t="s">
        <v>660</v>
      </c>
      <c r="AS164" s="319" t="s">
        <v>660</v>
      </c>
      <c r="AT164" s="319" t="s">
        <v>501</v>
      </c>
      <c r="AU164" s="319"/>
      <c r="AV164" s="319"/>
      <c r="AW164" s="379"/>
      <c r="AX164" s="167"/>
      <c r="AY164" s="13"/>
      <c r="AZ164" s="12"/>
      <c r="BA164" s="13"/>
      <c r="BB164" s="13"/>
      <c r="BC164" s="13"/>
      <c r="BD164" s="13"/>
      <c r="BE164" s="13"/>
      <c r="BF164" s="13"/>
      <c r="BG164" s="13"/>
      <c r="BH164" s="13"/>
      <c r="BI164" s="13"/>
      <c r="BJ164" s="5">
        <f>COUNTIF(M164,"*")+COUNTIF(W164,"*")+COUNTIF(AL164,"*")+COUNTIF(AZ164,"*")</f>
        <v>1</v>
      </c>
    </row>
    <row r="165" spans="1:62" ht="27.6">
      <c r="A165" s="1">
        <v>7</v>
      </c>
      <c r="B165" s="1">
        <v>28</v>
      </c>
      <c r="C165" s="1" t="s">
        <v>568</v>
      </c>
      <c r="D165" s="1"/>
      <c r="E165" s="1"/>
      <c r="F165" s="1" t="s">
        <v>661</v>
      </c>
      <c r="G165" s="208"/>
      <c r="H165" s="208"/>
      <c r="I165" s="1"/>
      <c r="J165" s="1"/>
      <c r="K165" s="1"/>
      <c r="L165" s="1"/>
      <c r="M165" s="12"/>
      <c r="N165" s="13"/>
      <c r="O165" s="13"/>
      <c r="P165" s="13"/>
      <c r="Q165" s="13"/>
      <c r="R165" s="13"/>
      <c r="S165" s="13"/>
      <c r="T165" s="13"/>
      <c r="U165" s="167"/>
      <c r="V165" s="13"/>
      <c r="W165" s="13"/>
      <c r="X165" s="13"/>
      <c r="Y165" s="13"/>
      <c r="Z165" s="13"/>
      <c r="AA165" s="13"/>
      <c r="AB165" s="319"/>
      <c r="AC165" s="319"/>
      <c r="AD165" s="319"/>
      <c r="AE165" s="319"/>
      <c r="AF165" s="319"/>
      <c r="AG165" s="319"/>
      <c r="AH165" s="319"/>
      <c r="AI165" s="379"/>
      <c r="AJ165" s="167"/>
      <c r="AK165" s="13"/>
      <c r="AL165" s="17" t="s">
        <v>662</v>
      </c>
      <c r="AM165" s="387"/>
      <c r="AN165" s="387"/>
      <c r="AO165" s="387"/>
      <c r="AP165" s="387"/>
      <c r="AQ165" s="387" t="s">
        <v>663</v>
      </c>
      <c r="AR165" s="387" t="s">
        <v>664</v>
      </c>
      <c r="AS165" s="387" t="s">
        <v>664</v>
      </c>
      <c r="AT165" s="387" t="s">
        <v>501</v>
      </c>
      <c r="AU165" s="387"/>
      <c r="AV165" s="387"/>
      <c r="AW165" s="387"/>
      <c r="AX165" s="167"/>
      <c r="AY165" s="13"/>
      <c r="AZ165" s="12"/>
      <c r="BA165" s="13"/>
      <c r="BB165" s="13"/>
      <c r="BC165" s="13"/>
      <c r="BD165" s="13"/>
      <c r="BE165" s="13"/>
      <c r="BF165" s="13"/>
      <c r="BG165" s="13"/>
      <c r="BH165" s="13"/>
      <c r="BI165" s="13"/>
      <c r="BJ165" s="5">
        <f>COUNTIF(M165,"*")+COUNTIF(W165,"*")+COUNTIF(AL165,"*")+COUNTIF(AZ165,"*")</f>
        <v>1</v>
      </c>
    </row>
    <row r="166" spans="1:62" ht="27.6">
      <c r="A166" s="1">
        <v>7</v>
      </c>
      <c r="B166" s="1">
        <v>29</v>
      </c>
      <c r="C166" s="1" t="s">
        <v>568</v>
      </c>
      <c r="D166" s="1"/>
      <c r="E166" s="1"/>
      <c r="F166" s="1" t="s">
        <v>665</v>
      </c>
      <c r="G166" s="208"/>
      <c r="H166" s="208"/>
      <c r="I166" s="1"/>
      <c r="J166" s="1"/>
      <c r="K166" s="1"/>
      <c r="L166" s="1"/>
      <c r="M166" s="12"/>
      <c r="N166" s="13"/>
      <c r="O166" s="13"/>
      <c r="P166" s="13"/>
      <c r="Q166" s="13"/>
      <c r="R166" s="13"/>
      <c r="S166" s="13"/>
      <c r="T166" s="13"/>
      <c r="U166" s="167"/>
      <c r="V166" s="13"/>
      <c r="W166" s="13"/>
      <c r="X166" s="13"/>
      <c r="Y166" s="13"/>
      <c r="Z166" s="13"/>
      <c r="AA166" s="13"/>
      <c r="AB166" s="319"/>
      <c r="AC166" s="319"/>
      <c r="AD166" s="319"/>
      <c r="AE166" s="319"/>
      <c r="AF166" s="319"/>
      <c r="AG166" s="319"/>
      <c r="AH166" s="319"/>
      <c r="AI166" s="379"/>
      <c r="AJ166" s="167"/>
      <c r="AK166" s="13"/>
      <c r="AL166" s="17" t="s">
        <v>666</v>
      </c>
      <c r="AM166" s="374"/>
      <c r="AN166" s="319"/>
      <c r="AO166" s="374"/>
      <c r="AP166" s="319"/>
      <c r="AQ166" s="319" t="s">
        <v>663</v>
      </c>
      <c r="AR166" s="319" t="s">
        <v>667</v>
      </c>
      <c r="AS166" s="319" t="s">
        <v>667</v>
      </c>
      <c r="AT166" s="319" t="s">
        <v>501</v>
      </c>
      <c r="AU166" s="387"/>
      <c r="AV166" s="387"/>
      <c r="AW166" s="387"/>
      <c r="AX166" s="167"/>
      <c r="AY166" s="13"/>
      <c r="AZ166" s="12"/>
      <c r="BA166" s="13"/>
      <c r="BB166" s="13"/>
      <c r="BC166" s="13"/>
      <c r="BD166" s="13"/>
      <c r="BE166" s="13"/>
      <c r="BF166" s="13"/>
      <c r="BG166" s="13"/>
      <c r="BH166" s="13"/>
      <c r="BI166" s="13"/>
      <c r="BJ166" s="5">
        <f>COUNTIF(M166,"*")+COUNTIF(W166,"*")+COUNTIF(AL166,"*")+COUNTIF(AZ166,"*")</f>
        <v>1</v>
      </c>
    </row>
    <row r="167" spans="1:62" ht="110.4">
      <c r="A167" s="1">
        <v>7</v>
      </c>
      <c r="B167" s="1">
        <v>30</v>
      </c>
      <c r="C167" s="1" t="s">
        <v>568</v>
      </c>
      <c r="D167" s="1"/>
      <c r="E167" s="1"/>
      <c r="F167" s="1" t="s">
        <v>668</v>
      </c>
      <c r="G167" s="208"/>
      <c r="H167" s="208"/>
      <c r="I167" s="1"/>
      <c r="J167" s="1"/>
      <c r="K167" s="1"/>
      <c r="L167" s="1"/>
      <c r="M167" s="12"/>
      <c r="N167" s="13"/>
      <c r="O167" s="13"/>
      <c r="P167" s="13"/>
      <c r="Q167" s="13"/>
      <c r="R167" s="13"/>
      <c r="S167" s="13"/>
      <c r="T167" s="13"/>
      <c r="U167" s="167"/>
      <c r="V167" s="13"/>
      <c r="W167" s="13" t="s">
        <v>669</v>
      </c>
      <c r="X167" s="13" t="s">
        <v>669</v>
      </c>
      <c r="Y167" s="13"/>
      <c r="Z167" s="13"/>
      <c r="AA167" s="13" t="s">
        <v>670</v>
      </c>
      <c r="AB167" s="319" t="s">
        <v>371</v>
      </c>
      <c r="AC167" s="319" t="s">
        <v>572</v>
      </c>
      <c r="AD167" s="319">
        <v>1</v>
      </c>
      <c r="AE167" s="319">
        <v>4098</v>
      </c>
      <c r="AF167" s="319" t="s">
        <v>388</v>
      </c>
      <c r="AG167" s="319"/>
      <c r="AH167" s="319"/>
      <c r="AI167" s="379"/>
      <c r="AJ167" s="167"/>
      <c r="AK167" s="13"/>
      <c r="AL167" s="12"/>
      <c r="AM167" s="13"/>
      <c r="AN167" s="13"/>
      <c r="AO167" s="13"/>
      <c r="AP167" s="13"/>
      <c r="AQ167" s="13"/>
      <c r="AR167" s="13"/>
      <c r="AS167" s="13"/>
      <c r="AT167" s="13"/>
      <c r="AU167" s="13"/>
      <c r="AV167" s="13"/>
      <c r="AW167" s="13"/>
      <c r="AX167" s="167"/>
      <c r="AY167" s="13"/>
      <c r="AZ167" s="12"/>
      <c r="BA167" s="13"/>
      <c r="BB167" s="13"/>
      <c r="BC167" s="13"/>
      <c r="BD167" s="13"/>
      <c r="BE167" s="13"/>
      <c r="BF167" s="13"/>
      <c r="BG167" s="13"/>
      <c r="BH167" s="13"/>
      <c r="BI167" s="13"/>
      <c r="BJ167" s="5">
        <f>COUNTIF(M167,"*")+COUNTIF(W167,"*")+COUNTIF(AL167,"*")+COUNTIF(AZ167,"*")</f>
        <v>1</v>
      </c>
    </row>
    <row r="168" spans="1:62" ht="41.4">
      <c r="A168" s="1">
        <v>7</v>
      </c>
      <c r="B168" s="1">
        <v>31</v>
      </c>
      <c r="C168" s="1" t="s">
        <v>568</v>
      </c>
      <c r="D168" s="1"/>
      <c r="E168" s="1"/>
      <c r="F168" s="1" t="s">
        <v>1991</v>
      </c>
      <c r="G168" s="208"/>
      <c r="H168" s="208"/>
      <c r="I168" s="1"/>
      <c r="J168" s="1"/>
      <c r="K168" s="1"/>
      <c r="L168" s="1"/>
      <c r="M168" s="12"/>
      <c r="N168" s="13"/>
      <c r="O168" s="13"/>
      <c r="P168" s="13"/>
      <c r="Q168" s="13"/>
      <c r="R168" s="13"/>
      <c r="S168" s="13"/>
      <c r="T168" s="13"/>
      <c r="U168" s="167"/>
      <c r="V168" s="13"/>
      <c r="W168" s="13"/>
      <c r="X168" s="13"/>
      <c r="Y168" s="13"/>
      <c r="Z168" s="13"/>
      <c r="AA168" s="13"/>
      <c r="AB168" s="319"/>
      <c r="AC168" s="319"/>
      <c r="AD168" s="319"/>
      <c r="AE168" s="319"/>
      <c r="AF168" s="319"/>
      <c r="AG168" s="319"/>
      <c r="AH168" s="319"/>
      <c r="AI168" s="379"/>
      <c r="AJ168" s="167"/>
      <c r="AK168" s="13"/>
      <c r="AL168" s="17" t="s">
        <v>671</v>
      </c>
      <c r="AM168" s="387"/>
      <c r="AN168" s="387"/>
      <c r="AO168" s="387"/>
      <c r="AP168" s="387"/>
      <c r="AQ168" s="387" t="s">
        <v>327</v>
      </c>
      <c r="AR168" s="387" t="s">
        <v>672</v>
      </c>
      <c r="AS168" s="387" t="s">
        <v>673</v>
      </c>
      <c r="AT168" s="387"/>
      <c r="AU168" s="13"/>
      <c r="AV168" s="13"/>
      <c r="AW168" s="13"/>
      <c r="AX168" s="167"/>
      <c r="AY168" s="13"/>
      <c r="AZ168" s="12"/>
      <c r="BA168" s="13"/>
      <c r="BB168" s="13"/>
      <c r="BC168" s="13"/>
      <c r="BD168" s="13"/>
      <c r="BE168" s="13"/>
      <c r="BF168" s="13"/>
      <c r="BG168" s="13"/>
      <c r="BH168" s="13"/>
      <c r="BI168" s="13"/>
      <c r="BJ168" s="5"/>
    </row>
    <row r="169" spans="1:62" ht="13.8">
      <c r="A169" s="1">
        <v>7</v>
      </c>
      <c r="B169" s="1">
        <v>34</v>
      </c>
      <c r="C169" s="1" t="s">
        <v>568</v>
      </c>
      <c r="D169" s="1"/>
      <c r="E169" s="1"/>
      <c r="F169" s="1" t="s">
        <v>1608</v>
      </c>
      <c r="G169" s="208" t="s">
        <v>1609</v>
      </c>
      <c r="H169" s="208"/>
      <c r="I169" s="1"/>
      <c r="J169" s="1"/>
      <c r="K169" s="1"/>
      <c r="L169" s="1"/>
      <c r="M169" s="8" t="s">
        <v>1217</v>
      </c>
      <c r="N169" s="192"/>
      <c r="O169" s="9"/>
      <c r="P169" s="9"/>
      <c r="Q169" s="9"/>
      <c r="R169" s="9"/>
      <c r="S169" s="9"/>
      <c r="T169" s="9"/>
      <c r="U169" s="166"/>
      <c r="V169" s="9"/>
      <c r="W169" s="13"/>
      <c r="X169" s="13"/>
      <c r="Y169" s="13"/>
      <c r="Z169" s="13"/>
      <c r="AA169" s="13"/>
      <c r="AB169" s="319"/>
      <c r="AC169" s="319"/>
      <c r="AD169" s="319"/>
      <c r="AE169" s="319"/>
      <c r="AF169" s="319"/>
      <c r="AG169" s="319"/>
      <c r="AH169" s="319"/>
      <c r="AI169" s="379"/>
      <c r="AJ169" s="166"/>
      <c r="AK169" s="9"/>
      <c r="AL169" s="12"/>
      <c r="AM169" s="13"/>
      <c r="AN169" s="13"/>
      <c r="AO169" s="13"/>
      <c r="AP169" s="13"/>
      <c r="AQ169" s="13"/>
      <c r="AR169" s="13"/>
      <c r="AS169" s="13"/>
      <c r="AT169" s="13"/>
      <c r="AU169" s="13"/>
      <c r="AV169" s="13"/>
      <c r="AW169" s="13"/>
      <c r="AX169" s="166"/>
      <c r="AY169" s="9"/>
      <c r="AZ169" s="12"/>
      <c r="BA169" s="13"/>
      <c r="BB169" s="13"/>
      <c r="BC169" s="13"/>
      <c r="BD169" s="13"/>
      <c r="BE169" s="13"/>
      <c r="BF169" s="13"/>
      <c r="BG169" s="13"/>
      <c r="BH169" s="13"/>
      <c r="BI169" s="13"/>
      <c r="BJ169" s="5"/>
    </row>
    <row r="170" spans="1:62" ht="27.6" hidden="1">
      <c r="A170" s="26">
        <v>8</v>
      </c>
      <c r="B170" s="26">
        <v>1</v>
      </c>
      <c r="C170" s="248" t="s">
        <v>1595</v>
      </c>
      <c r="D170" s="248"/>
      <c r="E170" s="26"/>
      <c r="F170" s="26" t="s">
        <v>675</v>
      </c>
      <c r="G170" s="296"/>
      <c r="H170" s="296"/>
      <c r="I170" s="26"/>
      <c r="J170" s="26"/>
      <c r="K170" s="26"/>
      <c r="L170" s="26"/>
      <c r="M170" s="12"/>
      <c r="N170" s="13"/>
      <c r="O170" s="13"/>
      <c r="P170" s="13"/>
      <c r="Q170" s="13"/>
      <c r="R170" s="13"/>
      <c r="S170" s="13"/>
      <c r="T170" s="13"/>
      <c r="U170" s="167"/>
      <c r="V170" s="13"/>
      <c r="W170" s="13"/>
      <c r="X170" s="13"/>
      <c r="Y170" s="13"/>
      <c r="Z170" s="13"/>
      <c r="AA170" s="13"/>
      <c r="AB170" s="13"/>
      <c r="AC170" s="13"/>
      <c r="AD170" s="13"/>
      <c r="AE170" s="13"/>
      <c r="AF170" s="13"/>
      <c r="AG170" s="13"/>
      <c r="AH170" s="13"/>
      <c r="AI170" s="13"/>
      <c r="AJ170" s="167"/>
      <c r="AK170" s="13"/>
      <c r="AL170" s="17" t="s">
        <v>676</v>
      </c>
      <c r="AM170" s="374"/>
      <c r="AN170" s="263"/>
      <c r="AO170" s="374"/>
      <c r="AP170" s="317"/>
      <c r="AQ170" s="154" t="s">
        <v>674</v>
      </c>
      <c r="AR170" s="319" t="s">
        <v>677</v>
      </c>
      <c r="AS170" s="154" t="s">
        <v>677</v>
      </c>
      <c r="AT170" s="154"/>
      <c r="AU170" s="319"/>
      <c r="AV170" s="154"/>
      <c r="AW170" s="379"/>
      <c r="AX170" s="167"/>
      <c r="AY170" s="13"/>
      <c r="AZ170" s="12"/>
      <c r="BA170" s="13"/>
      <c r="BB170" s="13"/>
      <c r="BC170" s="13"/>
      <c r="BD170" s="13"/>
      <c r="BE170" s="13"/>
      <c r="BF170" s="13"/>
      <c r="BG170" s="13"/>
      <c r="BH170" s="13"/>
      <c r="BI170" s="13"/>
      <c r="BJ170" s="5">
        <f>COUNTIF(M170,"*")+COUNTIF(W170,"*")+COUNTIF(AL170,"*")+COUNTIF(AZ170,"*")</f>
        <v>1</v>
      </c>
    </row>
    <row r="171" spans="1:62" ht="27.6" hidden="1">
      <c r="A171" s="26">
        <v>8</v>
      </c>
      <c r="B171" s="26">
        <v>2</v>
      </c>
      <c r="C171" s="248" t="s">
        <v>1595</v>
      </c>
      <c r="D171" s="248"/>
      <c r="E171" s="26"/>
      <c r="F171" s="26" t="s">
        <v>678</v>
      </c>
      <c r="G171" s="296"/>
      <c r="H171" s="296"/>
      <c r="I171" s="26"/>
      <c r="J171" s="26"/>
      <c r="K171" s="26"/>
      <c r="L171" s="26"/>
      <c r="M171" s="12"/>
      <c r="N171" s="13"/>
      <c r="O171" s="13"/>
      <c r="P171" s="13"/>
      <c r="Q171" s="13"/>
      <c r="R171" s="13"/>
      <c r="S171" s="13"/>
      <c r="T171" s="13"/>
      <c r="U171" s="167"/>
      <c r="V171" s="13"/>
      <c r="W171" s="13"/>
      <c r="X171" s="13"/>
      <c r="Y171" s="13"/>
      <c r="Z171" s="13"/>
      <c r="AA171" s="13"/>
      <c r="AB171" s="13"/>
      <c r="AC171" s="13"/>
      <c r="AD171" s="13"/>
      <c r="AE171" s="13"/>
      <c r="AF171" s="13"/>
      <c r="AG171" s="13"/>
      <c r="AH171" s="13"/>
      <c r="AI171" s="13"/>
      <c r="AJ171" s="167"/>
      <c r="AK171" s="13"/>
      <c r="AL171" s="17" t="s">
        <v>679</v>
      </c>
      <c r="AM171" s="374"/>
      <c r="AN171" s="263"/>
      <c r="AO171" s="374"/>
      <c r="AP171" s="317"/>
      <c r="AQ171" s="154" t="s">
        <v>674</v>
      </c>
      <c r="AR171" s="154" t="s">
        <v>680</v>
      </c>
      <c r="AS171" s="154" t="s">
        <v>680</v>
      </c>
      <c r="AT171" s="154"/>
      <c r="AU171" s="154"/>
      <c r="AV171" s="154"/>
      <c r="AW171" s="379"/>
      <c r="AX171" s="167"/>
      <c r="AY171" s="13"/>
      <c r="AZ171" s="12"/>
      <c r="BA171" s="13"/>
      <c r="BB171" s="13"/>
      <c r="BC171" s="13"/>
      <c r="BD171" s="13"/>
      <c r="BE171" s="13"/>
      <c r="BF171" s="13"/>
      <c r="BG171" s="13"/>
      <c r="BH171" s="13"/>
      <c r="BI171" s="13"/>
      <c r="BJ171" s="5">
        <f>COUNTIF(M171,"*")+COUNTIF(W171,"*")+COUNTIF(AL171,"*")+COUNTIF(AZ171,"*")</f>
        <v>1</v>
      </c>
    </row>
    <row r="172" spans="1:62" ht="13.8" hidden="1">
      <c r="A172" s="26">
        <v>8</v>
      </c>
      <c r="B172" s="26">
        <v>3</v>
      </c>
      <c r="C172" s="248" t="s">
        <v>1595</v>
      </c>
      <c r="D172" s="248"/>
      <c r="E172" s="26"/>
      <c r="F172" s="26" t="s">
        <v>1992</v>
      </c>
      <c r="G172" s="296"/>
      <c r="H172" s="296"/>
      <c r="I172" s="26"/>
      <c r="J172" s="26"/>
      <c r="K172" s="26"/>
      <c r="L172" s="26"/>
      <c r="M172" s="12"/>
      <c r="N172" s="13"/>
      <c r="O172" s="13"/>
      <c r="P172" s="13"/>
      <c r="Q172" s="13"/>
      <c r="R172" s="13"/>
      <c r="S172" s="13"/>
      <c r="T172" s="13"/>
      <c r="U172" s="167"/>
      <c r="V172" s="13"/>
      <c r="W172" s="13"/>
      <c r="X172" s="13"/>
      <c r="Y172" s="13"/>
      <c r="Z172" s="13"/>
      <c r="AA172" s="13"/>
      <c r="AB172" s="13"/>
      <c r="AC172" s="13"/>
      <c r="AD172" s="13"/>
      <c r="AE172" s="13"/>
      <c r="AF172" s="13"/>
      <c r="AG172" s="13"/>
      <c r="AH172" s="13"/>
      <c r="AI172" s="13"/>
      <c r="AJ172" s="167"/>
      <c r="AK172" s="13"/>
      <c r="AL172" s="17" t="s">
        <v>681</v>
      </c>
      <c r="AM172" s="374"/>
      <c r="AN172" s="263"/>
      <c r="AO172" s="374"/>
      <c r="AP172" s="317"/>
      <c r="AQ172" s="154" t="s">
        <v>674</v>
      </c>
      <c r="AR172" s="154" t="s">
        <v>682</v>
      </c>
      <c r="AS172" s="154" t="s">
        <v>682</v>
      </c>
      <c r="AT172" s="262"/>
      <c r="AU172" s="154"/>
      <c r="AV172" s="154"/>
      <c r="AW172" s="379"/>
      <c r="AX172" s="167"/>
      <c r="AY172" s="13"/>
      <c r="AZ172" s="12"/>
      <c r="BA172" s="13"/>
      <c r="BB172" s="13"/>
      <c r="BC172" s="13"/>
      <c r="BD172" s="13"/>
      <c r="BE172" s="13"/>
      <c r="BF172" s="13"/>
      <c r="BG172" s="13"/>
      <c r="BH172" s="13"/>
      <c r="BI172" s="13"/>
      <c r="BJ172" s="5">
        <f>COUNTIF(M172,"*")+COUNTIF(W172,"*")+COUNTIF(AL172,"*")+COUNTIF(AZ172,"*")</f>
        <v>1</v>
      </c>
    </row>
    <row r="173" spans="1:62" ht="27.6" hidden="1">
      <c r="A173" s="26">
        <v>8</v>
      </c>
      <c r="B173" s="26">
        <v>4</v>
      </c>
      <c r="C173" s="248" t="s">
        <v>1595</v>
      </c>
      <c r="D173" s="248"/>
      <c r="E173" s="26"/>
      <c r="F173" s="26" t="s">
        <v>683</v>
      </c>
      <c r="G173" s="296"/>
      <c r="H173" s="296"/>
      <c r="I173" s="26"/>
      <c r="J173" s="26"/>
      <c r="K173" s="26"/>
      <c r="L173" s="26"/>
      <c r="M173" s="12"/>
      <c r="N173" s="13"/>
      <c r="O173" s="13"/>
      <c r="P173" s="13"/>
      <c r="Q173" s="13"/>
      <c r="R173" s="13"/>
      <c r="S173" s="13"/>
      <c r="T173" s="13"/>
      <c r="U173" s="167"/>
      <c r="V173" s="13"/>
      <c r="W173" s="13"/>
      <c r="X173" s="13"/>
      <c r="Y173" s="13"/>
      <c r="Z173" s="13"/>
      <c r="AA173" s="13"/>
      <c r="AB173" s="13"/>
      <c r="AC173" s="13"/>
      <c r="AD173" s="13"/>
      <c r="AE173" s="13"/>
      <c r="AF173" s="13"/>
      <c r="AG173" s="13"/>
      <c r="AH173" s="13"/>
      <c r="AI173" s="13"/>
      <c r="AJ173" s="167"/>
      <c r="AK173" s="13"/>
      <c r="AL173" s="17" t="s">
        <v>684</v>
      </c>
      <c r="AM173" s="374"/>
      <c r="AN173" s="263"/>
      <c r="AO173" s="374"/>
      <c r="AP173" s="317"/>
      <c r="AQ173" s="154" t="s">
        <v>674</v>
      </c>
      <c r="AR173" s="154" t="s">
        <v>685</v>
      </c>
      <c r="AS173" s="154" t="s">
        <v>685</v>
      </c>
      <c r="AT173" s="154" t="s">
        <v>686</v>
      </c>
      <c r="AU173" s="154"/>
      <c r="AV173" s="154"/>
      <c r="AW173" s="379"/>
      <c r="AX173" s="167"/>
      <c r="AY173" s="13"/>
      <c r="AZ173" s="12"/>
      <c r="BA173" s="13"/>
      <c r="BB173" s="13"/>
      <c r="BC173" s="13"/>
      <c r="BD173" s="13"/>
      <c r="BE173" s="13"/>
      <c r="BF173" s="13"/>
      <c r="BG173" s="13"/>
      <c r="BH173" s="13"/>
      <c r="BI173" s="13"/>
      <c r="BJ173" s="5">
        <f>COUNTIF(M173,"*")+COUNTIF(W173,"*")+COUNTIF(AL173,"*")+COUNTIF(AZ173,"*")</f>
        <v>1</v>
      </c>
    </row>
    <row r="174" spans="1:62" ht="27.6" hidden="1">
      <c r="A174" s="26">
        <v>8</v>
      </c>
      <c r="B174" s="26">
        <v>5</v>
      </c>
      <c r="C174" s="248" t="s">
        <v>1595</v>
      </c>
      <c r="D174" s="248"/>
      <c r="E174" s="26"/>
      <c r="F174" s="26" t="s">
        <v>687</v>
      </c>
      <c r="G174" s="296"/>
      <c r="H174" s="296"/>
      <c r="I174" s="26"/>
      <c r="J174" s="26"/>
      <c r="K174" s="26"/>
      <c r="L174" s="26"/>
      <c r="M174" s="12"/>
      <c r="N174" s="13"/>
      <c r="O174" s="13"/>
      <c r="P174" s="13"/>
      <c r="Q174" s="13"/>
      <c r="R174" s="13"/>
      <c r="S174" s="13"/>
      <c r="T174" s="13"/>
      <c r="U174" s="167"/>
      <c r="V174" s="13"/>
      <c r="W174" s="13"/>
      <c r="X174" s="13"/>
      <c r="Y174" s="13"/>
      <c r="Z174" s="13"/>
      <c r="AA174" s="13"/>
      <c r="AB174" s="13"/>
      <c r="AC174" s="13"/>
      <c r="AD174" s="13"/>
      <c r="AE174" s="13"/>
      <c r="AF174" s="13"/>
      <c r="AG174" s="13"/>
      <c r="AH174" s="13"/>
      <c r="AI174" s="13"/>
      <c r="AJ174" s="167"/>
      <c r="AK174" s="13"/>
      <c r="AL174" s="17" t="s">
        <v>688</v>
      </c>
      <c r="AM174" s="374"/>
      <c r="AN174" s="319"/>
      <c r="AO174" s="374"/>
      <c r="AP174" s="319"/>
      <c r="AQ174" s="319" t="s">
        <v>674</v>
      </c>
      <c r="AR174" s="319" t="s">
        <v>689</v>
      </c>
      <c r="AS174" s="319" t="s">
        <v>689</v>
      </c>
      <c r="AT174" s="319"/>
      <c r="AU174" s="319" t="s">
        <v>690</v>
      </c>
      <c r="AV174" s="319"/>
      <c r="AW174" s="379"/>
      <c r="AX174" s="167"/>
      <c r="AY174" s="13"/>
      <c r="AZ174" s="12"/>
      <c r="BA174" s="13"/>
      <c r="BB174" s="13"/>
      <c r="BC174" s="13"/>
      <c r="BD174" s="13"/>
      <c r="BE174" s="13"/>
      <c r="BF174" s="13"/>
      <c r="BG174" s="13"/>
      <c r="BH174" s="13"/>
      <c r="BI174" s="13"/>
      <c r="BJ174" s="5">
        <f>COUNTIF(M174,"*")+COUNTIF(W174,"*")+COUNTIF(AL174,"*")+COUNTIF(AZ174,"*")</f>
        <v>1</v>
      </c>
    </row>
    <row r="175" spans="1:62" ht="13.8" hidden="1">
      <c r="A175" s="26">
        <v>8</v>
      </c>
      <c r="B175" s="26">
        <v>6</v>
      </c>
      <c r="C175" s="248" t="s">
        <v>1595</v>
      </c>
      <c r="D175" s="248"/>
      <c r="E175" s="26"/>
      <c r="F175" s="26" t="s">
        <v>691</v>
      </c>
      <c r="G175" s="296"/>
      <c r="H175" s="296"/>
      <c r="I175" s="26"/>
      <c r="J175" s="26"/>
      <c r="K175" s="26"/>
      <c r="L175" s="26"/>
      <c r="M175" s="12"/>
      <c r="N175" s="13"/>
      <c r="O175" s="13"/>
      <c r="P175" s="13"/>
      <c r="Q175" s="13"/>
      <c r="R175" s="13"/>
      <c r="S175" s="13"/>
      <c r="T175" s="13"/>
      <c r="U175" s="167"/>
      <c r="V175" s="13"/>
      <c r="W175" s="13"/>
      <c r="X175" s="13"/>
      <c r="Y175" s="13"/>
      <c r="Z175" s="13"/>
      <c r="AA175" s="13"/>
      <c r="AB175" s="13"/>
      <c r="AC175" s="13"/>
      <c r="AD175" s="13"/>
      <c r="AE175" s="13"/>
      <c r="AF175" s="13"/>
      <c r="AG175" s="13"/>
      <c r="AH175" s="13"/>
      <c r="AI175" s="13"/>
      <c r="AJ175" s="167"/>
      <c r="AK175" s="13"/>
      <c r="AL175" s="17" t="s">
        <v>692</v>
      </c>
      <c r="AM175" s="374"/>
      <c r="AN175" s="319"/>
      <c r="AO175" s="374"/>
      <c r="AP175" s="319"/>
      <c r="AQ175" s="319" t="s">
        <v>674</v>
      </c>
      <c r="AR175" s="319" t="s">
        <v>691</v>
      </c>
      <c r="AS175" s="319" t="s">
        <v>691</v>
      </c>
      <c r="AT175" s="319"/>
      <c r="AU175" s="319"/>
      <c r="AV175" s="319"/>
      <c r="AW175" s="379"/>
      <c r="AX175" s="167"/>
      <c r="AY175" s="13"/>
      <c r="AZ175" s="12"/>
      <c r="BA175" s="13"/>
      <c r="BB175" s="13"/>
      <c r="BC175" s="13"/>
      <c r="BD175" s="13"/>
      <c r="BE175" s="13"/>
      <c r="BF175" s="13"/>
      <c r="BG175" s="13"/>
      <c r="BH175" s="13"/>
      <c r="BI175" s="13"/>
      <c r="BJ175" s="5">
        <f>COUNTIF(M175,"*")+COUNTIF(W175,"*")+COUNTIF(AL175,"*")+COUNTIF(AZ175,"*")</f>
        <v>1</v>
      </c>
    </row>
    <row r="176" spans="1:62" ht="27.6" hidden="1">
      <c r="A176" s="26">
        <v>8</v>
      </c>
      <c r="B176" s="26">
        <v>7</v>
      </c>
      <c r="C176" s="248" t="s">
        <v>1595</v>
      </c>
      <c r="D176" s="248"/>
      <c r="E176" s="26"/>
      <c r="F176" s="26" t="s">
        <v>693</v>
      </c>
      <c r="G176" s="296"/>
      <c r="H176" s="296"/>
      <c r="I176" s="26"/>
      <c r="J176" s="26"/>
      <c r="K176" s="26"/>
      <c r="L176" s="26"/>
      <c r="M176" s="12"/>
      <c r="N176" s="13"/>
      <c r="O176" s="13"/>
      <c r="P176" s="13"/>
      <c r="Q176" s="13"/>
      <c r="R176" s="13"/>
      <c r="S176" s="13"/>
      <c r="T176" s="13"/>
      <c r="U176" s="167"/>
      <c r="V176" s="13"/>
      <c r="W176" s="13"/>
      <c r="X176" s="13"/>
      <c r="Y176" s="13"/>
      <c r="Z176" s="13"/>
      <c r="AA176" s="13"/>
      <c r="AB176" s="13"/>
      <c r="AC176" s="13"/>
      <c r="AD176" s="13"/>
      <c r="AE176" s="13"/>
      <c r="AF176" s="13"/>
      <c r="AG176" s="13"/>
      <c r="AH176" s="13"/>
      <c r="AI176" s="13"/>
      <c r="AJ176" s="167"/>
      <c r="AK176" s="13"/>
      <c r="AL176" s="17" t="s">
        <v>694</v>
      </c>
      <c r="AM176" s="374"/>
      <c r="AN176" s="263"/>
      <c r="AO176" s="374"/>
      <c r="AP176" s="317"/>
      <c r="AQ176" s="262" t="s">
        <v>674</v>
      </c>
      <c r="AR176" s="262" t="s">
        <v>693</v>
      </c>
      <c r="AS176" s="262" t="s">
        <v>693</v>
      </c>
      <c r="AT176" s="262"/>
      <c r="AU176" s="262" t="s">
        <v>690</v>
      </c>
      <c r="AV176" s="262"/>
      <c r="AW176" s="379"/>
      <c r="AX176" s="167"/>
      <c r="AY176" s="13"/>
      <c r="AZ176" s="12"/>
      <c r="BA176" s="13"/>
      <c r="BB176" s="13"/>
      <c r="BC176" s="13"/>
      <c r="BD176" s="13"/>
      <c r="BE176" s="13"/>
      <c r="BF176" s="13"/>
      <c r="BG176" s="13"/>
      <c r="BH176" s="13"/>
      <c r="BI176" s="13"/>
      <c r="BJ176" s="5">
        <f>COUNTIF(M176,"*")+COUNTIF(W176,"*")+COUNTIF(AL176,"*")+COUNTIF(AZ176,"*")</f>
        <v>1</v>
      </c>
    </row>
    <row r="177" spans="1:62" ht="27.6" hidden="1">
      <c r="A177" s="26">
        <v>8</v>
      </c>
      <c r="B177" s="26">
        <v>8</v>
      </c>
      <c r="C177" s="248" t="s">
        <v>1595</v>
      </c>
      <c r="D177" s="248"/>
      <c r="E177" s="26"/>
      <c r="F177" s="26" t="s">
        <v>695</v>
      </c>
      <c r="G177" s="296"/>
      <c r="H177" s="296"/>
      <c r="I177" s="26"/>
      <c r="J177" s="26"/>
      <c r="K177" s="26"/>
      <c r="L177" s="26"/>
      <c r="M177" s="12"/>
      <c r="N177" s="13"/>
      <c r="O177" s="13"/>
      <c r="P177" s="13"/>
      <c r="Q177" s="13"/>
      <c r="R177" s="13"/>
      <c r="S177" s="13"/>
      <c r="T177" s="13"/>
      <c r="U177" s="167"/>
      <c r="V177" s="13"/>
      <c r="W177" s="13"/>
      <c r="X177" s="13"/>
      <c r="Y177" s="13"/>
      <c r="Z177" s="13"/>
      <c r="AA177" s="13"/>
      <c r="AB177" s="13"/>
      <c r="AC177" s="13"/>
      <c r="AD177" s="13"/>
      <c r="AE177" s="13"/>
      <c r="AF177" s="13"/>
      <c r="AG177" s="13"/>
      <c r="AH177" s="13"/>
      <c r="AI177" s="13"/>
      <c r="AJ177" s="167"/>
      <c r="AK177" s="13"/>
      <c r="AL177" s="17" t="s">
        <v>696</v>
      </c>
      <c r="AM177" s="374"/>
      <c r="AN177" s="319"/>
      <c r="AO177" s="374"/>
      <c r="AP177" s="319"/>
      <c r="AQ177" s="319" t="s">
        <v>674</v>
      </c>
      <c r="AR177" s="319" t="s">
        <v>695</v>
      </c>
      <c r="AS177" s="319" t="s">
        <v>695</v>
      </c>
      <c r="AT177" s="319"/>
      <c r="AU177" s="319"/>
      <c r="AV177" s="319"/>
      <c r="AW177" s="379"/>
      <c r="AX177" s="167"/>
      <c r="AY177" s="13"/>
      <c r="AZ177" s="12"/>
      <c r="BA177" s="13"/>
      <c r="BB177" s="13"/>
      <c r="BC177" s="13"/>
      <c r="BD177" s="13"/>
      <c r="BE177" s="13"/>
      <c r="BF177" s="13"/>
      <c r="BG177" s="13"/>
      <c r="BH177" s="13"/>
      <c r="BI177" s="13"/>
      <c r="BJ177" s="5">
        <f>COUNTIF(M177,"*")+COUNTIF(W177,"*")+COUNTIF(AL177,"*")+COUNTIF(AZ177,"*")</f>
        <v>1</v>
      </c>
    </row>
    <row r="178" spans="1:62" ht="27.6" hidden="1">
      <c r="A178" s="26">
        <v>8</v>
      </c>
      <c r="B178" s="26">
        <v>9</v>
      </c>
      <c r="C178" s="248" t="s">
        <v>1595</v>
      </c>
      <c r="D178" s="248"/>
      <c r="E178" s="26"/>
      <c r="F178" s="26" t="s">
        <v>697</v>
      </c>
      <c r="G178" s="296"/>
      <c r="H178" s="296"/>
      <c r="I178" s="26"/>
      <c r="J178" s="26"/>
      <c r="K178" s="26"/>
      <c r="L178" s="26"/>
      <c r="M178" s="12"/>
      <c r="N178" s="13"/>
      <c r="O178" s="13"/>
      <c r="P178" s="13"/>
      <c r="Q178" s="13"/>
      <c r="R178" s="13"/>
      <c r="S178" s="13"/>
      <c r="T178" s="13"/>
      <c r="U178" s="167"/>
      <c r="V178" s="13"/>
      <c r="W178" s="13"/>
      <c r="X178" s="13"/>
      <c r="Y178" s="13"/>
      <c r="Z178" s="13"/>
      <c r="AA178" s="13"/>
      <c r="AB178" s="13"/>
      <c r="AC178" s="13"/>
      <c r="AD178" s="13"/>
      <c r="AE178" s="13"/>
      <c r="AF178" s="13"/>
      <c r="AG178" s="13"/>
      <c r="AH178" s="13"/>
      <c r="AI178" s="13"/>
      <c r="AJ178" s="167"/>
      <c r="AK178" s="13"/>
      <c r="AL178" s="17" t="s">
        <v>698</v>
      </c>
      <c r="AM178" s="374"/>
      <c r="AN178" s="319"/>
      <c r="AO178" s="374"/>
      <c r="AP178" s="319"/>
      <c r="AQ178" s="319" t="s">
        <v>674</v>
      </c>
      <c r="AR178" s="319" t="s">
        <v>697</v>
      </c>
      <c r="AS178" s="319" t="s">
        <v>699</v>
      </c>
      <c r="AT178" s="319" t="s">
        <v>686</v>
      </c>
      <c r="AU178" s="319"/>
      <c r="AV178" s="319"/>
      <c r="AW178" s="379"/>
      <c r="AX178" s="167"/>
      <c r="AY178" s="13"/>
      <c r="AZ178" s="12"/>
      <c r="BA178" s="13"/>
      <c r="BB178" s="13"/>
      <c r="BC178" s="13"/>
      <c r="BD178" s="13"/>
      <c r="BE178" s="13"/>
      <c r="BF178" s="13"/>
      <c r="BG178" s="13"/>
      <c r="BH178" s="13"/>
      <c r="BI178" s="13"/>
      <c r="BJ178" s="5">
        <f>COUNTIF(M178,"*")+COUNTIF(W178,"*")+COUNTIF(AL178,"*")+COUNTIF(AZ178,"*")</f>
        <v>1</v>
      </c>
    </row>
    <row r="179" spans="1:62" ht="32.4" hidden="1" customHeight="1">
      <c r="A179" s="26">
        <v>8</v>
      </c>
      <c r="B179" s="26">
        <v>10</v>
      </c>
      <c r="C179" s="248" t="s">
        <v>1595</v>
      </c>
      <c r="D179" s="248"/>
      <c r="E179" s="26"/>
      <c r="F179" s="26" t="s">
        <v>700</v>
      </c>
      <c r="G179" s="296"/>
      <c r="H179" s="296"/>
      <c r="I179" s="26"/>
      <c r="J179" s="26"/>
      <c r="K179" s="26"/>
      <c r="L179" s="26"/>
      <c r="M179" s="12"/>
      <c r="N179" s="13"/>
      <c r="O179" s="13"/>
      <c r="P179" s="13"/>
      <c r="Q179" s="13"/>
      <c r="R179" s="13"/>
      <c r="S179" s="13"/>
      <c r="T179" s="13"/>
      <c r="U179" s="167"/>
      <c r="V179" s="13"/>
      <c r="W179" s="13"/>
      <c r="X179" s="13"/>
      <c r="Y179" s="13"/>
      <c r="Z179" s="13"/>
      <c r="AA179" s="13"/>
      <c r="AB179" s="13"/>
      <c r="AC179" s="13"/>
      <c r="AD179" s="13"/>
      <c r="AE179" s="13"/>
      <c r="AF179" s="13"/>
      <c r="AG179" s="13"/>
      <c r="AH179" s="13"/>
      <c r="AI179" s="13"/>
      <c r="AJ179" s="167"/>
      <c r="AK179" s="13"/>
      <c r="AL179" s="17" t="s">
        <v>701</v>
      </c>
      <c r="AM179" s="374"/>
      <c r="AN179" s="319"/>
      <c r="AO179" s="374"/>
      <c r="AP179" s="319"/>
      <c r="AQ179" s="262" t="s">
        <v>674</v>
      </c>
      <c r="AR179" s="262" t="s">
        <v>702</v>
      </c>
      <c r="AS179" s="262" t="s">
        <v>702</v>
      </c>
      <c r="AT179" s="262"/>
      <c r="AU179" s="262"/>
      <c r="AV179" s="262"/>
      <c r="AW179" s="379"/>
      <c r="AX179" s="167"/>
      <c r="AY179" s="13"/>
      <c r="AZ179" s="12"/>
      <c r="BA179" s="13"/>
      <c r="BB179" s="13"/>
      <c r="BC179" s="13"/>
      <c r="BD179" s="13"/>
      <c r="BE179" s="13"/>
      <c r="BF179" s="13"/>
      <c r="BG179" s="13"/>
      <c r="BH179" s="13"/>
      <c r="BI179" s="13"/>
      <c r="BJ179" s="5">
        <f>COUNTIF(M179,"*")+COUNTIF(W179,"*")+COUNTIF(AL179,"*")+COUNTIF(AZ179,"*")</f>
        <v>1</v>
      </c>
    </row>
    <row r="180" spans="1:62" ht="32.4" hidden="1" customHeight="1">
      <c r="A180" s="26">
        <v>8</v>
      </c>
      <c r="B180" s="26">
        <v>11</v>
      </c>
      <c r="C180" s="248" t="s">
        <v>1595</v>
      </c>
      <c r="D180" s="248"/>
      <c r="E180" s="26"/>
      <c r="F180" s="26" t="s">
        <v>703</v>
      </c>
      <c r="G180" s="296"/>
      <c r="H180" s="296"/>
      <c r="I180" s="26"/>
      <c r="J180" s="26"/>
      <c r="K180" s="26"/>
      <c r="L180" s="26"/>
      <c r="M180" s="12"/>
      <c r="N180" s="13"/>
      <c r="O180" s="13"/>
      <c r="P180" s="13"/>
      <c r="Q180" s="13"/>
      <c r="R180" s="13"/>
      <c r="S180" s="13"/>
      <c r="T180" s="13"/>
      <c r="U180" s="167"/>
      <c r="V180" s="13"/>
      <c r="W180" s="13"/>
      <c r="X180" s="13"/>
      <c r="Y180" s="13"/>
      <c r="Z180" s="13"/>
      <c r="AA180" s="13"/>
      <c r="AB180" s="13"/>
      <c r="AC180" s="13"/>
      <c r="AD180" s="13"/>
      <c r="AE180" s="13"/>
      <c r="AF180" s="13"/>
      <c r="AG180" s="13"/>
      <c r="AH180" s="13"/>
      <c r="AI180" s="13"/>
      <c r="AJ180" s="167"/>
      <c r="AK180" s="13"/>
      <c r="AL180" s="17" t="s">
        <v>704</v>
      </c>
      <c r="AM180" s="374"/>
      <c r="AN180" s="319"/>
      <c r="AO180" s="374"/>
      <c r="AP180" s="319"/>
      <c r="AQ180" s="319" t="s">
        <v>674</v>
      </c>
      <c r="AR180" s="319" t="s">
        <v>705</v>
      </c>
      <c r="AS180" s="154" t="s">
        <v>706</v>
      </c>
      <c r="AT180" s="319"/>
      <c r="AU180" s="319"/>
      <c r="AV180" s="319"/>
      <c r="AW180" s="379"/>
      <c r="AX180" s="167"/>
      <c r="AY180" s="13"/>
      <c r="AZ180" s="12"/>
      <c r="BA180" s="13"/>
      <c r="BB180" s="13"/>
      <c r="BC180" s="13"/>
      <c r="BD180" s="13"/>
      <c r="BE180" s="13"/>
      <c r="BF180" s="13"/>
      <c r="BG180" s="13"/>
      <c r="BH180" s="13"/>
      <c r="BI180" s="13"/>
      <c r="BJ180" s="5">
        <f>COUNTIF(M180,"*")+COUNTIF(W180,"*")+COUNTIF(AL180,"*")+COUNTIF(AZ180,"*")</f>
        <v>1</v>
      </c>
    </row>
    <row r="181" spans="1:62" ht="27.6" hidden="1">
      <c r="A181" s="26">
        <v>8</v>
      </c>
      <c r="B181" s="26">
        <v>12</v>
      </c>
      <c r="C181" s="248" t="s">
        <v>1595</v>
      </c>
      <c r="D181" s="248"/>
      <c r="E181" s="26"/>
      <c r="F181" s="26" t="s">
        <v>707</v>
      </c>
      <c r="G181" s="296"/>
      <c r="H181" s="296"/>
      <c r="I181" s="26"/>
      <c r="J181" s="26"/>
      <c r="K181" s="26"/>
      <c r="L181" s="26"/>
      <c r="M181" s="12"/>
      <c r="N181" s="13"/>
      <c r="O181" s="13"/>
      <c r="P181" s="13"/>
      <c r="Q181" s="13"/>
      <c r="R181" s="13"/>
      <c r="S181" s="13"/>
      <c r="T181" s="13"/>
      <c r="U181" s="167"/>
      <c r="V181" s="13"/>
      <c r="W181" s="13"/>
      <c r="X181" s="13"/>
      <c r="Y181" s="13"/>
      <c r="Z181" s="13"/>
      <c r="AA181" s="13"/>
      <c r="AB181" s="13"/>
      <c r="AC181" s="13"/>
      <c r="AD181" s="13"/>
      <c r="AE181" s="13"/>
      <c r="AF181" s="13"/>
      <c r="AG181" s="13"/>
      <c r="AH181" s="13"/>
      <c r="AI181" s="13"/>
      <c r="AJ181" s="167"/>
      <c r="AK181" s="13"/>
      <c r="AL181" s="17" t="s">
        <v>708</v>
      </c>
      <c r="AM181" s="374"/>
      <c r="AN181" s="319"/>
      <c r="AO181" s="374"/>
      <c r="AP181" s="319"/>
      <c r="AQ181" s="319" t="s">
        <v>674</v>
      </c>
      <c r="AR181" s="319" t="s">
        <v>709</v>
      </c>
      <c r="AS181" s="319" t="s">
        <v>709</v>
      </c>
      <c r="AT181" s="319"/>
      <c r="AU181" s="319"/>
      <c r="AV181" s="319"/>
      <c r="AW181" s="379"/>
      <c r="AX181" s="167"/>
      <c r="AY181" s="13"/>
      <c r="AZ181" s="12"/>
      <c r="BA181" s="13"/>
      <c r="BB181" s="13"/>
      <c r="BC181" s="13"/>
      <c r="BD181" s="13"/>
      <c r="BE181" s="13"/>
      <c r="BF181" s="13"/>
      <c r="BG181" s="13"/>
      <c r="BH181" s="13"/>
      <c r="BI181" s="13"/>
      <c r="BJ181" s="5">
        <f>COUNTIF(M181,"*")+COUNTIF(W181,"*")+COUNTIF(AL181,"*")+COUNTIF(AZ181,"*")</f>
        <v>1</v>
      </c>
    </row>
    <row r="182" spans="1:62" ht="13.8" hidden="1">
      <c r="A182" s="26">
        <v>8</v>
      </c>
      <c r="B182" s="353">
        <v>13</v>
      </c>
      <c r="C182" s="404" t="s">
        <v>1595</v>
      </c>
      <c r="D182" s="248"/>
      <c r="E182" s="26"/>
      <c r="F182" s="353" t="s">
        <v>710</v>
      </c>
      <c r="G182" s="405"/>
      <c r="H182" s="296"/>
      <c r="I182" s="353"/>
      <c r="J182" s="26"/>
      <c r="K182" s="353"/>
      <c r="L182" s="353"/>
      <c r="M182" s="195"/>
      <c r="N182" s="36"/>
      <c r="O182" s="13"/>
      <c r="P182" s="13"/>
      <c r="Q182" s="13"/>
      <c r="R182" s="13"/>
      <c r="S182" s="13"/>
      <c r="T182" s="13"/>
      <c r="U182" s="167"/>
      <c r="V182" s="13"/>
      <c r="W182" s="13"/>
      <c r="X182" s="36"/>
      <c r="Y182" s="36"/>
      <c r="Z182" s="36"/>
      <c r="AA182" s="13"/>
      <c r="AB182" s="13"/>
      <c r="AC182" s="13"/>
      <c r="AD182" s="13"/>
      <c r="AE182" s="13"/>
      <c r="AF182" s="13"/>
      <c r="AG182" s="13"/>
      <c r="AH182" s="13"/>
      <c r="AI182" s="13"/>
      <c r="AJ182" s="167"/>
      <c r="AK182" s="36"/>
      <c r="AL182" s="196" t="s">
        <v>711</v>
      </c>
      <c r="AM182" s="302"/>
      <c r="AN182" s="302"/>
      <c r="AO182" s="302"/>
      <c r="AP182" s="302"/>
      <c r="AQ182" s="262" t="s">
        <v>674</v>
      </c>
      <c r="AR182" s="262" t="s">
        <v>712</v>
      </c>
      <c r="AS182" s="154" t="s">
        <v>712</v>
      </c>
      <c r="AT182" s="262"/>
      <c r="AU182" s="262"/>
      <c r="AV182" s="262"/>
      <c r="AW182" s="379"/>
      <c r="AX182" s="167"/>
      <c r="AY182" s="13"/>
      <c r="AZ182" s="12"/>
      <c r="BA182" s="36"/>
      <c r="BB182" s="36"/>
      <c r="BC182" s="36"/>
      <c r="BD182" s="13"/>
      <c r="BE182" s="13"/>
      <c r="BF182" s="13"/>
      <c r="BG182" s="13"/>
      <c r="BH182" s="13"/>
      <c r="BI182" s="13"/>
      <c r="BJ182" s="351">
        <f>COUNTIF(M182,"*")+COUNTIF(W182,"*")+COUNTIF(AL182,"*")+COUNTIF(AZ182,"*")</f>
        <v>1</v>
      </c>
    </row>
    <row r="183" spans="1:62" ht="41.4" hidden="1">
      <c r="A183" s="27">
        <v>9</v>
      </c>
      <c r="B183" s="442">
        <v>1</v>
      </c>
      <c r="C183" s="443" t="s">
        <v>713</v>
      </c>
      <c r="D183" s="249"/>
      <c r="E183" s="209" t="s">
        <v>1624</v>
      </c>
      <c r="F183" s="444" t="s">
        <v>714</v>
      </c>
      <c r="G183" s="444" t="s">
        <v>1876</v>
      </c>
      <c r="H183" s="209" t="str">
        <f>_xlfn.CONCAT("'&lt;br&gt;','&lt;b&gt;','",F183, ": ','&lt;/b&gt;',",G183, ",'&lt;/br&gt;',")</f>
        <v>'&lt;br&gt;','&lt;b&gt;','Large wood frequency: ','&lt;/b&gt;',LWDFreq,'&lt;/br&gt;',</v>
      </c>
      <c r="I183" s="444" t="s">
        <v>1878</v>
      </c>
      <c r="J183" s="27" t="s">
        <v>265</v>
      </c>
      <c r="K183" s="362"/>
      <c r="L183" s="444"/>
      <c r="M183" s="201"/>
      <c r="N183" s="309"/>
      <c r="O183" s="13"/>
      <c r="P183" s="13"/>
      <c r="Q183" s="13"/>
      <c r="R183" s="13"/>
      <c r="S183" s="13">
        <v>6846</v>
      </c>
      <c r="T183" s="13"/>
      <c r="U183" s="167">
        <v>6846</v>
      </c>
      <c r="V183" s="13"/>
      <c r="W183" s="13" t="s">
        <v>715</v>
      </c>
      <c r="X183" s="278" t="s">
        <v>1580</v>
      </c>
      <c r="Y183" s="163"/>
      <c r="Z183" s="163"/>
      <c r="AA183" s="13" t="s">
        <v>716</v>
      </c>
      <c r="AB183" s="319" t="s">
        <v>371</v>
      </c>
      <c r="AC183" s="319" t="s">
        <v>717</v>
      </c>
      <c r="AD183" s="319">
        <v>0</v>
      </c>
      <c r="AE183" s="319" t="s">
        <v>161</v>
      </c>
      <c r="AF183" s="319" t="s">
        <v>80</v>
      </c>
      <c r="AG183" s="319"/>
      <c r="AH183" s="319">
        <v>6864</v>
      </c>
      <c r="AI183" s="379"/>
      <c r="AJ183" s="167"/>
      <c r="AK183" s="380"/>
      <c r="AL183" s="369" t="s">
        <v>718</v>
      </c>
      <c r="AM183" s="303"/>
      <c r="AN183" s="369"/>
      <c r="AO183" s="303"/>
      <c r="AP183" s="303"/>
      <c r="AQ183" s="262" t="s">
        <v>719</v>
      </c>
      <c r="AR183" s="319" t="s">
        <v>720</v>
      </c>
      <c r="AS183" s="262" t="s">
        <v>720</v>
      </c>
      <c r="AT183" s="262" t="s">
        <v>721</v>
      </c>
      <c r="AU183" s="319"/>
      <c r="AV183" s="262">
        <v>6866</v>
      </c>
      <c r="AW183" s="379"/>
      <c r="AX183" s="167"/>
      <c r="AY183" s="13"/>
      <c r="AZ183" s="12" t="s">
        <v>714</v>
      </c>
      <c r="BA183" s="201" t="s">
        <v>1573</v>
      </c>
      <c r="BB183" s="309"/>
      <c r="BC183" s="309"/>
      <c r="BD183" s="13" t="s">
        <v>722</v>
      </c>
      <c r="BE183" s="13" t="s">
        <v>723</v>
      </c>
      <c r="BF183" s="13">
        <v>6836</v>
      </c>
      <c r="BG183" s="13"/>
      <c r="BH183" s="13"/>
      <c r="BI183" s="13"/>
      <c r="BJ183" s="278">
        <f>COUNTIF(M183,"*")+COUNTIF(W183,"*")+COUNTIF(AL183,"*")+COUNTIF(AZ183,"*")</f>
        <v>3</v>
      </c>
    </row>
    <row r="184" spans="1:62" ht="41.4" hidden="1">
      <c r="A184" s="27">
        <v>9</v>
      </c>
      <c r="B184" s="442">
        <v>2</v>
      </c>
      <c r="C184" s="443" t="s">
        <v>713</v>
      </c>
      <c r="D184" s="249"/>
      <c r="E184" s="209" t="s">
        <v>1624</v>
      </c>
      <c r="F184" s="444" t="s">
        <v>724</v>
      </c>
      <c r="G184" s="444" t="s">
        <v>1877</v>
      </c>
      <c r="H184" s="209" t="str">
        <f>_xlfn.CONCAT("'&lt;br&gt;','&lt;b&gt;','",F184, ": ','&lt;/b&gt;',",G184, ",'&lt;/br&gt;',")</f>
        <v>'&lt;br&gt;','&lt;b&gt;','Large wood volume: ','&lt;/b&gt;',LWDVol,'&lt;/br&gt;',</v>
      </c>
      <c r="I184" s="444" t="s">
        <v>1879</v>
      </c>
      <c r="J184" s="27" t="s">
        <v>265</v>
      </c>
      <c r="K184" s="362"/>
      <c r="L184" s="444"/>
      <c r="M184" s="201"/>
      <c r="N184" s="281"/>
      <c r="O184" s="13"/>
      <c r="P184" s="13"/>
      <c r="Q184" s="13"/>
      <c r="R184" s="13"/>
      <c r="S184" s="13">
        <v>6846</v>
      </c>
      <c r="T184" s="13"/>
      <c r="U184" s="167">
        <v>6846</v>
      </c>
      <c r="V184" s="13"/>
      <c r="W184" s="13" t="s">
        <v>725</v>
      </c>
      <c r="X184" s="278" t="s">
        <v>1581</v>
      </c>
      <c r="Y184" s="36"/>
      <c r="Z184" s="36"/>
      <c r="AA184" s="13" t="s">
        <v>726</v>
      </c>
      <c r="AB184" s="262" t="s">
        <v>371</v>
      </c>
      <c r="AC184" s="262" t="s">
        <v>727</v>
      </c>
      <c r="AD184" s="262">
        <v>0</v>
      </c>
      <c r="AE184" s="262" t="s">
        <v>161</v>
      </c>
      <c r="AF184" s="262" t="s">
        <v>80</v>
      </c>
      <c r="AG184" s="262"/>
      <c r="AH184" s="262">
        <v>6864</v>
      </c>
      <c r="AI184" s="379"/>
      <c r="AJ184" s="167"/>
      <c r="AK184" s="350"/>
      <c r="AL184" s="369" t="s">
        <v>728</v>
      </c>
      <c r="AM184" s="288"/>
      <c r="AN184" s="369" t="s">
        <v>755</v>
      </c>
      <c r="AO184" s="288"/>
      <c r="AP184" s="288"/>
      <c r="AQ184" s="21" t="s">
        <v>719</v>
      </c>
      <c r="AR184" s="21" t="s">
        <v>729</v>
      </c>
      <c r="AS184" s="154" t="s">
        <v>729</v>
      </c>
      <c r="AT184" s="21" t="s">
        <v>730</v>
      </c>
      <c r="AU184" s="21"/>
      <c r="AV184" s="21">
        <v>6866</v>
      </c>
      <c r="AW184" s="21"/>
      <c r="AX184" s="167"/>
      <c r="AY184" s="13"/>
      <c r="AZ184" s="12" t="s">
        <v>724</v>
      </c>
      <c r="BA184" s="201" t="s">
        <v>731</v>
      </c>
      <c r="BB184" s="281"/>
      <c r="BC184" s="281"/>
      <c r="BD184" s="13" t="s">
        <v>732</v>
      </c>
      <c r="BE184" s="13" t="s">
        <v>733</v>
      </c>
      <c r="BF184" s="13">
        <v>6836</v>
      </c>
      <c r="BG184" s="13"/>
      <c r="BH184" s="13"/>
      <c r="BI184" s="13"/>
      <c r="BJ184" s="278">
        <f>COUNTIF(M184,"*")+COUNTIF(W184,"*")+COUNTIF(AL184,"*")+COUNTIF(AZ184,"*")</f>
        <v>3</v>
      </c>
    </row>
    <row r="185" spans="1:62" ht="13.8" hidden="1">
      <c r="A185" s="27">
        <v>9</v>
      </c>
      <c r="B185" s="233">
        <v>3</v>
      </c>
      <c r="C185" s="420" t="s">
        <v>713</v>
      </c>
      <c r="D185" s="249"/>
      <c r="E185" s="27"/>
      <c r="F185" s="233" t="s">
        <v>734</v>
      </c>
      <c r="G185" s="421"/>
      <c r="H185" s="209"/>
      <c r="I185" s="233"/>
      <c r="J185" s="27"/>
      <c r="K185" s="233"/>
      <c r="L185" s="233"/>
      <c r="M185" s="199"/>
      <c r="N185" s="163"/>
      <c r="O185" s="13"/>
      <c r="P185" s="13"/>
      <c r="Q185" s="13"/>
      <c r="R185" s="13"/>
      <c r="S185" s="13"/>
      <c r="T185" s="13"/>
      <c r="U185" s="167"/>
      <c r="V185" s="13"/>
      <c r="W185" s="13"/>
      <c r="X185" s="163"/>
      <c r="Y185" s="163"/>
      <c r="Z185" s="163"/>
      <c r="AA185" s="13"/>
      <c r="AB185" s="319"/>
      <c r="AC185" s="319"/>
      <c r="AD185" s="319"/>
      <c r="AE185" s="319"/>
      <c r="AF185" s="319"/>
      <c r="AG185" s="319"/>
      <c r="AH185" s="319"/>
      <c r="AI185" s="379"/>
      <c r="AJ185" s="167"/>
      <c r="AK185" s="163"/>
      <c r="AL185" s="200" t="s">
        <v>735</v>
      </c>
      <c r="AM185" s="164"/>
      <c r="AN185" s="164"/>
      <c r="AO185" s="164"/>
      <c r="AP185" s="164"/>
      <c r="AQ185" s="262" t="s">
        <v>719</v>
      </c>
      <c r="AR185" s="262" t="s">
        <v>736</v>
      </c>
      <c r="AS185" s="262" t="s">
        <v>737</v>
      </c>
      <c r="AT185" s="262" t="s">
        <v>721</v>
      </c>
      <c r="AU185" s="262"/>
      <c r="AV185" s="262"/>
      <c r="AW185" s="379"/>
      <c r="AX185" s="167"/>
      <c r="AY185" s="13"/>
      <c r="AZ185" s="12"/>
      <c r="BA185" s="163"/>
      <c r="BB185" s="163"/>
      <c r="BC185" s="163"/>
      <c r="BD185" s="13"/>
      <c r="BE185" s="13"/>
      <c r="BF185" s="13"/>
      <c r="BG185" s="13"/>
      <c r="BH185" s="13"/>
      <c r="BI185" s="13"/>
      <c r="BJ185" s="339">
        <f>COUNTIF(M185,"*")+COUNTIF(W185,"*")+COUNTIF(AL185,"*")+COUNTIF(AZ185,"*")</f>
        <v>1</v>
      </c>
    </row>
    <row r="186" spans="1:62" ht="27.6" hidden="1">
      <c r="A186" s="27">
        <v>9</v>
      </c>
      <c r="B186" s="27">
        <v>4</v>
      </c>
      <c r="C186" s="249" t="s">
        <v>713</v>
      </c>
      <c r="D186" s="249"/>
      <c r="E186" s="27"/>
      <c r="F186" s="27" t="s">
        <v>738</v>
      </c>
      <c r="G186" s="209"/>
      <c r="H186" s="209"/>
      <c r="I186" s="27"/>
      <c r="J186" s="27"/>
      <c r="K186" s="27"/>
      <c r="L186" s="27"/>
      <c r="M186" s="12"/>
      <c r="N186" s="13"/>
      <c r="O186" s="13"/>
      <c r="P186" s="13"/>
      <c r="Q186" s="13"/>
      <c r="R186" s="13"/>
      <c r="S186" s="13"/>
      <c r="T186" s="13"/>
      <c r="U186" s="167"/>
      <c r="V186" s="13"/>
      <c r="W186" s="13"/>
      <c r="X186" s="13"/>
      <c r="Y186" s="13"/>
      <c r="Z186" s="13"/>
      <c r="AA186" s="13"/>
      <c r="AB186" s="262"/>
      <c r="AC186" s="262"/>
      <c r="AD186" s="262"/>
      <c r="AE186" s="262"/>
      <c r="AF186" s="262"/>
      <c r="AG186" s="262"/>
      <c r="AH186" s="262"/>
      <c r="AI186" s="379"/>
      <c r="AJ186" s="167"/>
      <c r="AK186" s="13"/>
      <c r="AL186" s="17" t="s">
        <v>739</v>
      </c>
      <c r="AM186" s="374"/>
      <c r="AN186" s="319"/>
      <c r="AO186" s="374"/>
      <c r="AP186" s="319"/>
      <c r="AQ186" s="319" t="s">
        <v>719</v>
      </c>
      <c r="AR186" s="319" t="s">
        <v>740</v>
      </c>
      <c r="AS186" s="319" t="s">
        <v>741</v>
      </c>
      <c r="AT186" s="319" t="s">
        <v>721</v>
      </c>
      <c r="AU186" s="319"/>
      <c r="AV186" s="319"/>
      <c r="AW186" s="379"/>
      <c r="AX186" s="167"/>
      <c r="AY186" s="13"/>
      <c r="AZ186" s="12"/>
      <c r="BA186" s="13"/>
      <c r="BB186" s="13"/>
      <c r="BC186" s="13"/>
      <c r="BD186" s="13"/>
      <c r="BE186" s="13"/>
      <c r="BF186" s="13"/>
      <c r="BG186" s="13"/>
      <c r="BH186" s="13"/>
      <c r="BI186" s="13"/>
      <c r="BJ186" s="5">
        <f>COUNTIF(M186,"*")+COUNTIF(W186,"*")+COUNTIF(AL186,"*")+COUNTIF(AZ186,"*")</f>
        <v>1</v>
      </c>
    </row>
    <row r="187" spans="1:62" ht="13.8" hidden="1">
      <c r="A187" s="27">
        <v>9</v>
      </c>
      <c r="B187" s="27">
        <v>5</v>
      </c>
      <c r="C187" s="249" t="s">
        <v>713</v>
      </c>
      <c r="D187" s="249"/>
      <c r="E187" s="27"/>
      <c r="F187" s="27" t="s">
        <v>742</v>
      </c>
      <c r="G187" s="209"/>
      <c r="H187" s="209"/>
      <c r="I187" s="27"/>
      <c r="J187" s="27"/>
      <c r="K187" s="27"/>
      <c r="L187" s="27"/>
      <c r="M187" s="12"/>
      <c r="N187" s="13"/>
      <c r="O187" s="13"/>
      <c r="P187" s="13"/>
      <c r="Q187" s="13"/>
      <c r="R187" s="13"/>
      <c r="S187" s="13"/>
      <c r="T187" s="13"/>
      <c r="U187" s="167"/>
      <c r="V187" s="13"/>
      <c r="W187" s="13"/>
      <c r="X187" s="13"/>
      <c r="Y187" s="13"/>
      <c r="Z187" s="13"/>
      <c r="AA187" s="13"/>
      <c r="AB187" s="319"/>
      <c r="AC187" s="319"/>
      <c r="AD187" s="319"/>
      <c r="AE187" s="319"/>
      <c r="AF187" s="319"/>
      <c r="AG187" s="319"/>
      <c r="AH187" s="319"/>
      <c r="AI187" s="379"/>
      <c r="AJ187" s="167"/>
      <c r="AK187" s="13"/>
      <c r="AL187" s="17" t="s">
        <v>743</v>
      </c>
      <c r="AM187" s="374"/>
      <c r="AN187" s="263"/>
      <c r="AO187" s="374"/>
      <c r="AP187" s="317"/>
      <c r="AQ187" s="154" t="s">
        <v>719</v>
      </c>
      <c r="AR187" s="154" t="s">
        <v>744</v>
      </c>
      <c r="AS187" s="154" t="s">
        <v>745</v>
      </c>
      <c r="AT187" s="154" t="s">
        <v>721</v>
      </c>
      <c r="AU187" s="154"/>
      <c r="AV187" s="154"/>
      <c r="AW187" s="379"/>
      <c r="AX187" s="167"/>
      <c r="AY187" s="13"/>
      <c r="AZ187" s="12"/>
      <c r="BA187" s="13"/>
      <c r="BB187" s="13"/>
      <c r="BC187" s="13"/>
      <c r="BD187" s="13"/>
      <c r="BE187" s="13"/>
      <c r="BF187" s="13"/>
      <c r="BG187" s="13"/>
      <c r="BH187" s="13"/>
      <c r="BI187" s="13"/>
      <c r="BJ187" s="5">
        <f>COUNTIF(M187,"*")+COUNTIF(W187,"*")+COUNTIF(AL187,"*")+COUNTIF(AZ187,"*")</f>
        <v>1</v>
      </c>
    </row>
    <row r="188" spans="1:62" ht="13.8" hidden="1">
      <c r="A188" s="27">
        <v>9</v>
      </c>
      <c r="B188" s="27">
        <v>6</v>
      </c>
      <c r="C188" s="249" t="s">
        <v>713</v>
      </c>
      <c r="D188" s="249"/>
      <c r="E188" s="27"/>
      <c r="F188" s="27" t="s">
        <v>746</v>
      </c>
      <c r="G188" s="209"/>
      <c r="H188" s="209"/>
      <c r="I188" s="27"/>
      <c r="J188" s="27"/>
      <c r="K188" s="27"/>
      <c r="L188" s="27"/>
      <c r="M188" s="12"/>
      <c r="N188" s="13"/>
      <c r="O188" s="13"/>
      <c r="P188" s="13"/>
      <c r="Q188" s="13"/>
      <c r="R188" s="13"/>
      <c r="S188" s="13"/>
      <c r="T188" s="13"/>
      <c r="U188" s="167"/>
      <c r="V188" s="13"/>
      <c r="W188" s="13"/>
      <c r="X188" s="13"/>
      <c r="Y188" s="13"/>
      <c r="Z188" s="13"/>
      <c r="AA188" s="13"/>
      <c r="AB188" s="154"/>
      <c r="AC188" s="154"/>
      <c r="AD188" s="154"/>
      <c r="AE188" s="154"/>
      <c r="AF188" s="154"/>
      <c r="AG188" s="154"/>
      <c r="AH188" s="154"/>
      <c r="AI188" s="379"/>
      <c r="AJ188" s="167"/>
      <c r="AK188" s="13"/>
      <c r="AL188" s="17" t="s">
        <v>747</v>
      </c>
      <c r="AM188" s="374"/>
      <c r="AN188" s="319"/>
      <c r="AO188" s="374"/>
      <c r="AP188" s="319"/>
      <c r="AQ188" s="319" t="s">
        <v>719</v>
      </c>
      <c r="AR188" s="319" t="s">
        <v>748</v>
      </c>
      <c r="AS188" s="319" t="s">
        <v>749</v>
      </c>
      <c r="AT188" s="319" t="s">
        <v>721</v>
      </c>
      <c r="AU188" s="319"/>
      <c r="AV188" s="319"/>
      <c r="AW188" s="379"/>
      <c r="AX188" s="167"/>
      <c r="AY188" s="13"/>
      <c r="AZ188" s="12"/>
      <c r="BA188" s="13"/>
      <c r="BB188" s="13"/>
      <c r="BC188" s="13"/>
      <c r="BD188" s="13"/>
      <c r="BE188" s="13"/>
      <c r="BF188" s="13"/>
      <c r="BG188" s="13"/>
      <c r="BH188" s="13"/>
      <c r="BI188" s="13"/>
      <c r="BJ188" s="5">
        <f>COUNTIF(M188,"*")+COUNTIF(W188,"*")+COUNTIF(AL188,"*")+COUNTIF(AZ188,"*")</f>
        <v>1</v>
      </c>
    </row>
    <row r="189" spans="1:62" ht="13.8" hidden="1">
      <c r="A189" s="27">
        <v>9</v>
      </c>
      <c r="B189" s="27">
        <v>7</v>
      </c>
      <c r="C189" s="249" t="s">
        <v>713</v>
      </c>
      <c r="D189" s="249"/>
      <c r="E189" s="27"/>
      <c r="F189" s="27" t="s">
        <v>750</v>
      </c>
      <c r="G189" s="209"/>
      <c r="H189" s="209"/>
      <c r="I189" s="27"/>
      <c r="J189" s="27"/>
      <c r="K189" s="27"/>
      <c r="L189" s="27"/>
      <c r="M189" s="12"/>
      <c r="N189" s="13"/>
      <c r="O189" s="13"/>
      <c r="P189" s="13"/>
      <c r="Q189" s="13"/>
      <c r="R189" s="13"/>
      <c r="S189" s="13"/>
      <c r="T189" s="13"/>
      <c r="U189" s="167"/>
      <c r="V189" s="13"/>
      <c r="W189" s="13"/>
      <c r="X189" s="13"/>
      <c r="Y189" s="13"/>
      <c r="Z189" s="13"/>
      <c r="AA189" s="13"/>
      <c r="AB189" s="262"/>
      <c r="AC189" s="262"/>
      <c r="AD189" s="262"/>
      <c r="AE189" s="262"/>
      <c r="AF189" s="262"/>
      <c r="AG189" s="262"/>
      <c r="AH189" s="262"/>
      <c r="AI189" s="379"/>
      <c r="AJ189" s="167"/>
      <c r="AK189" s="13"/>
      <c r="AL189" s="17" t="s">
        <v>751</v>
      </c>
      <c r="AM189" s="374"/>
      <c r="AN189" s="319"/>
      <c r="AO189" s="374"/>
      <c r="AP189" s="319"/>
      <c r="AQ189" s="319" t="s">
        <v>719</v>
      </c>
      <c r="AR189" s="319" t="s">
        <v>752</v>
      </c>
      <c r="AS189" s="319" t="s">
        <v>753</v>
      </c>
      <c r="AT189" s="319" t="s">
        <v>721</v>
      </c>
      <c r="AU189" s="319"/>
      <c r="AV189" s="319"/>
      <c r="AW189" s="379"/>
      <c r="AX189" s="167"/>
      <c r="AY189" s="13"/>
      <c r="AZ189" s="12"/>
      <c r="BA189" s="13"/>
      <c r="BB189" s="13"/>
      <c r="BC189" s="13"/>
      <c r="BD189" s="13"/>
      <c r="BE189" s="13"/>
      <c r="BF189" s="13"/>
      <c r="BG189" s="13"/>
      <c r="BH189" s="13"/>
      <c r="BI189" s="13"/>
      <c r="BJ189" s="5">
        <f>COUNTIF(M189,"*")+COUNTIF(W189,"*")+COUNTIF(AL189,"*")+COUNTIF(AZ189,"*")</f>
        <v>1</v>
      </c>
    </row>
    <row r="190" spans="1:62" ht="27.6" hidden="1">
      <c r="A190" s="27">
        <v>9</v>
      </c>
      <c r="B190" s="27">
        <v>8</v>
      </c>
      <c r="C190" s="249" t="s">
        <v>713</v>
      </c>
      <c r="D190" s="249"/>
      <c r="E190" s="27"/>
      <c r="F190" s="27" t="s">
        <v>754</v>
      </c>
      <c r="G190" s="209"/>
      <c r="H190" s="209"/>
      <c r="I190" s="27"/>
      <c r="J190" s="27"/>
      <c r="K190" s="27"/>
      <c r="L190" s="27"/>
      <c r="M190" s="12"/>
      <c r="N190" s="13"/>
      <c r="O190" s="13"/>
      <c r="P190" s="13"/>
      <c r="Q190" s="13"/>
      <c r="R190" s="13"/>
      <c r="S190" s="13"/>
      <c r="T190" s="13"/>
      <c r="U190" s="167"/>
      <c r="V190" s="13"/>
      <c r="W190" s="13"/>
      <c r="X190" s="13"/>
      <c r="Y190" s="13"/>
      <c r="Z190" s="13"/>
      <c r="AA190" s="13"/>
      <c r="AB190" s="319"/>
      <c r="AC190" s="319"/>
      <c r="AD190" s="319"/>
      <c r="AE190" s="319"/>
      <c r="AF190" s="319"/>
      <c r="AG190" s="319"/>
      <c r="AH190" s="319"/>
      <c r="AI190" s="379"/>
      <c r="AJ190" s="167"/>
      <c r="AK190" s="13"/>
      <c r="AL190" s="17" t="s">
        <v>755</v>
      </c>
      <c r="AM190" s="374"/>
      <c r="AN190" s="263"/>
      <c r="AO190" s="374"/>
      <c r="AP190" s="317"/>
      <c r="AQ190" s="262" t="s">
        <v>719</v>
      </c>
      <c r="AR190" s="262" t="s">
        <v>754</v>
      </c>
      <c r="AS190" s="262" t="s">
        <v>754</v>
      </c>
      <c r="AT190" s="319" t="s">
        <v>756</v>
      </c>
      <c r="AU190" s="262"/>
      <c r="AV190" s="262"/>
      <c r="AW190" s="379"/>
      <c r="AX190" s="167"/>
      <c r="AY190" s="13"/>
      <c r="AZ190" s="12"/>
      <c r="BA190" s="13"/>
      <c r="BB190" s="13"/>
      <c r="BC190" s="13"/>
      <c r="BD190" s="13"/>
      <c r="BE190" s="13"/>
      <c r="BF190" s="13"/>
      <c r="BG190" s="13"/>
      <c r="BH190" s="13"/>
      <c r="BI190" s="13"/>
      <c r="BJ190" s="5">
        <f>COUNTIF(M190,"*")+COUNTIF(W190,"*")+COUNTIF(AL190,"*")+COUNTIF(AZ190,"*")</f>
        <v>1</v>
      </c>
    </row>
    <row r="191" spans="1:62" ht="27.6" hidden="1">
      <c r="A191" s="27">
        <v>9</v>
      </c>
      <c r="B191" s="27">
        <v>9</v>
      </c>
      <c r="C191" s="249" t="s">
        <v>713</v>
      </c>
      <c r="D191" s="249"/>
      <c r="E191" s="27"/>
      <c r="F191" s="27" t="s">
        <v>757</v>
      </c>
      <c r="G191" s="209"/>
      <c r="H191" s="209"/>
      <c r="I191" s="27"/>
      <c r="J191" s="27"/>
      <c r="K191" s="27"/>
      <c r="L191" s="27"/>
      <c r="M191" s="12"/>
      <c r="N191" s="13"/>
      <c r="O191" s="13"/>
      <c r="P191" s="13"/>
      <c r="Q191" s="13"/>
      <c r="R191" s="13"/>
      <c r="S191" s="13"/>
      <c r="T191" s="13"/>
      <c r="U191" s="167"/>
      <c r="V191" s="13"/>
      <c r="W191" s="13"/>
      <c r="X191" s="13"/>
      <c r="Y191" s="13"/>
      <c r="Z191" s="13"/>
      <c r="AA191" s="13"/>
      <c r="AB191" s="319"/>
      <c r="AC191" s="319"/>
      <c r="AD191" s="319"/>
      <c r="AE191" s="319"/>
      <c r="AF191" s="319"/>
      <c r="AG191" s="319"/>
      <c r="AH191" s="319"/>
      <c r="AI191" s="379"/>
      <c r="AJ191" s="167"/>
      <c r="AK191" s="13"/>
      <c r="AL191" s="17" t="s">
        <v>758</v>
      </c>
      <c r="AM191" s="374"/>
      <c r="AN191" s="319"/>
      <c r="AO191" s="374"/>
      <c r="AP191" s="319"/>
      <c r="AQ191" s="154" t="s">
        <v>719</v>
      </c>
      <c r="AR191" s="154" t="s">
        <v>757</v>
      </c>
      <c r="AS191" s="154" t="s">
        <v>759</v>
      </c>
      <c r="AT191" s="262" t="s">
        <v>756</v>
      </c>
      <c r="AU191" s="154"/>
      <c r="AV191" s="154"/>
      <c r="AW191" s="379"/>
      <c r="AX191" s="167"/>
      <c r="AY191" s="13"/>
      <c r="AZ191" s="12"/>
      <c r="BA191" s="13"/>
      <c r="BB191" s="13"/>
      <c r="BC191" s="13"/>
      <c r="BD191" s="13"/>
      <c r="BE191" s="13"/>
      <c r="BF191" s="13"/>
      <c r="BG191" s="13"/>
      <c r="BH191" s="13"/>
      <c r="BI191" s="13"/>
      <c r="BJ191" s="5">
        <f>COUNTIF(M191,"*")+COUNTIF(W191,"*")+COUNTIF(AL191,"*")+COUNTIF(AZ191,"*")</f>
        <v>1</v>
      </c>
    </row>
    <row r="192" spans="1:62" ht="27.6" hidden="1">
      <c r="A192" s="27">
        <v>9</v>
      </c>
      <c r="B192" s="27">
        <v>10</v>
      </c>
      <c r="C192" s="249" t="s">
        <v>713</v>
      </c>
      <c r="D192" s="249"/>
      <c r="E192" s="27"/>
      <c r="F192" s="27" t="s">
        <v>760</v>
      </c>
      <c r="G192" s="209"/>
      <c r="H192" s="209"/>
      <c r="I192" s="27"/>
      <c r="J192" s="27"/>
      <c r="K192" s="27"/>
      <c r="L192" s="27"/>
      <c r="M192" s="12"/>
      <c r="N192" s="13"/>
      <c r="O192" s="13"/>
      <c r="P192" s="13"/>
      <c r="Q192" s="13"/>
      <c r="R192" s="13"/>
      <c r="S192" s="13"/>
      <c r="T192" s="13"/>
      <c r="U192" s="167"/>
      <c r="V192" s="13"/>
      <c r="W192" s="13"/>
      <c r="X192" s="13"/>
      <c r="Y192" s="13"/>
      <c r="Z192" s="13"/>
      <c r="AA192" s="13"/>
      <c r="AB192" s="319"/>
      <c r="AC192" s="319"/>
      <c r="AD192" s="319"/>
      <c r="AE192" s="319"/>
      <c r="AF192" s="319"/>
      <c r="AG192" s="319"/>
      <c r="AH192" s="319"/>
      <c r="AI192" s="379"/>
      <c r="AJ192" s="167"/>
      <c r="AK192" s="13"/>
      <c r="AL192" s="17" t="s">
        <v>761</v>
      </c>
      <c r="AM192" s="374"/>
      <c r="AN192" s="319"/>
      <c r="AO192" s="374"/>
      <c r="AP192" s="319"/>
      <c r="AQ192" s="319" t="s">
        <v>719</v>
      </c>
      <c r="AR192" s="319" t="s">
        <v>760</v>
      </c>
      <c r="AS192" s="319" t="s">
        <v>762</v>
      </c>
      <c r="AT192" s="21" t="s">
        <v>730</v>
      </c>
      <c r="AU192" s="319"/>
      <c r="AV192" s="319"/>
      <c r="AW192" s="379"/>
      <c r="AX192" s="167"/>
      <c r="AY192" s="13"/>
      <c r="AZ192" s="12"/>
      <c r="BA192" s="13"/>
      <c r="BB192" s="13"/>
      <c r="BC192" s="13"/>
      <c r="BD192" s="13"/>
      <c r="BE192" s="13"/>
      <c r="BF192" s="13"/>
      <c r="BG192" s="13"/>
      <c r="BH192" s="13"/>
      <c r="BI192" s="13"/>
      <c r="BJ192" s="5">
        <f>COUNTIF(M192,"*")+COUNTIF(W192,"*")+COUNTIF(AL192,"*")+COUNTIF(AZ192,"*")</f>
        <v>1</v>
      </c>
    </row>
    <row r="193" spans="1:62" ht="27.6" hidden="1">
      <c r="A193" s="27">
        <v>9</v>
      </c>
      <c r="B193" s="27">
        <v>11</v>
      </c>
      <c r="C193" s="249" t="s">
        <v>713</v>
      </c>
      <c r="D193" s="249"/>
      <c r="E193" s="27"/>
      <c r="F193" s="27" t="s">
        <v>1993</v>
      </c>
      <c r="G193" s="209"/>
      <c r="H193" s="209"/>
      <c r="I193" s="27"/>
      <c r="J193" s="27"/>
      <c r="K193" s="27"/>
      <c r="L193" s="27"/>
      <c r="M193" s="12"/>
      <c r="N193" s="13"/>
      <c r="O193" s="13"/>
      <c r="P193" s="13"/>
      <c r="Q193" s="13"/>
      <c r="R193" s="13"/>
      <c r="S193" s="13"/>
      <c r="T193" s="13"/>
      <c r="U193" s="167"/>
      <c r="V193" s="13"/>
      <c r="W193" s="13"/>
      <c r="X193" s="13"/>
      <c r="Y193" s="13"/>
      <c r="Z193" s="13"/>
      <c r="AA193" s="13"/>
      <c r="AB193" s="319"/>
      <c r="AC193" s="319"/>
      <c r="AD193" s="319"/>
      <c r="AE193" s="319"/>
      <c r="AF193" s="319"/>
      <c r="AG193" s="319"/>
      <c r="AH193" s="319"/>
      <c r="AI193" s="379"/>
      <c r="AJ193" s="167"/>
      <c r="AK193" s="13"/>
      <c r="AL193" s="17" t="s">
        <v>763</v>
      </c>
      <c r="AM193" s="374"/>
      <c r="AN193" s="319"/>
      <c r="AO193" s="374"/>
      <c r="AP193" s="319"/>
      <c r="AQ193" s="154" t="s">
        <v>719</v>
      </c>
      <c r="AR193" s="154" t="s">
        <v>764</v>
      </c>
      <c r="AS193" s="154" t="s">
        <v>765</v>
      </c>
      <c r="AT193" s="154" t="s">
        <v>756</v>
      </c>
      <c r="AU193" s="154"/>
      <c r="AV193" s="154"/>
      <c r="AW193" s="379"/>
      <c r="AX193" s="167"/>
      <c r="AY193" s="13"/>
      <c r="AZ193" s="12"/>
      <c r="BA193" s="13"/>
      <c r="BB193" s="13"/>
      <c r="BC193" s="13"/>
      <c r="BD193" s="13"/>
      <c r="BE193" s="13"/>
      <c r="BF193" s="13"/>
      <c r="BG193" s="13"/>
      <c r="BH193" s="13"/>
      <c r="BI193" s="13"/>
      <c r="BJ193" s="5">
        <f>COUNTIF(M193,"*")+COUNTIF(W193,"*")+COUNTIF(AL193,"*")+COUNTIF(AZ193,"*")</f>
        <v>1</v>
      </c>
    </row>
    <row r="194" spans="1:62" ht="27.6" hidden="1">
      <c r="A194" s="27">
        <v>9</v>
      </c>
      <c r="B194" s="27">
        <v>12</v>
      </c>
      <c r="C194" s="249" t="s">
        <v>713</v>
      </c>
      <c r="D194" s="249"/>
      <c r="E194" s="27"/>
      <c r="F194" s="27" t="s">
        <v>766</v>
      </c>
      <c r="G194" s="209"/>
      <c r="H194" s="209"/>
      <c r="I194" s="27"/>
      <c r="J194" s="27"/>
      <c r="K194" s="27"/>
      <c r="L194" s="27"/>
      <c r="M194" s="12"/>
      <c r="N194" s="13"/>
      <c r="O194" s="13"/>
      <c r="P194" s="13"/>
      <c r="Q194" s="13"/>
      <c r="R194" s="13"/>
      <c r="S194" s="13"/>
      <c r="T194" s="13"/>
      <c r="U194" s="167"/>
      <c r="V194" s="13"/>
      <c r="W194" s="13"/>
      <c r="X194" s="13"/>
      <c r="Y194" s="13"/>
      <c r="Z194" s="13"/>
      <c r="AA194" s="13"/>
      <c r="AB194" s="319"/>
      <c r="AC194" s="319"/>
      <c r="AD194" s="319"/>
      <c r="AE194" s="319"/>
      <c r="AF194" s="319"/>
      <c r="AG194" s="319"/>
      <c r="AH194" s="319"/>
      <c r="AI194" s="379"/>
      <c r="AJ194" s="167"/>
      <c r="AK194" s="13"/>
      <c r="AL194" s="17" t="s">
        <v>767</v>
      </c>
      <c r="AM194" s="374"/>
      <c r="AN194" s="319"/>
      <c r="AO194" s="374"/>
      <c r="AP194" s="319"/>
      <c r="AQ194" s="154" t="s">
        <v>719</v>
      </c>
      <c r="AR194" s="154" t="s">
        <v>766</v>
      </c>
      <c r="AS194" s="154" t="s">
        <v>768</v>
      </c>
      <c r="AT194" s="21" t="s">
        <v>730</v>
      </c>
      <c r="AU194" s="154"/>
      <c r="AV194" s="154"/>
      <c r="AW194" s="379"/>
      <c r="AX194" s="167"/>
      <c r="AY194" s="13"/>
      <c r="AZ194" s="12"/>
      <c r="BA194" s="13"/>
      <c r="BB194" s="13"/>
      <c r="BC194" s="13"/>
      <c r="BD194" s="13"/>
      <c r="BE194" s="13"/>
      <c r="BF194" s="13"/>
      <c r="BG194" s="13"/>
      <c r="BH194" s="13"/>
      <c r="BI194" s="13"/>
      <c r="BJ194" s="5">
        <f>COUNTIF(M194,"*")+COUNTIF(W194,"*")+COUNTIF(AL194,"*")+COUNTIF(AZ194,"*")</f>
        <v>1</v>
      </c>
    </row>
    <row r="195" spans="1:62" ht="27.6" hidden="1">
      <c r="A195" s="27">
        <v>9</v>
      </c>
      <c r="B195" s="27">
        <v>13</v>
      </c>
      <c r="C195" s="249" t="s">
        <v>713</v>
      </c>
      <c r="D195" s="249"/>
      <c r="E195" s="27"/>
      <c r="F195" s="27" t="s">
        <v>769</v>
      </c>
      <c r="G195" s="209"/>
      <c r="H195" s="209"/>
      <c r="I195" s="27"/>
      <c r="J195" s="27"/>
      <c r="K195" s="27"/>
      <c r="L195" s="27"/>
      <c r="M195" s="13"/>
      <c r="N195" s="13"/>
      <c r="O195" s="13"/>
      <c r="P195" s="13"/>
      <c r="Q195" s="13"/>
      <c r="R195" s="13"/>
      <c r="S195" s="13"/>
      <c r="T195" s="13"/>
      <c r="U195" s="167"/>
      <c r="V195" s="13"/>
      <c r="W195" s="13"/>
      <c r="X195" s="13"/>
      <c r="Y195" s="13"/>
      <c r="Z195" s="13"/>
      <c r="AA195" s="13"/>
      <c r="AB195" s="319"/>
      <c r="AC195" s="319"/>
      <c r="AD195" s="319"/>
      <c r="AE195" s="319"/>
      <c r="AF195" s="319"/>
      <c r="AG195" s="319"/>
      <c r="AH195" s="319"/>
      <c r="AI195" s="379"/>
      <c r="AJ195" s="167"/>
      <c r="AK195" s="13"/>
      <c r="AL195" s="17" t="s">
        <v>770</v>
      </c>
      <c r="AM195" s="374"/>
      <c r="AN195" s="263"/>
      <c r="AO195" s="374"/>
      <c r="AP195" s="317"/>
      <c r="AQ195" s="154" t="s">
        <v>327</v>
      </c>
      <c r="AR195" s="154" t="s">
        <v>769</v>
      </c>
      <c r="AS195" s="154" t="s">
        <v>771</v>
      </c>
      <c r="AT195" s="154" t="s">
        <v>756</v>
      </c>
      <c r="AU195" s="154"/>
      <c r="AV195" s="154"/>
      <c r="AW195" s="379"/>
      <c r="AX195" s="167"/>
      <c r="AY195" s="13"/>
      <c r="AZ195" s="12"/>
      <c r="BA195" s="13"/>
      <c r="BB195" s="13"/>
      <c r="BC195" s="13"/>
      <c r="BD195" s="13"/>
      <c r="BE195" s="13"/>
      <c r="BF195" s="13"/>
      <c r="BG195" s="13"/>
      <c r="BH195" s="13"/>
      <c r="BI195" s="13"/>
      <c r="BJ195" s="5">
        <f>COUNTIF(M195,"*")+COUNTIF(W195,"*")+COUNTIF(AL195,"*")+COUNTIF(AZ195,"*")</f>
        <v>1</v>
      </c>
    </row>
    <row r="196" spans="1:62" ht="13.8" hidden="1">
      <c r="A196" s="27">
        <v>9</v>
      </c>
      <c r="B196" s="27">
        <v>14</v>
      </c>
      <c r="C196" s="249" t="s">
        <v>713</v>
      </c>
      <c r="D196" s="249"/>
      <c r="E196" s="27"/>
      <c r="F196" s="27" t="s">
        <v>772</v>
      </c>
      <c r="G196" s="209"/>
      <c r="H196" s="209"/>
      <c r="I196" s="27"/>
      <c r="J196" s="27"/>
      <c r="K196" s="27"/>
      <c r="L196" s="27"/>
      <c r="M196" s="13"/>
      <c r="N196" s="13"/>
      <c r="O196" s="13"/>
      <c r="P196" s="13"/>
      <c r="Q196" s="13"/>
      <c r="R196" s="13"/>
      <c r="S196" s="13"/>
      <c r="T196" s="13"/>
      <c r="U196" s="167"/>
      <c r="V196" s="13"/>
      <c r="W196" s="11"/>
      <c r="X196" s="11"/>
      <c r="Y196" s="11"/>
      <c r="Z196" s="11"/>
      <c r="AA196" s="11"/>
      <c r="AB196" s="11"/>
      <c r="AC196" s="11"/>
      <c r="AD196" s="11"/>
      <c r="AE196" s="11"/>
      <c r="AF196" s="11"/>
      <c r="AG196" s="11"/>
      <c r="AH196" s="11"/>
      <c r="AI196" s="11"/>
      <c r="AJ196" s="11"/>
      <c r="AK196" s="11"/>
      <c r="AL196" s="17" t="s">
        <v>773</v>
      </c>
      <c r="AM196" s="374"/>
      <c r="AN196" s="319"/>
      <c r="AO196" s="374"/>
      <c r="AP196" s="319"/>
      <c r="AQ196" s="319" t="s">
        <v>327</v>
      </c>
      <c r="AR196" s="319" t="s">
        <v>774</v>
      </c>
      <c r="AS196" s="319" t="s">
        <v>774</v>
      </c>
      <c r="AT196" s="319" t="s">
        <v>775</v>
      </c>
      <c r="AU196" s="319"/>
      <c r="AV196" s="319"/>
      <c r="AW196" s="379"/>
      <c r="AX196" s="167"/>
      <c r="AY196" s="13"/>
      <c r="AZ196" s="25"/>
      <c r="BA196" s="11"/>
      <c r="BB196" s="11"/>
      <c r="BC196" s="11"/>
      <c r="BD196" s="11"/>
      <c r="BE196" s="11"/>
      <c r="BF196" s="11"/>
      <c r="BG196" s="11"/>
      <c r="BH196" s="11"/>
      <c r="BI196" s="11"/>
      <c r="BJ196" s="5">
        <f>COUNTIF(O196,"*")+COUNTIF(X196,"*")+COUNTIF(AL196,"*")+COUNTIF(AZ196,"*")</f>
        <v>1</v>
      </c>
    </row>
    <row r="197" spans="1:62" ht="13.8" hidden="1">
      <c r="A197" s="27">
        <v>9</v>
      </c>
      <c r="B197" s="27">
        <v>15</v>
      </c>
      <c r="C197" s="249" t="s">
        <v>713</v>
      </c>
      <c r="D197" s="249"/>
      <c r="E197" s="187"/>
      <c r="F197" s="187" t="s">
        <v>1601</v>
      </c>
      <c r="G197" s="209"/>
      <c r="H197" s="209"/>
      <c r="I197" s="27"/>
      <c r="J197" s="27"/>
      <c r="K197" s="27"/>
      <c r="L197" s="27"/>
      <c r="M197" s="13" t="s">
        <v>1218</v>
      </c>
      <c r="N197" s="13"/>
      <c r="O197" s="13"/>
      <c r="P197" s="13"/>
      <c r="Q197" s="13"/>
      <c r="R197" s="13"/>
      <c r="S197" s="13"/>
      <c r="T197" s="13"/>
      <c r="U197" s="167"/>
      <c r="V197" s="13"/>
      <c r="W197" s="11"/>
      <c r="X197" s="11"/>
      <c r="Y197" s="11"/>
      <c r="Z197" s="11"/>
      <c r="AA197" s="11"/>
      <c r="AB197" s="11"/>
      <c r="AC197" s="11"/>
      <c r="AD197" s="11"/>
      <c r="AE197" s="11"/>
      <c r="AF197" s="11"/>
      <c r="AG197" s="11"/>
      <c r="AH197" s="11"/>
      <c r="AI197" s="11"/>
      <c r="AJ197" s="11"/>
      <c r="AK197" s="11"/>
      <c r="AL197" s="17"/>
      <c r="AM197" s="374"/>
      <c r="AN197" s="263"/>
      <c r="AO197" s="374"/>
      <c r="AP197" s="317"/>
      <c r="AQ197" s="262"/>
      <c r="AR197" s="262"/>
      <c r="AS197" s="262"/>
      <c r="AT197" s="262"/>
      <c r="AU197" s="262"/>
      <c r="AV197" s="262"/>
      <c r="AW197" s="379"/>
      <c r="AX197" s="167"/>
      <c r="AY197" s="13"/>
      <c r="AZ197" s="25"/>
      <c r="BA197" s="11"/>
      <c r="BB197" s="11"/>
      <c r="BC197" s="11"/>
      <c r="BD197" s="11"/>
      <c r="BE197" s="11"/>
      <c r="BF197" s="11"/>
      <c r="BG197" s="11"/>
      <c r="BH197" s="11"/>
      <c r="BI197" s="11"/>
      <c r="BJ197" s="5">
        <f>COUNTIF(O197,"*")+COUNTIF(X197,"*")+COUNTIF(AL197,"*")+COUNTIF(AZ197,"*")</f>
        <v>0</v>
      </c>
    </row>
    <row r="198" spans="1:62" ht="13.8" hidden="1">
      <c r="A198" s="27">
        <v>9</v>
      </c>
      <c r="B198" s="27">
        <v>16</v>
      </c>
      <c r="C198" s="249" t="s">
        <v>713</v>
      </c>
      <c r="D198" s="249"/>
      <c r="E198" s="187"/>
      <c r="F198" s="187" t="s">
        <v>1602</v>
      </c>
      <c r="G198" s="209"/>
      <c r="H198" s="209"/>
      <c r="I198" s="27"/>
      <c r="J198" s="27"/>
      <c r="K198" s="27"/>
      <c r="L198" s="27"/>
      <c r="M198" s="13" t="s">
        <v>1219</v>
      </c>
      <c r="N198" s="13"/>
      <c r="O198" s="13"/>
      <c r="P198" s="13"/>
      <c r="Q198" s="13"/>
      <c r="R198" s="13"/>
      <c r="S198" s="13"/>
      <c r="T198" s="13"/>
      <c r="U198" s="167"/>
      <c r="V198" s="13"/>
      <c r="W198" s="11"/>
      <c r="X198" s="11"/>
      <c r="Y198" s="11"/>
      <c r="Z198" s="11"/>
      <c r="AA198" s="11"/>
      <c r="AB198" s="11"/>
      <c r="AC198" s="11"/>
      <c r="AD198" s="11"/>
      <c r="AE198" s="11"/>
      <c r="AF198" s="11"/>
      <c r="AG198" s="11"/>
      <c r="AH198" s="11"/>
      <c r="AI198" s="11"/>
      <c r="AJ198" s="11"/>
      <c r="AK198" s="11"/>
      <c r="AL198" s="17"/>
      <c r="AM198" s="374"/>
      <c r="AN198" s="319"/>
      <c r="AO198" s="374"/>
      <c r="AP198" s="319"/>
      <c r="AQ198" s="319"/>
      <c r="AR198" s="319"/>
      <c r="AS198" s="319"/>
      <c r="AT198" s="319"/>
      <c r="AU198" s="319"/>
      <c r="AV198" s="319"/>
      <c r="AW198" s="379"/>
      <c r="AX198" s="167"/>
      <c r="AY198" s="13"/>
      <c r="AZ198" s="25"/>
      <c r="BA198" s="11"/>
      <c r="BB198" s="11"/>
      <c r="BC198" s="11"/>
      <c r="BD198" s="11"/>
      <c r="BE198" s="11"/>
      <c r="BF198" s="11"/>
      <c r="BG198" s="11"/>
      <c r="BH198" s="11"/>
      <c r="BI198" s="11"/>
      <c r="BJ198" s="5">
        <f>COUNTIF(O198,"*")+COUNTIF(X198,"*")+COUNTIF(AL198,"*")+COUNTIF(AZ198,"*")</f>
        <v>0</v>
      </c>
    </row>
    <row r="199" spans="1:62" ht="13.8" hidden="1">
      <c r="A199" s="27">
        <v>9</v>
      </c>
      <c r="B199" s="27">
        <v>17</v>
      </c>
      <c r="C199" s="249" t="s">
        <v>713</v>
      </c>
      <c r="D199" s="249"/>
      <c r="E199" s="187"/>
      <c r="F199" s="187" t="s">
        <v>1599</v>
      </c>
      <c r="G199" s="209"/>
      <c r="H199" s="209"/>
      <c r="I199" s="27"/>
      <c r="J199" s="27"/>
      <c r="K199" s="27"/>
      <c r="L199" s="27"/>
      <c r="M199" s="13" t="s">
        <v>1222</v>
      </c>
      <c r="N199" s="13"/>
      <c r="O199" s="13"/>
      <c r="P199" s="13"/>
      <c r="Q199" s="13"/>
      <c r="R199" s="13"/>
      <c r="S199" s="13"/>
      <c r="T199" s="13"/>
      <c r="U199" s="167"/>
      <c r="V199" s="13"/>
      <c r="W199" s="11"/>
      <c r="X199" s="11"/>
      <c r="Y199" s="11"/>
      <c r="Z199" s="11"/>
      <c r="AA199" s="11"/>
      <c r="AB199" s="11"/>
      <c r="AC199" s="11"/>
      <c r="AD199" s="11"/>
      <c r="AE199" s="11"/>
      <c r="AF199" s="11"/>
      <c r="AG199" s="11"/>
      <c r="AH199" s="11"/>
      <c r="AI199" s="11"/>
      <c r="AJ199" s="11"/>
      <c r="AK199" s="11"/>
      <c r="AL199" s="17"/>
      <c r="AM199" s="374"/>
      <c r="AN199" s="319"/>
      <c r="AO199" s="374"/>
      <c r="AP199" s="319"/>
      <c r="AQ199" s="319"/>
      <c r="AR199" s="154"/>
      <c r="AS199" s="154"/>
      <c r="AT199" s="154"/>
      <c r="AU199" s="154"/>
      <c r="AV199" s="154"/>
      <c r="AW199" s="379"/>
      <c r="AX199" s="167"/>
      <c r="AY199" s="13"/>
      <c r="AZ199" s="25"/>
      <c r="BA199" s="11"/>
      <c r="BB199" s="11"/>
      <c r="BC199" s="11"/>
      <c r="BD199" s="11"/>
      <c r="BE199" s="11"/>
      <c r="BF199" s="11"/>
      <c r="BG199" s="11"/>
      <c r="BH199" s="11"/>
      <c r="BI199" s="11"/>
      <c r="BJ199" s="5">
        <f>COUNTIF(O199,"*")+COUNTIF(X199,"*")+COUNTIF(AL199,"*")+COUNTIF(AZ199,"*")</f>
        <v>0</v>
      </c>
    </row>
    <row r="200" spans="1:62" ht="13.8" hidden="1">
      <c r="A200" s="27">
        <v>9</v>
      </c>
      <c r="B200" s="27">
        <v>18</v>
      </c>
      <c r="C200" s="249" t="s">
        <v>713</v>
      </c>
      <c r="D200" s="249"/>
      <c r="E200" s="187"/>
      <c r="F200" s="187" t="s">
        <v>1600</v>
      </c>
      <c r="G200" s="209"/>
      <c r="H200" s="209"/>
      <c r="I200" s="27"/>
      <c r="J200" s="27"/>
      <c r="K200" s="27"/>
      <c r="L200" s="27"/>
      <c r="M200" s="13" t="s">
        <v>1226</v>
      </c>
      <c r="N200" s="13"/>
      <c r="O200" s="13"/>
      <c r="P200" s="13"/>
      <c r="Q200" s="13"/>
      <c r="R200" s="13"/>
      <c r="S200" s="13"/>
      <c r="T200" s="13"/>
      <c r="U200" s="167"/>
      <c r="V200" s="13"/>
      <c r="W200" s="11"/>
      <c r="X200" s="11"/>
      <c r="Y200" s="11"/>
      <c r="Z200" s="11"/>
      <c r="AA200" s="11"/>
      <c r="AB200" s="11"/>
      <c r="AC200" s="11"/>
      <c r="AD200" s="11"/>
      <c r="AE200" s="11"/>
      <c r="AF200" s="11"/>
      <c r="AG200" s="11"/>
      <c r="AH200" s="11"/>
      <c r="AI200" s="11"/>
      <c r="AJ200" s="11"/>
      <c r="AK200" s="11"/>
      <c r="AL200" s="17"/>
      <c r="AM200" s="374"/>
      <c r="AN200" s="263"/>
      <c r="AO200" s="374"/>
      <c r="AP200" s="317"/>
      <c r="AQ200" s="154"/>
      <c r="AR200" s="154"/>
      <c r="AS200" s="154"/>
      <c r="AT200" s="154"/>
      <c r="AU200" s="154"/>
      <c r="AV200" s="154"/>
      <c r="AW200" s="379"/>
      <c r="AX200" s="167"/>
      <c r="AY200" s="13"/>
      <c r="AZ200" s="25"/>
      <c r="BA200" s="11"/>
      <c r="BB200" s="11"/>
      <c r="BC200" s="11"/>
      <c r="BD200" s="11"/>
      <c r="BE200" s="11"/>
      <c r="BF200" s="11"/>
      <c r="BG200" s="11"/>
      <c r="BH200" s="11"/>
      <c r="BI200" s="11"/>
      <c r="BJ200" s="5">
        <f>COUNTIF(O200,"*")+COUNTIF(X200,"*")+COUNTIF(AL200,"*")+COUNTIF(AZ200,"*")</f>
        <v>0</v>
      </c>
    </row>
    <row r="201" spans="1:62" ht="27.6" hidden="1">
      <c r="A201" s="27">
        <v>9</v>
      </c>
      <c r="B201" s="27">
        <v>19</v>
      </c>
      <c r="C201" s="249" t="s">
        <v>713</v>
      </c>
      <c r="D201" s="249"/>
      <c r="E201" s="187"/>
      <c r="F201" s="27" t="s">
        <v>1994</v>
      </c>
      <c r="G201" s="209"/>
      <c r="H201" s="209"/>
      <c r="I201" s="27"/>
      <c r="J201" s="27"/>
      <c r="K201" s="27"/>
      <c r="L201" s="27"/>
      <c r="M201" s="13" t="s">
        <v>1227</v>
      </c>
      <c r="N201" s="13"/>
      <c r="O201" s="13"/>
      <c r="P201" s="13"/>
      <c r="Q201" s="13"/>
      <c r="R201" s="13"/>
      <c r="S201" s="13"/>
      <c r="T201" s="13"/>
      <c r="U201" s="167"/>
      <c r="V201" s="13"/>
      <c r="W201" s="11"/>
      <c r="X201" s="11"/>
      <c r="Y201" s="11"/>
      <c r="Z201" s="11"/>
      <c r="AA201" s="11"/>
      <c r="AB201" s="11"/>
      <c r="AC201" s="11"/>
      <c r="AD201" s="11"/>
      <c r="AE201" s="11"/>
      <c r="AF201" s="11"/>
      <c r="AG201" s="11"/>
      <c r="AH201" s="11"/>
      <c r="AI201" s="11"/>
      <c r="AJ201" s="11"/>
      <c r="AK201" s="11"/>
      <c r="AL201" s="17"/>
      <c r="AM201" s="374"/>
      <c r="AN201" s="319"/>
      <c r="AO201" s="374"/>
      <c r="AP201" s="319"/>
      <c r="AQ201" s="154"/>
      <c r="AR201" s="154"/>
      <c r="AS201" s="154"/>
      <c r="AT201" s="154"/>
      <c r="AU201" s="154"/>
      <c r="AV201" s="154"/>
      <c r="AW201" s="379"/>
      <c r="AX201" s="167"/>
      <c r="AY201" s="13"/>
      <c r="AZ201" s="25"/>
      <c r="BA201" s="11"/>
      <c r="BB201" s="11"/>
      <c r="BC201" s="11"/>
      <c r="BD201" s="11"/>
      <c r="BE201" s="11"/>
      <c r="BF201" s="11"/>
      <c r="BG201" s="11"/>
      <c r="BH201" s="11"/>
      <c r="BI201" s="11"/>
      <c r="BJ201" s="5">
        <f>COUNTIF(O201,"*")+COUNTIF(X201,"*")+COUNTIF(AL201,"*")+COUNTIF(AZ201,"*")</f>
        <v>0</v>
      </c>
    </row>
    <row r="202" spans="1:62" ht="13.8" hidden="1">
      <c r="A202" s="27">
        <v>9</v>
      </c>
      <c r="B202" s="27">
        <v>20</v>
      </c>
      <c r="C202" s="249" t="s">
        <v>713</v>
      </c>
      <c r="D202" s="249"/>
      <c r="E202" s="187"/>
      <c r="F202" s="187" t="s">
        <v>1603</v>
      </c>
      <c r="G202" s="209"/>
      <c r="H202" s="209"/>
      <c r="I202" s="27"/>
      <c r="J202" s="27"/>
      <c r="K202" s="27"/>
      <c r="L202" s="27"/>
      <c r="M202" s="13" t="s">
        <v>1228</v>
      </c>
      <c r="N202" s="13"/>
      <c r="O202" s="13"/>
      <c r="P202" s="13"/>
      <c r="Q202" s="13"/>
      <c r="R202" s="13"/>
      <c r="S202" s="13"/>
      <c r="T202" s="13"/>
      <c r="U202" s="167"/>
      <c r="V202" s="13"/>
      <c r="W202" s="11"/>
      <c r="X202" s="11"/>
      <c r="Y202" s="11"/>
      <c r="Z202" s="11"/>
      <c r="AA202" s="11"/>
      <c r="AB202" s="11"/>
      <c r="AC202" s="11"/>
      <c r="AD202" s="11"/>
      <c r="AE202" s="11"/>
      <c r="AF202" s="11"/>
      <c r="AG202" s="11"/>
      <c r="AH202" s="11"/>
      <c r="AI202" s="11"/>
      <c r="AJ202" s="11"/>
      <c r="AK202" s="11"/>
      <c r="AL202" s="17"/>
      <c r="AM202" s="374"/>
      <c r="AN202" s="319"/>
      <c r="AO202" s="374"/>
      <c r="AP202" s="319"/>
      <c r="AQ202" s="154"/>
      <c r="AR202" s="154"/>
      <c r="AS202" s="154"/>
      <c r="AT202" s="154"/>
      <c r="AU202" s="154"/>
      <c r="AV202" s="154"/>
      <c r="AW202" s="379"/>
      <c r="AX202" s="167"/>
      <c r="AY202" s="13"/>
      <c r="AZ202" s="25"/>
      <c r="BA202" s="11"/>
      <c r="BB202" s="11"/>
      <c r="BC202" s="11"/>
      <c r="BD202" s="11"/>
      <c r="BE202" s="11"/>
      <c r="BF202" s="11"/>
      <c r="BG202" s="11"/>
      <c r="BH202" s="11"/>
      <c r="BI202" s="11"/>
      <c r="BJ202" s="5">
        <f>COUNTIF(O202,"*")+COUNTIF(X202,"*")+COUNTIF(AL202,"*")+COUNTIF(AZ202,"*")</f>
        <v>0</v>
      </c>
    </row>
    <row r="203" spans="1:62" ht="13.8" hidden="1">
      <c r="A203" s="27">
        <v>9</v>
      </c>
      <c r="B203" s="27">
        <v>21</v>
      </c>
      <c r="C203" s="249" t="s">
        <v>713</v>
      </c>
      <c r="D203" s="249"/>
      <c r="E203" s="187"/>
      <c r="F203" s="187" t="s">
        <v>1604</v>
      </c>
      <c r="G203" s="209"/>
      <c r="H203" s="209"/>
      <c r="I203" s="27"/>
      <c r="J203" s="27"/>
      <c r="K203" s="27"/>
      <c r="L203" s="27"/>
      <c r="M203" s="13" t="s">
        <v>1229</v>
      </c>
      <c r="N203" s="13"/>
      <c r="O203" s="13"/>
      <c r="P203" s="13"/>
      <c r="Q203" s="13"/>
      <c r="R203" s="13"/>
      <c r="S203" s="13"/>
      <c r="T203" s="13"/>
      <c r="U203" s="167"/>
      <c r="V203" s="13"/>
      <c r="W203" s="11"/>
      <c r="X203" s="11"/>
      <c r="Y203" s="11"/>
      <c r="Z203" s="11"/>
      <c r="AA203" s="11"/>
      <c r="AB203" s="11"/>
      <c r="AC203" s="11"/>
      <c r="AD203" s="11"/>
      <c r="AE203" s="11"/>
      <c r="AF203" s="11"/>
      <c r="AG203" s="11"/>
      <c r="AH203" s="11"/>
      <c r="AI203" s="11"/>
      <c r="AJ203" s="11"/>
      <c r="AK203" s="11"/>
      <c r="AL203" s="17"/>
      <c r="AM203" s="374"/>
      <c r="AN203" s="263"/>
      <c r="AO203" s="374"/>
      <c r="AP203" s="317"/>
      <c r="AQ203" s="262"/>
      <c r="AR203" s="262"/>
      <c r="AS203" s="262"/>
      <c r="AT203" s="262"/>
      <c r="AU203" s="262"/>
      <c r="AV203" s="262"/>
      <c r="AW203" s="379"/>
      <c r="AX203" s="167"/>
      <c r="AY203" s="13"/>
      <c r="AZ203" s="25"/>
      <c r="BA203" s="11"/>
      <c r="BB203" s="11"/>
      <c r="BC203" s="11"/>
      <c r="BD203" s="11"/>
      <c r="BE203" s="11"/>
      <c r="BF203" s="11"/>
      <c r="BG203" s="11"/>
      <c r="BH203" s="11"/>
      <c r="BI203" s="11"/>
      <c r="BJ203" s="5">
        <f>COUNTIF(O203,"*")+COUNTIF(X203,"*")+COUNTIF(AL203,"*")+COUNTIF(AZ203,"*")</f>
        <v>0</v>
      </c>
    </row>
    <row r="204" spans="1:62" ht="13.8" hidden="1">
      <c r="A204" s="27">
        <v>9</v>
      </c>
      <c r="B204" s="27">
        <v>22</v>
      </c>
      <c r="C204" s="249" t="s">
        <v>713</v>
      </c>
      <c r="D204" s="249"/>
      <c r="E204" s="187"/>
      <c r="F204" s="187" t="s">
        <v>1605</v>
      </c>
      <c r="G204" s="209"/>
      <c r="H204" s="209"/>
      <c r="I204" s="27"/>
      <c r="J204" s="27"/>
      <c r="K204" s="27"/>
      <c r="L204" s="27"/>
      <c r="M204" s="13" t="s">
        <v>1230</v>
      </c>
      <c r="N204" s="13"/>
      <c r="O204" s="13"/>
      <c r="P204" s="13"/>
      <c r="Q204" s="13"/>
      <c r="R204" s="13"/>
      <c r="S204" s="13"/>
      <c r="T204" s="13"/>
      <c r="U204" s="167"/>
      <c r="V204" s="13"/>
      <c r="W204" s="11"/>
      <c r="X204" s="11"/>
      <c r="Y204" s="11"/>
      <c r="Z204" s="11"/>
      <c r="AA204" s="11"/>
      <c r="AB204" s="11"/>
      <c r="AC204" s="11"/>
      <c r="AD204" s="11"/>
      <c r="AE204" s="11"/>
      <c r="AF204" s="11"/>
      <c r="AG204" s="11"/>
      <c r="AH204" s="11"/>
      <c r="AI204" s="11"/>
      <c r="AJ204" s="11"/>
      <c r="AK204" s="11"/>
      <c r="AL204" s="17"/>
      <c r="AM204" s="374"/>
      <c r="AN204" s="319"/>
      <c r="AO204" s="374"/>
      <c r="AP204" s="319"/>
      <c r="AQ204" s="319"/>
      <c r="AR204" s="319"/>
      <c r="AS204" s="319"/>
      <c r="AT204" s="319"/>
      <c r="AU204" s="319"/>
      <c r="AV204" s="319"/>
      <c r="AW204" s="379"/>
      <c r="AX204" s="167"/>
      <c r="AY204" s="13"/>
      <c r="AZ204" s="25"/>
      <c r="BA204" s="11"/>
      <c r="BB204" s="11"/>
      <c r="BC204" s="11"/>
      <c r="BD204" s="11"/>
      <c r="BE204" s="11"/>
      <c r="BF204" s="11"/>
      <c r="BG204" s="11"/>
      <c r="BH204" s="11"/>
      <c r="BI204" s="11"/>
      <c r="BJ204" s="5">
        <f>COUNTIF(O204,"*")+COUNTIF(X204,"*")+COUNTIF(AL204,"*")+COUNTIF(AZ204,"*")</f>
        <v>0</v>
      </c>
    </row>
    <row r="205" spans="1:62" ht="13.8" hidden="1">
      <c r="A205" s="27">
        <v>9</v>
      </c>
      <c r="B205" s="27">
        <v>23</v>
      </c>
      <c r="C205" s="249" t="s">
        <v>713</v>
      </c>
      <c r="D205" s="249"/>
      <c r="E205" s="187"/>
      <c r="F205" s="187" t="s">
        <v>1606</v>
      </c>
      <c r="G205" s="209"/>
      <c r="H205" s="209"/>
      <c r="I205" s="27"/>
      <c r="J205" s="27"/>
      <c r="K205" s="27"/>
      <c r="L205" s="27"/>
      <c r="M205" s="13" t="s">
        <v>1231</v>
      </c>
      <c r="N205" s="13"/>
      <c r="O205" s="13"/>
      <c r="P205" s="13"/>
      <c r="Q205" s="13"/>
      <c r="R205" s="13"/>
      <c r="S205" s="13"/>
      <c r="T205" s="13"/>
      <c r="U205" s="167"/>
      <c r="V205" s="13"/>
      <c r="W205" s="11"/>
      <c r="X205" s="11"/>
      <c r="Y205" s="11"/>
      <c r="Z205" s="11"/>
      <c r="AA205" s="11"/>
      <c r="AB205" s="11"/>
      <c r="AC205" s="11"/>
      <c r="AD205" s="11"/>
      <c r="AE205" s="11"/>
      <c r="AF205" s="11"/>
      <c r="AG205" s="11"/>
      <c r="AH205" s="11"/>
      <c r="AI205" s="11"/>
      <c r="AJ205" s="11"/>
      <c r="AK205" s="11"/>
      <c r="AL205" s="17"/>
      <c r="AM205" s="374"/>
      <c r="AN205" s="263"/>
      <c r="AO205" s="374"/>
      <c r="AP205" s="317"/>
      <c r="AQ205" s="154"/>
      <c r="AR205" s="154"/>
      <c r="AS205" s="154"/>
      <c r="AT205" s="154"/>
      <c r="AU205" s="154"/>
      <c r="AV205" s="154"/>
      <c r="AW205" s="379"/>
      <c r="AX205" s="167"/>
      <c r="AY205" s="13"/>
      <c r="AZ205" s="25"/>
      <c r="BA205" s="11"/>
      <c r="BB205" s="11"/>
      <c r="BC205" s="11"/>
      <c r="BD205" s="11"/>
      <c r="BE205" s="11"/>
      <c r="BF205" s="11"/>
      <c r="BG205" s="11"/>
      <c r="BH205" s="11"/>
      <c r="BI205" s="11"/>
      <c r="BJ205" s="5">
        <f>COUNTIF(O205,"*")+COUNTIF(X205,"*")+COUNTIF(AL205,"*")+COUNTIF(AZ205,"*")</f>
        <v>0</v>
      </c>
    </row>
    <row r="206" spans="1:62" ht="13.8" hidden="1">
      <c r="A206" s="27">
        <v>9</v>
      </c>
      <c r="B206" s="27">
        <v>24</v>
      </c>
      <c r="C206" s="249" t="s">
        <v>713</v>
      </c>
      <c r="D206" s="249"/>
      <c r="E206" s="187"/>
      <c r="F206" s="187" t="s">
        <v>1607</v>
      </c>
      <c r="G206" s="209"/>
      <c r="H206" s="209"/>
      <c r="I206" s="27"/>
      <c r="J206" s="27"/>
      <c r="K206" s="27"/>
      <c r="L206" s="27"/>
      <c r="M206" s="13" t="s">
        <v>1232</v>
      </c>
      <c r="N206" s="13"/>
      <c r="O206" s="13"/>
      <c r="P206" s="13"/>
      <c r="Q206" s="13"/>
      <c r="R206" s="13"/>
      <c r="S206" s="13"/>
      <c r="T206" s="13"/>
      <c r="U206" s="167"/>
      <c r="V206" s="13"/>
      <c r="W206" s="11"/>
      <c r="X206" s="11"/>
      <c r="Y206" s="11"/>
      <c r="Z206" s="11"/>
      <c r="AA206" s="11"/>
      <c r="AB206" s="11"/>
      <c r="AC206" s="11"/>
      <c r="AD206" s="11"/>
      <c r="AE206" s="11"/>
      <c r="AF206" s="11"/>
      <c r="AG206" s="11"/>
      <c r="AH206" s="11"/>
      <c r="AI206" s="11"/>
      <c r="AJ206" s="11"/>
      <c r="AK206" s="11"/>
      <c r="AL206" s="17"/>
      <c r="AM206" s="374"/>
      <c r="AN206" s="319"/>
      <c r="AO206" s="374"/>
      <c r="AP206" s="319"/>
      <c r="AQ206" s="319"/>
      <c r="AR206" s="319"/>
      <c r="AS206" s="319"/>
      <c r="AT206" s="319"/>
      <c r="AU206" s="319"/>
      <c r="AV206" s="319"/>
      <c r="AW206" s="379"/>
      <c r="AX206" s="167"/>
      <c r="AY206" s="13"/>
      <c r="AZ206" s="25"/>
      <c r="BA206" s="11"/>
      <c r="BB206" s="11"/>
      <c r="BC206" s="11"/>
      <c r="BD206" s="11"/>
      <c r="BE206" s="11"/>
      <c r="BF206" s="11"/>
      <c r="BG206" s="11"/>
      <c r="BH206" s="11"/>
      <c r="BI206" s="11"/>
      <c r="BJ206" s="5">
        <f>COUNTIF(O206,"*")+COUNTIF(X206,"*")+COUNTIF(AL206,"*")+COUNTIF(AZ206,"*")</f>
        <v>0</v>
      </c>
    </row>
    <row r="207" spans="1:62" ht="13.8" hidden="1">
      <c r="A207" s="28">
        <v>11</v>
      </c>
      <c r="B207" s="28">
        <v>1</v>
      </c>
      <c r="C207" s="250" t="s">
        <v>1597</v>
      </c>
      <c r="D207" s="250"/>
      <c r="E207" s="29"/>
      <c r="F207" s="29" t="s">
        <v>777</v>
      </c>
      <c r="G207" s="297"/>
      <c r="H207" s="297"/>
      <c r="I207" s="29"/>
      <c r="J207" s="29"/>
      <c r="K207" s="29"/>
      <c r="L207" s="29"/>
      <c r="M207" s="13"/>
      <c r="N207" s="13"/>
      <c r="O207" s="13"/>
      <c r="P207" s="13"/>
      <c r="Q207" s="13"/>
      <c r="R207" s="13"/>
      <c r="S207" s="13"/>
      <c r="T207" s="13"/>
      <c r="U207" s="167"/>
      <c r="V207" s="13"/>
      <c r="W207" s="13"/>
      <c r="X207" s="13"/>
      <c r="Y207" s="13"/>
      <c r="Z207" s="13"/>
      <c r="AA207" s="13"/>
      <c r="AB207" s="13"/>
      <c r="AC207" s="13"/>
      <c r="AD207" s="13"/>
      <c r="AE207" s="13"/>
      <c r="AF207" s="13"/>
      <c r="AG207" s="13"/>
      <c r="AH207" s="13"/>
      <c r="AI207" s="13"/>
      <c r="AJ207" s="13"/>
      <c r="AK207" s="13"/>
      <c r="AL207" s="17" t="s">
        <v>778</v>
      </c>
      <c r="AM207" s="374"/>
      <c r="AN207" s="319"/>
      <c r="AO207" s="374"/>
      <c r="AP207" s="319"/>
      <c r="AQ207" s="319" t="s">
        <v>776</v>
      </c>
      <c r="AR207" s="319" t="s">
        <v>777</v>
      </c>
      <c r="AS207" s="154" t="s">
        <v>777</v>
      </c>
      <c r="AT207" s="154"/>
      <c r="AU207" s="319"/>
      <c r="AV207" s="154"/>
      <c r="AW207" s="379"/>
      <c r="AX207" s="167"/>
      <c r="AY207" s="13"/>
      <c r="AZ207" s="12"/>
      <c r="BA207" s="13"/>
      <c r="BB207" s="13"/>
      <c r="BC207" s="13"/>
      <c r="BD207" s="13"/>
      <c r="BE207" s="13"/>
      <c r="BF207" s="13"/>
      <c r="BG207" s="13"/>
      <c r="BH207" s="13"/>
      <c r="BI207" s="13"/>
      <c r="BJ207" s="5">
        <f>COUNTIF(O207,"*")+COUNTIF(X207,"*")+COUNTIF(AL207,"*")+COUNTIF(AZ207,"*")</f>
        <v>1</v>
      </c>
    </row>
    <row r="208" spans="1:62" ht="27.6" hidden="1">
      <c r="A208" s="28">
        <v>11</v>
      </c>
      <c r="B208" s="28">
        <v>2</v>
      </c>
      <c r="C208" s="250" t="s">
        <v>1597</v>
      </c>
      <c r="D208" s="250"/>
      <c r="E208" s="29"/>
      <c r="F208" s="29" t="s">
        <v>779</v>
      </c>
      <c r="G208" s="297"/>
      <c r="H208" s="297"/>
      <c r="I208" s="29"/>
      <c r="J208" s="29"/>
      <c r="K208" s="29"/>
      <c r="L208" s="29"/>
      <c r="M208" s="13"/>
      <c r="N208" s="13"/>
      <c r="O208" s="13"/>
      <c r="P208" s="13"/>
      <c r="Q208" s="13"/>
      <c r="R208" s="13"/>
      <c r="S208" s="13"/>
      <c r="T208" s="13"/>
      <c r="U208" s="167"/>
      <c r="V208" s="13"/>
      <c r="W208" s="13"/>
      <c r="X208" s="13"/>
      <c r="Y208" s="13"/>
      <c r="Z208" s="13"/>
      <c r="AA208" s="13"/>
      <c r="AB208" s="13"/>
      <c r="AC208" s="13"/>
      <c r="AD208" s="13"/>
      <c r="AE208" s="13"/>
      <c r="AF208" s="13"/>
      <c r="AG208" s="13"/>
      <c r="AH208" s="13"/>
      <c r="AI208" s="13"/>
      <c r="AJ208" s="13"/>
      <c r="AK208" s="13"/>
      <c r="AL208" s="17" t="s">
        <v>780</v>
      </c>
      <c r="AM208" s="374"/>
      <c r="AN208" s="319"/>
      <c r="AO208" s="374"/>
      <c r="AP208" s="319"/>
      <c r="AQ208" s="262" t="s">
        <v>776</v>
      </c>
      <c r="AR208" s="262" t="s">
        <v>781</v>
      </c>
      <c r="AS208" s="262" t="s">
        <v>782</v>
      </c>
      <c r="AT208" s="262"/>
      <c r="AU208" s="262"/>
      <c r="AV208" s="262"/>
      <c r="AW208" s="379"/>
      <c r="AX208" s="167"/>
      <c r="AY208" s="13"/>
      <c r="AZ208" s="12"/>
      <c r="BA208" s="13"/>
      <c r="BB208" s="13"/>
      <c r="BC208" s="13"/>
      <c r="BD208" s="13"/>
      <c r="BE208" s="13"/>
      <c r="BF208" s="13"/>
      <c r="BG208" s="13"/>
      <c r="BH208" s="13"/>
      <c r="BI208" s="13"/>
      <c r="BJ208" s="5">
        <f>COUNTIF(O208,"*")+COUNTIF(X208,"*")+COUNTIF(AL208,"*")+COUNTIF(AZ208,"*")</f>
        <v>1</v>
      </c>
    </row>
    <row r="209" spans="1:62" ht="13.8" hidden="1">
      <c r="A209" s="28">
        <v>11</v>
      </c>
      <c r="B209" s="28">
        <v>3</v>
      </c>
      <c r="C209" s="250" t="s">
        <v>1597</v>
      </c>
      <c r="D209" s="250"/>
      <c r="E209" s="29"/>
      <c r="F209" s="29" t="s">
        <v>783</v>
      </c>
      <c r="G209" s="297"/>
      <c r="H209" s="297"/>
      <c r="I209" s="29"/>
      <c r="J209" s="29"/>
      <c r="K209" s="29"/>
      <c r="L209" s="29"/>
      <c r="M209" s="13"/>
      <c r="N209" s="13"/>
      <c r="O209" s="13"/>
      <c r="P209" s="13"/>
      <c r="Q209" s="13"/>
      <c r="R209" s="13"/>
      <c r="S209" s="13"/>
      <c r="T209" s="13"/>
      <c r="U209" s="167"/>
      <c r="V209" s="13"/>
      <c r="W209" s="13"/>
      <c r="X209" s="13"/>
      <c r="Y209" s="13"/>
      <c r="Z209" s="13"/>
      <c r="AA209" s="13"/>
      <c r="AB209" s="13"/>
      <c r="AC209" s="13"/>
      <c r="AD209" s="13"/>
      <c r="AE209" s="13"/>
      <c r="AF209" s="13"/>
      <c r="AG209" s="13"/>
      <c r="AH209" s="13"/>
      <c r="AI209" s="13"/>
      <c r="AJ209" s="13"/>
      <c r="AK209" s="13"/>
      <c r="AL209" s="17" t="s">
        <v>784</v>
      </c>
      <c r="AM209" s="374"/>
      <c r="AN209" s="263"/>
      <c r="AO209" s="374"/>
      <c r="AP209" s="317"/>
      <c r="AQ209" s="262" t="s">
        <v>776</v>
      </c>
      <c r="AR209" s="262" t="s">
        <v>783</v>
      </c>
      <c r="AS209" s="262" t="s">
        <v>783</v>
      </c>
      <c r="AT209" s="262"/>
      <c r="AU209" s="262"/>
      <c r="AV209" s="262"/>
      <c r="AW209" s="379"/>
      <c r="AX209" s="167"/>
      <c r="AY209" s="13"/>
      <c r="AZ209" s="12"/>
      <c r="BA209" s="13"/>
      <c r="BB209" s="13"/>
      <c r="BC209" s="13"/>
      <c r="BD209" s="13"/>
      <c r="BE209" s="13"/>
      <c r="BF209" s="13"/>
      <c r="BG209" s="13"/>
      <c r="BH209" s="13"/>
      <c r="BI209" s="13"/>
      <c r="BJ209" s="5">
        <f>COUNTIF(O209,"*")+COUNTIF(X209,"*")+COUNTIF(AL209,"*")+COUNTIF(AZ209,"*")</f>
        <v>1</v>
      </c>
    </row>
    <row r="210" spans="1:62" ht="27.6" hidden="1">
      <c r="A210" s="28">
        <v>11</v>
      </c>
      <c r="B210" s="28">
        <v>4</v>
      </c>
      <c r="C210" s="250" t="s">
        <v>1597</v>
      </c>
      <c r="D210" s="250"/>
      <c r="E210" s="29"/>
      <c r="F210" s="29" t="s">
        <v>785</v>
      </c>
      <c r="G210" s="297"/>
      <c r="H210" s="297"/>
      <c r="I210" s="29"/>
      <c r="J210" s="29"/>
      <c r="K210" s="29"/>
      <c r="L210" s="29"/>
      <c r="M210" s="13"/>
      <c r="N210" s="13"/>
      <c r="O210" s="13"/>
      <c r="P210" s="13"/>
      <c r="Q210" s="13"/>
      <c r="R210" s="13"/>
      <c r="S210" s="13"/>
      <c r="T210" s="13"/>
      <c r="U210" s="167"/>
      <c r="V210" s="13"/>
      <c r="W210" s="13"/>
      <c r="X210" s="13"/>
      <c r="Y210" s="13"/>
      <c r="Z210" s="13"/>
      <c r="AA210" s="13"/>
      <c r="AB210" s="13"/>
      <c r="AC210" s="13"/>
      <c r="AD210" s="13"/>
      <c r="AE210" s="13"/>
      <c r="AF210" s="13"/>
      <c r="AG210" s="13"/>
      <c r="AH210" s="13"/>
      <c r="AI210" s="13"/>
      <c r="AJ210" s="13"/>
      <c r="AK210" s="13"/>
      <c r="AL210" s="17" t="s">
        <v>786</v>
      </c>
      <c r="AM210" s="374"/>
      <c r="AN210" s="319"/>
      <c r="AO210" s="374"/>
      <c r="AP210" s="319"/>
      <c r="AQ210" s="154" t="s">
        <v>776</v>
      </c>
      <c r="AR210" s="154" t="s">
        <v>787</v>
      </c>
      <c r="AS210" s="154" t="s">
        <v>788</v>
      </c>
      <c r="AT210" s="154"/>
      <c r="AU210" s="154" t="s">
        <v>789</v>
      </c>
      <c r="AV210" s="154"/>
      <c r="AW210" s="379"/>
      <c r="AX210" s="167"/>
      <c r="AY210" s="13"/>
      <c r="AZ210" s="12"/>
      <c r="BA210" s="13"/>
      <c r="BB210" s="13"/>
      <c r="BC210" s="13"/>
      <c r="BD210" s="13"/>
      <c r="BE210" s="13"/>
      <c r="BF210" s="13"/>
      <c r="BG210" s="13"/>
      <c r="BH210" s="13"/>
      <c r="BI210" s="13"/>
      <c r="BJ210" s="5">
        <f>COUNTIF(O210,"*")+COUNTIF(X210,"*")+COUNTIF(AL210,"*")+COUNTIF(AZ210,"*")</f>
        <v>1</v>
      </c>
    </row>
    <row r="211" spans="1:62" ht="27.6" hidden="1">
      <c r="A211" s="28">
        <v>11</v>
      </c>
      <c r="B211" s="28">
        <v>5</v>
      </c>
      <c r="C211" s="250" t="s">
        <v>1597</v>
      </c>
      <c r="D211" s="250"/>
      <c r="E211" s="29"/>
      <c r="F211" s="29" t="s">
        <v>790</v>
      </c>
      <c r="G211" s="297"/>
      <c r="H211" s="297"/>
      <c r="I211" s="29"/>
      <c r="J211" s="29"/>
      <c r="K211" s="29"/>
      <c r="L211" s="29"/>
      <c r="M211" s="13"/>
      <c r="N211" s="13"/>
      <c r="O211" s="13"/>
      <c r="P211" s="13"/>
      <c r="Q211" s="13"/>
      <c r="R211" s="13"/>
      <c r="S211" s="13"/>
      <c r="T211" s="13"/>
      <c r="U211" s="167"/>
      <c r="V211" s="13"/>
      <c r="W211" s="13"/>
      <c r="X211" s="13"/>
      <c r="Y211" s="13"/>
      <c r="Z211" s="13"/>
      <c r="AA211" s="13"/>
      <c r="AB211" s="13"/>
      <c r="AC211" s="13"/>
      <c r="AD211" s="13"/>
      <c r="AE211" s="13"/>
      <c r="AF211" s="13"/>
      <c r="AG211" s="13"/>
      <c r="AH211" s="13"/>
      <c r="AI211" s="13"/>
      <c r="AJ211" s="13"/>
      <c r="AK211" s="13"/>
      <c r="AL211" s="17" t="s">
        <v>791</v>
      </c>
      <c r="AM211" s="374"/>
      <c r="AN211" s="319"/>
      <c r="AO211" s="374"/>
      <c r="AP211" s="319"/>
      <c r="AQ211" s="154" t="s">
        <v>776</v>
      </c>
      <c r="AR211" s="154" t="s">
        <v>792</v>
      </c>
      <c r="AS211" s="154" t="s">
        <v>790</v>
      </c>
      <c r="AT211" s="154"/>
      <c r="AU211" s="154"/>
      <c r="AV211" s="154"/>
      <c r="AW211" s="379"/>
      <c r="AX211" s="167"/>
      <c r="AY211" s="13"/>
      <c r="AZ211" s="12"/>
      <c r="BA211" s="13"/>
      <c r="BB211" s="13"/>
      <c r="BC211" s="13"/>
      <c r="BD211" s="13"/>
      <c r="BE211" s="13"/>
      <c r="BF211" s="13"/>
      <c r="BG211" s="13"/>
      <c r="BH211" s="13"/>
      <c r="BI211" s="13"/>
      <c r="BJ211" s="5">
        <f>COUNTIF(O211,"*")+COUNTIF(X211,"*")+COUNTIF(AL211,"*")+COUNTIF(AZ211,"*")</f>
        <v>1</v>
      </c>
    </row>
    <row r="212" spans="1:62" ht="13.8" hidden="1">
      <c r="A212" s="28">
        <v>11</v>
      </c>
      <c r="B212" s="28">
        <v>6</v>
      </c>
      <c r="C212" s="250" t="s">
        <v>1597</v>
      </c>
      <c r="D212" s="250"/>
      <c r="E212" s="29"/>
      <c r="F212" s="29" t="s">
        <v>793</v>
      </c>
      <c r="G212" s="297"/>
      <c r="H212" s="297"/>
      <c r="I212" s="29"/>
      <c r="J212" s="29"/>
      <c r="K212" s="29"/>
      <c r="L212" s="29"/>
      <c r="M212" s="13"/>
      <c r="N212" s="13"/>
      <c r="O212" s="13"/>
      <c r="P212" s="13"/>
      <c r="Q212" s="13"/>
      <c r="R212" s="13"/>
      <c r="S212" s="13"/>
      <c r="T212" s="13"/>
      <c r="U212" s="167"/>
      <c r="V212" s="13"/>
      <c r="W212" s="13"/>
      <c r="X212" s="13"/>
      <c r="Y212" s="13"/>
      <c r="Z212" s="13"/>
      <c r="AA212" s="13"/>
      <c r="AB212" s="13"/>
      <c r="AC212" s="13"/>
      <c r="AD212" s="13"/>
      <c r="AE212" s="13"/>
      <c r="AF212" s="13"/>
      <c r="AG212" s="13"/>
      <c r="AH212" s="13"/>
      <c r="AI212" s="13"/>
      <c r="AJ212" s="13"/>
      <c r="AK212" s="13"/>
      <c r="AL212" s="17" t="s">
        <v>794</v>
      </c>
      <c r="AM212" s="374"/>
      <c r="AN212" s="319"/>
      <c r="AO212" s="374"/>
      <c r="AP212" s="319"/>
      <c r="AQ212" s="319" t="s">
        <v>776</v>
      </c>
      <c r="AR212" s="319" t="s">
        <v>795</v>
      </c>
      <c r="AS212" s="319" t="s">
        <v>796</v>
      </c>
      <c r="AT212" s="319"/>
      <c r="AU212" s="319" t="s">
        <v>690</v>
      </c>
      <c r="AV212" s="319"/>
      <c r="AW212" s="379"/>
      <c r="AX212" s="167"/>
      <c r="AY212" s="13"/>
      <c r="AZ212" s="12"/>
      <c r="BA212" s="13"/>
      <c r="BB212" s="13"/>
      <c r="BC212" s="13"/>
      <c r="BD212" s="13"/>
      <c r="BE212" s="13"/>
      <c r="BF212" s="13"/>
      <c r="BG212" s="13"/>
      <c r="BH212" s="13"/>
      <c r="BI212" s="13"/>
      <c r="BJ212" s="5">
        <f>COUNTIF(O212,"*")+COUNTIF(X212,"*")+COUNTIF(AL212,"*")+COUNTIF(AZ212,"*")</f>
        <v>1</v>
      </c>
    </row>
    <row r="213" spans="1:62" ht="13.8" hidden="1">
      <c r="A213" s="28">
        <v>11</v>
      </c>
      <c r="B213" s="28">
        <v>7</v>
      </c>
      <c r="C213" s="250" t="s">
        <v>1597</v>
      </c>
      <c r="D213" s="250"/>
      <c r="E213" s="29"/>
      <c r="F213" s="29" t="s">
        <v>793</v>
      </c>
      <c r="G213" s="297"/>
      <c r="H213" s="297"/>
      <c r="I213" s="29"/>
      <c r="J213" s="29"/>
      <c r="K213" s="29"/>
      <c r="L213" s="29"/>
      <c r="M213" s="13"/>
      <c r="N213" s="13"/>
      <c r="O213" s="13"/>
      <c r="P213" s="13"/>
      <c r="Q213" s="13"/>
      <c r="R213" s="13"/>
      <c r="S213" s="13"/>
      <c r="T213" s="13"/>
      <c r="U213" s="167"/>
      <c r="V213" s="13"/>
      <c r="W213" s="13"/>
      <c r="X213" s="13"/>
      <c r="Y213" s="13"/>
      <c r="Z213" s="13"/>
      <c r="AA213" s="13"/>
      <c r="AB213" s="13"/>
      <c r="AC213" s="13"/>
      <c r="AD213" s="13"/>
      <c r="AE213" s="13"/>
      <c r="AF213" s="13"/>
      <c r="AG213" s="13"/>
      <c r="AH213" s="13"/>
      <c r="AI213" s="13"/>
      <c r="AJ213" s="13"/>
      <c r="AK213" s="13"/>
      <c r="AL213" s="17" t="s">
        <v>797</v>
      </c>
      <c r="AM213" s="374"/>
      <c r="AN213" s="319"/>
      <c r="AO213" s="374"/>
      <c r="AP213" s="319"/>
      <c r="AQ213" s="319" t="s">
        <v>776</v>
      </c>
      <c r="AR213" s="319" t="s">
        <v>796</v>
      </c>
      <c r="AS213" s="319" t="s">
        <v>796</v>
      </c>
      <c r="AT213" s="319"/>
      <c r="AU213" s="319" t="s">
        <v>690</v>
      </c>
      <c r="AV213" s="319"/>
      <c r="AW213" s="379"/>
      <c r="AX213" s="167"/>
      <c r="AY213" s="13"/>
      <c r="AZ213" s="12"/>
      <c r="BA213" s="13"/>
      <c r="BB213" s="13"/>
      <c r="BC213" s="13"/>
      <c r="BD213" s="13"/>
      <c r="BE213" s="13"/>
      <c r="BF213" s="13"/>
      <c r="BG213" s="13"/>
      <c r="BH213" s="13"/>
      <c r="BI213" s="13"/>
      <c r="BJ213" s="5">
        <f>COUNTIF(O213,"*")+COUNTIF(X213,"*")+COUNTIF(AL213,"*")+COUNTIF(AZ213,"*")</f>
        <v>1</v>
      </c>
    </row>
    <row r="214" spans="1:62" ht="13.8" hidden="1">
      <c r="A214" s="28">
        <v>11</v>
      </c>
      <c r="B214" s="28">
        <v>8</v>
      </c>
      <c r="C214" s="250" t="s">
        <v>1597</v>
      </c>
      <c r="D214" s="250"/>
      <c r="E214" s="29"/>
      <c r="F214" s="29" t="s">
        <v>798</v>
      </c>
      <c r="G214" s="297"/>
      <c r="H214" s="297"/>
      <c r="I214" s="29"/>
      <c r="J214" s="29"/>
      <c r="K214" s="29"/>
      <c r="L214" s="29"/>
      <c r="M214" s="13"/>
      <c r="N214" s="13"/>
      <c r="O214" s="13"/>
      <c r="P214" s="13"/>
      <c r="Q214" s="13"/>
      <c r="R214" s="13"/>
      <c r="S214" s="13"/>
      <c r="T214" s="13"/>
      <c r="U214" s="167"/>
      <c r="V214" s="13"/>
      <c r="W214" s="13"/>
      <c r="X214" s="13"/>
      <c r="Y214" s="13"/>
      <c r="Z214" s="13"/>
      <c r="AA214" s="13"/>
      <c r="AB214" s="13"/>
      <c r="AC214" s="13"/>
      <c r="AD214" s="13"/>
      <c r="AE214" s="13"/>
      <c r="AF214" s="13"/>
      <c r="AG214" s="13"/>
      <c r="AH214" s="13"/>
      <c r="AI214" s="13"/>
      <c r="AJ214" s="13"/>
      <c r="AK214" s="13"/>
      <c r="AL214" s="17" t="s">
        <v>799</v>
      </c>
      <c r="AM214" s="374"/>
      <c r="AN214" s="319"/>
      <c r="AO214" s="374"/>
      <c r="AP214" s="319"/>
      <c r="AQ214" s="319" t="s">
        <v>776</v>
      </c>
      <c r="AR214" s="262" t="s">
        <v>798</v>
      </c>
      <c r="AS214" s="262" t="s">
        <v>798</v>
      </c>
      <c r="AT214" s="262"/>
      <c r="AU214" s="262"/>
      <c r="AV214" s="262"/>
      <c r="AW214" s="379"/>
      <c r="AX214" s="167"/>
      <c r="AY214" s="13"/>
      <c r="AZ214" s="12"/>
      <c r="BA214" s="13"/>
      <c r="BB214" s="13"/>
      <c r="BC214" s="13"/>
      <c r="BD214" s="13"/>
      <c r="BE214" s="13"/>
      <c r="BF214" s="13"/>
      <c r="BG214" s="13"/>
      <c r="BH214" s="13"/>
      <c r="BI214" s="13"/>
      <c r="BJ214" s="5">
        <f>COUNTIF(O214,"*")+COUNTIF(X214,"*")+COUNTIF(AL214,"*")+COUNTIF(AZ214,"*")</f>
        <v>1</v>
      </c>
    </row>
    <row r="215" spans="1:62" ht="27.6" hidden="1">
      <c r="A215" s="28">
        <v>11</v>
      </c>
      <c r="B215" s="28">
        <v>9</v>
      </c>
      <c r="C215" s="250" t="s">
        <v>1597</v>
      </c>
      <c r="D215" s="250"/>
      <c r="E215" s="29"/>
      <c r="F215" s="29" t="s">
        <v>800</v>
      </c>
      <c r="G215" s="297"/>
      <c r="H215" s="297"/>
      <c r="I215" s="29"/>
      <c r="J215" s="29"/>
      <c r="K215" s="29"/>
      <c r="L215" s="29"/>
      <c r="M215" s="13"/>
      <c r="N215" s="13"/>
      <c r="O215" s="13"/>
      <c r="P215" s="13"/>
      <c r="Q215" s="13"/>
      <c r="R215" s="13"/>
      <c r="S215" s="13"/>
      <c r="T215" s="13"/>
      <c r="U215" s="167"/>
      <c r="V215" s="13"/>
      <c r="W215" s="13"/>
      <c r="X215" s="13"/>
      <c r="Y215" s="13"/>
      <c r="Z215" s="13"/>
      <c r="AA215" s="13"/>
      <c r="AB215" s="13"/>
      <c r="AC215" s="13"/>
      <c r="AD215" s="13"/>
      <c r="AE215" s="13"/>
      <c r="AF215" s="13"/>
      <c r="AG215" s="13"/>
      <c r="AH215" s="13"/>
      <c r="AI215" s="13"/>
      <c r="AJ215" s="13"/>
      <c r="AK215" s="13"/>
      <c r="AL215" s="17" t="s">
        <v>801</v>
      </c>
      <c r="AM215" s="374"/>
      <c r="AN215" s="319"/>
      <c r="AO215" s="374"/>
      <c r="AP215" s="319"/>
      <c r="AQ215" s="319" t="s">
        <v>776</v>
      </c>
      <c r="AR215" s="319" t="s">
        <v>802</v>
      </c>
      <c r="AS215" s="319" t="s">
        <v>802</v>
      </c>
      <c r="AT215" s="319"/>
      <c r="AU215" s="319"/>
      <c r="AV215" s="319"/>
      <c r="AW215" s="379"/>
      <c r="AX215" s="167"/>
      <c r="AY215" s="13"/>
      <c r="AZ215" s="12"/>
      <c r="BA215" s="13"/>
      <c r="BB215" s="13"/>
      <c r="BC215" s="13"/>
      <c r="BD215" s="13"/>
      <c r="BE215" s="13"/>
      <c r="BF215" s="13"/>
      <c r="BG215" s="13"/>
      <c r="BH215" s="13"/>
      <c r="BI215" s="13"/>
      <c r="BJ215" s="5">
        <f>COUNTIF(O215,"*")+COUNTIF(X215,"*")+COUNTIF(AL215,"*")+COUNTIF(AZ215,"*")</f>
        <v>1</v>
      </c>
    </row>
    <row r="216" spans="1:62" ht="27.6" hidden="1">
      <c r="A216" s="28">
        <v>11</v>
      </c>
      <c r="B216" s="28">
        <v>10</v>
      </c>
      <c r="C216" s="250" t="s">
        <v>1597</v>
      </c>
      <c r="D216" s="250"/>
      <c r="E216" s="29"/>
      <c r="F216" s="29" t="s">
        <v>803</v>
      </c>
      <c r="G216" s="297"/>
      <c r="H216" s="297"/>
      <c r="I216" s="29"/>
      <c r="J216" s="29"/>
      <c r="K216" s="29"/>
      <c r="L216" s="29"/>
      <c r="M216" s="13"/>
      <c r="N216" s="13"/>
      <c r="O216" s="13"/>
      <c r="P216" s="13"/>
      <c r="Q216" s="13"/>
      <c r="R216" s="13"/>
      <c r="S216" s="13"/>
      <c r="T216" s="13"/>
      <c r="U216" s="167"/>
      <c r="V216" s="13"/>
      <c r="W216" s="13"/>
      <c r="X216" s="13"/>
      <c r="Y216" s="13"/>
      <c r="Z216" s="13"/>
      <c r="AA216" s="13"/>
      <c r="AB216" s="13"/>
      <c r="AC216" s="13"/>
      <c r="AD216" s="13"/>
      <c r="AE216" s="13"/>
      <c r="AF216" s="13"/>
      <c r="AG216" s="13"/>
      <c r="AH216" s="13"/>
      <c r="AI216" s="13"/>
      <c r="AJ216" s="167"/>
      <c r="AK216" s="13"/>
      <c r="AL216" s="17" t="s">
        <v>804</v>
      </c>
      <c r="AM216" s="374"/>
      <c r="AN216" s="319"/>
      <c r="AO216" s="374"/>
      <c r="AP216" s="319"/>
      <c r="AQ216" s="319" t="s">
        <v>776</v>
      </c>
      <c r="AR216" s="319" t="s">
        <v>805</v>
      </c>
      <c r="AS216" s="319" t="s">
        <v>806</v>
      </c>
      <c r="AT216" s="319"/>
      <c r="AU216" s="319"/>
      <c r="AV216" s="319"/>
      <c r="AW216" s="379"/>
      <c r="AX216" s="167"/>
      <c r="AY216" s="13"/>
      <c r="AZ216" s="12"/>
      <c r="BA216" s="13"/>
      <c r="BB216" s="13"/>
      <c r="BC216" s="13"/>
      <c r="BD216" s="13"/>
      <c r="BE216" s="13"/>
      <c r="BF216" s="13"/>
      <c r="BG216" s="13"/>
      <c r="BH216" s="13"/>
      <c r="BI216" s="13"/>
      <c r="BJ216" s="5">
        <f>COUNTIF(M216,"*")+COUNTIF(W216,"*")+COUNTIF(AL216,"*")+COUNTIF(AZ216,"*")</f>
        <v>1</v>
      </c>
    </row>
    <row r="217" spans="1:62" ht="13.8" hidden="1">
      <c r="A217" s="28">
        <v>11</v>
      </c>
      <c r="B217" s="28">
        <v>11</v>
      </c>
      <c r="C217" s="250" t="s">
        <v>1597</v>
      </c>
      <c r="D217" s="250"/>
      <c r="E217" s="29"/>
      <c r="F217" s="29" t="s">
        <v>807</v>
      </c>
      <c r="G217" s="297"/>
      <c r="H217" s="297"/>
      <c r="I217" s="29"/>
      <c r="J217" s="29"/>
      <c r="K217" s="29"/>
      <c r="L217" s="29"/>
      <c r="M217" s="12"/>
      <c r="N217" s="13"/>
      <c r="O217" s="13"/>
      <c r="P217" s="13"/>
      <c r="Q217" s="13"/>
      <c r="R217" s="13"/>
      <c r="S217" s="13"/>
      <c r="T217" s="13"/>
      <c r="U217" s="167"/>
      <c r="V217" s="13"/>
      <c r="W217" s="13"/>
      <c r="X217" s="13"/>
      <c r="Y217" s="13"/>
      <c r="Z217" s="13"/>
      <c r="AA217" s="13"/>
      <c r="AB217" s="13"/>
      <c r="AC217" s="13"/>
      <c r="AD217" s="13"/>
      <c r="AE217" s="13"/>
      <c r="AF217" s="13"/>
      <c r="AG217" s="13"/>
      <c r="AH217" s="13"/>
      <c r="AI217" s="13"/>
      <c r="AJ217" s="167"/>
      <c r="AK217" s="13"/>
      <c r="AL217" s="17" t="s">
        <v>808</v>
      </c>
      <c r="AM217" s="374"/>
      <c r="AN217" s="319"/>
      <c r="AO217" s="374"/>
      <c r="AP217" s="319"/>
      <c r="AQ217" s="319" t="s">
        <v>776</v>
      </c>
      <c r="AR217" s="319" t="s">
        <v>809</v>
      </c>
      <c r="AS217" s="319" t="s">
        <v>810</v>
      </c>
      <c r="AT217" s="319"/>
      <c r="AU217" s="319"/>
      <c r="AV217" s="319"/>
      <c r="AW217" s="379"/>
      <c r="AX217" s="167"/>
      <c r="AY217" s="13"/>
      <c r="AZ217" s="12"/>
      <c r="BA217" s="13"/>
      <c r="BB217" s="13"/>
      <c r="BC217" s="13"/>
      <c r="BD217" s="13"/>
      <c r="BE217" s="13"/>
      <c r="BF217" s="13"/>
      <c r="BG217" s="13"/>
      <c r="BH217" s="13"/>
      <c r="BI217" s="13"/>
      <c r="BJ217" s="5">
        <f>COUNTIF(M217,"*")+COUNTIF(W217,"*")+COUNTIF(AL217,"*")+COUNTIF(AZ217,"*")</f>
        <v>1</v>
      </c>
    </row>
    <row r="218" spans="1:62" ht="13.8" hidden="1">
      <c r="A218" s="28">
        <v>11</v>
      </c>
      <c r="B218" s="28">
        <v>12</v>
      </c>
      <c r="C218" s="250" t="s">
        <v>1597</v>
      </c>
      <c r="D218" s="250"/>
      <c r="E218" s="29"/>
      <c r="F218" s="29" t="s">
        <v>811</v>
      </c>
      <c r="G218" s="297"/>
      <c r="H218" s="297"/>
      <c r="I218" s="29"/>
      <c r="J218" s="29"/>
      <c r="K218" s="29"/>
      <c r="L218" s="29"/>
      <c r="M218" s="12"/>
      <c r="N218" s="13"/>
      <c r="O218" s="13"/>
      <c r="P218" s="13"/>
      <c r="Q218" s="13"/>
      <c r="R218" s="13"/>
      <c r="S218" s="13"/>
      <c r="T218" s="13"/>
      <c r="U218" s="167"/>
      <c r="V218" s="13"/>
      <c r="W218" s="13"/>
      <c r="X218" s="13"/>
      <c r="Y218" s="13"/>
      <c r="Z218" s="13"/>
      <c r="AA218" s="13"/>
      <c r="AB218" s="13"/>
      <c r="AC218" s="13"/>
      <c r="AD218" s="13"/>
      <c r="AE218" s="13"/>
      <c r="AF218" s="13"/>
      <c r="AG218" s="13"/>
      <c r="AH218" s="13"/>
      <c r="AI218" s="13"/>
      <c r="AJ218" s="167"/>
      <c r="AK218" s="13"/>
      <c r="AL218" s="17" t="s">
        <v>812</v>
      </c>
      <c r="AM218" s="374"/>
      <c r="AN218" s="319"/>
      <c r="AO218" s="374"/>
      <c r="AP218" s="319"/>
      <c r="AQ218" s="319" t="s">
        <v>776</v>
      </c>
      <c r="AR218" s="319" t="s">
        <v>813</v>
      </c>
      <c r="AS218" s="319" t="s">
        <v>814</v>
      </c>
      <c r="AT218" s="319"/>
      <c r="AU218" s="319"/>
      <c r="AV218" s="319"/>
      <c r="AW218" s="379"/>
      <c r="AX218" s="167"/>
      <c r="AY218" s="13"/>
      <c r="AZ218" s="12"/>
      <c r="BA218" s="13"/>
      <c r="BB218" s="13"/>
      <c r="BC218" s="13"/>
      <c r="BD218" s="13"/>
      <c r="BE218" s="13"/>
      <c r="BF218" s="13"/>
      <c r="BG218" s="13"/>
      <c r="BH218" s="13"/>
      <c r="BI218" s="13"/>
      <c r="BJ218" s="5">
        <f>COUNTIF(M218,"*")+COUNTIF(W218,"*")+COUNTIF(AL218,"*")+COUNTIF(AZ218,"*")</f>
        <v>1</v>
      </c>
    </row>
    <row r="219" spans="1:62" ht="13.8" hidden="1">
      <c r="A219" s="30">
        <v>12</v>
      </c>
      <c r="B219" s="30">
        <v>1</v>
      </c>
      <c r="C219" s="251" t="s">
        <v>815</v>
      </c>
      <c r="D219" s="251"/>
      <c r="E219" s="30"/>
      <c r="F219" s="30" t="s">
        <v>2016</v>
      </c>
      <c r="G219" s="292" t="s">
        <v>816</v>
      </c>
      <c r="H219" s="292"/>
      <c r="I219" s="30"/>
      <c r="J219" s="30" t="s">
        <v>265</v>
      </c>
      <c r="K219" s="30"/>
      <c r="L219" s="30"/>
      <c r="M219" s="17" t="s">
        <v>817</v>
      </c>
      <c r="N219" s="374"/>
      <c r="O219" s="21"/>
      <c r="P219" s="21"/>
      <c r="Q219" s="21"/>
      <c r="R219" s="21"/>
      <c r="S219" s="21"/>
      <c r="T219" s="21"/>
      <c r="U219" s="168"/>
      <c r="V219" s="21"/>
      <c r="W219" s="13" t="s">
        <v>816</v>
      </c>
      <c r="X219" s="13" t="s">
        <v>816</v>
      </c>
      <c r="Y219" s="13"/>
      <c r="Z219" s="13"/>
      <c r="AA219" s="13" t="s">
        <v>818</v>
      </c>
      <c r="AB219" s="154" t="s">
        <v>309</v>
      </c>
      <c r="AC219" s="154" t="s">
        <v>819</v>
      </c>
      <c r="AD219" s="154">
        <v>0</v>
      </c>
      <c r="AE219" s="154" t="s">
        <v>161</v>
      </c>
      <c r="AF219" s="154" t="s">
        <v>80</v>
      </c>
      <c r="AG219" s="154"/>
      <c r="AH219" s="154"/>
      <c r="AI219" s="379"/>
      <c r="AJ219" s="168"/>
      <c r="AK219" s="21"/>
      <c r="AL219" s="12"/>
      <c r="AM219" s="13"/>
      <c r="AN219" s="13"/>
      <c r="AO219" s="13"/>
      <c r="AP219" s="13"/>
      <c r="AQ219" s="13"/>
      <c r="AR219" s="13"/>
      <c r="AS219" s="13"/>
      <c r="AT219" s="13"/>
      <c r="AU219" s="13"/>
      <c r="AV219" s="13"/>
      <c r="AW219" s="13"/>
      <c r="AX219" s="168"/>
      <c r="AY219" s="21"/>
      <c r="AZ219" s="12"/>
      <c r="BA219" s="13"/>
      <c r="BB219" s="13"/>
      <c r="BC219" s="13"/>
      <c r="BD219" s="13"/>
      <c r="BE219" s="13"/>
      <c r="BF219" s="13"/>
      <c r="BG219" s="13"/>
      <c r="BH219" s="13"/>
      <c r="BI219" s="13"/>
      <c r="BJ219" s="5">
        <f>COUNTIF(M219,"*")+COUNTIF(W219,"*")+COUNTIF(AL219,"*")+COUNTIF(AZ219,"*")</f>
        <v>2</v>
      </c>
    </row>
    <row r="220" spans="1:62" ht="27.6" hidden="1">
      <c r="A220" s="30">
        <v>12</v>
      </c>
      <c r="B220" s="30">
        <v>2</v>
      </c>
      <c r="C220" s="251" t="s">
        <v>815</v>
      </c>
      <c r="D220" s="251"/>
      <c r="E220" s="30"/>
      <c r="F220" s="30" t="s">
        <v>825</v>
      </c>
      <c r="G220" s="292"/>
      <c r="H220" s="292"/>
      <c r="I220" s="30"/>
      <c r="J220" s="30"/>
      <c r="K220" s="30"/>
      <c r="L220" s="30"/>
      <c r="M220" s="12"/>
      <c r="N220" s="13"/>
      <c r="O220" s="13"/>
      <c r="P220" s="13"/>
      <c r="Q220" s="13"/>
      <c r="R220" s="13"/>
      <c r="S220" s="13"/>
      <c r="T220" s="13"/>
      <c r="U220" s="167"/>
      <c r="V220" s="13"/>
      <c r="W220" s="13"/>
      <c r="X220" s="13"/>
      <c r="Y220" s="13"/>
      <c r="Z220" s="13"/>
      <c r="AA220" s="13"/>
      <c r="AB220" s="13"/>
      <c r="AC220" s="13"/>
      <c r="AD220" s="13"/>
      <c r="AE220" s="13"/>
      <c r="AF220" s="13"/>
      <c r="AG220" s="13"/>
      <c r="AH220" s="13"/>
      <c r="AI220" s="13"/>
      <c r="AJ220" s="167"/>
      <c r="AK220" s="13"/>
      <c r="AL220" s="12"/>
      <c r="AM220" s="13"/>
      <c r="AN220" s="13"/>
      <c r="AO220" s="13"/>
      <c r="AP220" s="13"/>
      <c r="AQ220" s="13"/>
      <c r="AR220" s="13"/>
      <c r="AS220" s="13"/>
      <c r="AT220" s="13"/>
      <c r="AU220" s="13"/>
      <c r="AV220" s="13"/>
      <c r="AW220" s="13"/>
      <c r="AX220" s="167"/>
      <c r="AY220" s="13"/>
      <c r="AZ220" s="12" t="s">
        <v>825</v>
      </c>
      <c r="BA220" s="13" t="s">
        <v>826</v>
      </c>
      <c r="BB220" s="13"/>
      <c r="BC220" s="13"/>
      <c r="BD220" s="13" t="s">
        <v>827</v>
      </c>
      <c r="BE220" s="13" t="s">
        <v>828</v>
      </c>
      <c r="BF220" s="13"/>
      <c r="BG220" s="13"/>
      <c r="BH220" s="13"/>
      <c r="BI220" s="13"/>
      <c r="BJ220" s="5">
        <f>COUNTIF(M220,"*")+COUNTIF(W220,"*")+COUNTIF(AL220,"*")+COUNTIF(AZ220,"*")</f>
        <v>1</v>
      </c>
    </row>
    <row r="221" spans="1:62" ht="13.8" hidden="1">
      <c r="A221" s="30">
        <v>12</v>
      </c>
      <c r="B221" s="30">
        <v>3</v>
      </c>
      <c r="C221" s="251" t="s">
        <v>815</v>
      </c>
      <c r="D221" s="251"/>
      <c r="E221" s="30"/>
      <c r="F221" s="30" t="s">
        <v>829</v>
      </c>
      <c r="G221" s="292"/>
      <c r="H221" s="292"/>
      <c r="I221" s="30"/>
      <c r="J221" s="30"/>
      <c r="K221" s="30"/>
      <c r="L221" s="30"/>
      <c r="M221" s="12"/>
      <c r="N221" s="13"/>
      <c r="O221" s="13"/>
      <c r="P221" s="13"/>
      <c r="Q221" s="13"/>
      <c r="R221" s="13"/>
      <c r="S221" s="13"/>
      <c r="T221" s="13"/>
      <c r="U221" s="167"/>
      <c r="V221" s="13"/>
      <c r="W221" s="13" t="s">
        <v>830</v>
      </c>
      <c r="X221" s="13" t="s">
        <v>830</v>
      </c>
      <c r="Y221" s="13"/>
      <c r="Z221" s="13"/>
      <c r="AA221" s="13" t="s">
        <v>831</v>
      </c>
      <c r="AB221" s="319" t="s">
        <v>309</v>
      </c>
      <c r="AC221" s="319" t="s">
        <v>832</v>
      </c>
      <c r="AD221" s="319">
        <v>0</v>
      </c>
      <c r="AE221" s="319" t="s">
        <v>161</v>
      </c>
      <c r="AF221" s="319" t="s">
        <v>80</v>
      </c>
      <c r="AG221" s="319"/>
      <c r="AH221" s="319"/>
      <c r="AI221" s="379"/>
      <c r="AJ221" s="167"/>
      <c r="AK221" s="13"/>
      <c r="AL221" s="12"/>
      <c r="AM221" s="13"/>
      <c r="AN221" s="13"/>
      <c r="AO221" s="13"/>
      <c r="AP221" s="13"/>
      <c r="AQ221" s="13"/>
      <c r="AR221" s="13"/>
      <c r="AS221" s="13"/>
      <c r="AT221" s="13"/>
      <c r="AU221" s="13"/>
      <c r="AV221" s="13"/>
      <c r="AW221" s="13"/>
      <c r="AX221" s="167"/>
      <c r="AY221" s="13"/>
      <c r="AZ221" s="12"/>
      <c r="BA221" s="13"/>
      <c r="BB221" s="13"/>
      <c r="BC221" s="13"/>
      <c r="BD221" s="13"/>
      <c r="BE221" s="13"/>
      <c r="BF221" s="13"/>
      <c r="BG221" s="13"/>
      <c r="BH221" s="13"/>
      <c r="BI221" s="13"/>
      <c r="BJ221" s="5">
        <f>COUNTIF(M221,"*")+COUNTIF(W221,"*")+COUNTIF(AL221,"*")+COUNTIF(AZ221,"*")</f>
        <v>1</v>
      </c>
    </row>
    <row r="222" spans="1:62" ht="27.6" hidden="1">
      <c r="A222" s="30">
        <v>12</v>
      </c>
      <c r="B222" s="30">
        <v>4</v>
      </c>
      <c r="C222" s="251" t="s">
        <v>815</v>
      </c>
      <c r="D222" s="251"/>
      <c r="E222" s="30"/>
      <c r="F222" s="30" t="s">
        <v>833</v>
      </c>
      <c r="G222" s="292"/>
      <c r="H222" s="292"/>
      <c r="I222" s="30"/>
      <c r="J222" s="30"/>
      <c r="K222" s="30"/>
      <c r="L222" s="30"/>
      <c r="M222" s="12"/>
      <c r="N222" s="13"/>
      <c r="O222" s="13"/>
      <c r="P222" s="13"/>
      <c r="Q222" s="13"/>
      <c r="R222" s="13"/>
      <c r="S222" s="13"/>
      <c r="T222" s="13"/>
      <c r="U222" s="167"/>
      <c r="V222" s="13"/>
      <c r="W222" s="13" t="s">
        <v>834</v>
      </c>
      <c r="X222" s="13" t="s">
        <v>834</v>
      </c>
      <c r="Y222" s="13"/>
      <c r="Z222" s="13"/>
      <c r="AA222" s="13" t="s">
        <v>835</v>
      </c>
      <c r="AB222" s="319" t="s">
        <v>80</v>
      </c>
      <c r="AC222" s="319" t="s">
        <v>832</v>
      </c>
      <c r="AD222" s="319">
        <v>0</v>
      </c>
      <c r="AE222" s="319" t="s">
        <v>161</v>
      </c>
      <c r="AF222" s="319" t="s">
        <v>80</v>
      </c>
      <c r="AG222" s="319"/>
      <c r="AH222" s="319"/>
      <c r="AI222" s="379"/>
      <c r="AJ222" s="167"/>
      <c r="AK222" s="13"/>
      <c r="AL222" s="12"/>
      <c r="AM222" s="13"/>
      <c r="AN222" s="13"/>
      <c r="AO222" s="13"/>
      <c r="AP222" s="13"/>
      <c r="AQ222" s="13"/>
      <c r="AR222" s="13"/>
      <c r="AS222" s="13"/>
      <c r="AT222" s="13"/>
      <c r="AU222" s="13"/>
      <c r="AV222" s="13"/>
      <c r="AW222" s="13"/>
      <c r="AX222" s="167"/>
      <c r="AY222" s="13"/>
      <c r="AZ222" s="12"/>
      <c r="BA222" s="13"/>
      <c r="BB222" s="13"/>
      <c r="BC222" s="13"/>
      <c r="BD222" s="13"/>
      <c r="BE222" s="13"/>
      <c r="BF222" s="13"/>
      <c r="BG222" s="13"/>
      <c r="BH222" s="13"/>
      <c r="BI222" s="13"/>
      <c r="BJ222" s="5">
        <f>COUNTIF(M222,"*")+COUNTIF(W222,"*")+COUNTIF(AL222,"*")+COUNTIF(AZ222,"*")</f>
        <v>1</v>
      </c>
    </row>
    <row r="223" spans="1:62" ht="13.8" hidden="1">
      <c r="A223" s="30">
        <v>12</v>
      </c>
      <c r="B223" s="30">
        <v>5</v>
      </c>
      <c r="C223" s="251" t="s">
        <v>815</v>
      </c>
      <c r="D223" s="251"/>
      <c r="E223" s="30"/>
      <c r="F223" s="30" t="s">
        <v>836</v>
      </c>
      <c r="G223" s="292"/>
      <c r="H223" s="292"/>
      <c r="I223" s="30"/>
      <c r="J223" s="30"/>
      <c r="K223" s="30"/>
      <c r="L223" s="30"/>
      <c r="M223" s="12"/>
      <c r="N223" s="13"/>
      <c r="O223" s="13"/>
      <c r="P223" s="13"/>
      <c r="Q223" s="13"/>
      <c r="R223" s="13"/>
      <c r="S223" s="13"/>
      <c r="T223" s="13"/>
      <c r="U223" s="167"/>
      <c r="V223" s="13"/>
      <c r="W223" s="13" t="s">
        <v>837</v>
      </c>
      <c r="X223" s="13" t="s">
        <v>837</v>
      </c>
      <c r="Y223" s="13"/>
      <c r="Z223" s="13"/>
      <c r="AA223" s="13" t="s">
        <v>838</v>
      </c>
      <c r="AB223" s="154" t="s">
        <v>309</v>
      </c>
      <c r="AC223" s="154" t="s">
        <v>832</v>
      </c>
      <c r="AD223" s="154">
        <v>0</v>
      </c>
      <c r="AE223" s="154" t="s">
        <v>161</v>
      </c>
      <c r="AF223" s="154" t="s">
        <v>80</v>
      </c>
      <c r="AG223" s="154"/>
      <c r="AH223" s="154"/>
      <c r="AI223" s="379"/>
      <c r="AJ223" s="167"/>
      <c r="AK223" s="13"/>
      <c r="AL223" s="12"/>
      <c r="AM223" s="13"/>
      <c r="AN223" s="13"/>
      <c r="AO223" s="13"/>
      <c r="AP223" s="13"/>
      <c r="AQ223" s="13"/>
      <c r="AR223" s="13"/>
      <c r="AS223" s="13"/>
      <c r="AT223" s="13"/>
      <c r="AU223" s="13"/>
      <c r="AV223" s="13"/>
      <c r="AW223" s="13"/>
      <c r="AX223" s="167"/>
      <c r="AY223" s="13"/>
      <c r="AZ223" s="12"/>
      <c r="BA223" s="13"/>
      <c r="BB223" s="13"/>
      <c r="BC223" s="13"/>
      <c r="BD223" s="13"/>
      <c r="BE223" s="13"/>
      <c r="BF223" s="13"/>
      <c r="BG223" s="13"/>
      <c r="BH223" s="13"/>
      <c r="BI223" s="13"/>
      <c r="BJ223" s="5">
        <f>COUNTIF(M223,"*")+COUNTIF(W223,"*")+COUNTIF(AL223,"*")+COUNTIF(AZ223,"*")</f>
        <v>1</v>
      </c>
    </row>
    <row r="224" spans="1:62" ht="27.6" hidden="1">
      <c r="A224" s="30">
        <v>12</v>
      </c>
      <c r="B224" s="30">
        <v>6</v>
      </c>
      <c r="C224" s="251" t="s">
        <v>815</v>
      </c>
      <c r="D224" s="251"/>
      <c r="E224" s="30"/>
      <c r="F224" s="30" t="s">
        <v>839</v>
      </c>
      <c r="G224" s="292"/>
      <c r="H224" s="292"/>
      <c r="I224" s="30"/>
      <c r="J224" s="30"/>
      <c r="K224" s="30"/>
      <c r="L224" s="30"/>
      <c r="M224" s="12"/>
      <c r="N224" s="13"/>
      <c r="O224" s="13"/>
      <c r="P224" s="13"/>
      <c r="Q224" s="13"/>
      <c r="R224" s="13"/>
      <c r="S224" s="13"/>
      <c r="T224" s="13"/>
      <c r="U224" s="167"/>
      <c r="V224" s="13"/>
      <c r="W224" s="13" t="s">
        <v>840</v>
      </c>
      <c r="X224" s="13" t="s">
        <v>840</v>
      </c>
      <c r="Y224" s="13"/>
      <c r="Z224" s="13"/>
      <c r="AA224" s="13" t="s">
        <v>841</v>
      </c>
      <c r="AB224" s="319" t="s">
        <v>309</v>
      </c>
      <c r="AC224" s="319" t="s">
        <v>832</v>
      </c>
      <c r="AD224" s="319">
        <v>0</v>
      </c>
      <c r="AE224" s="319" t="s">
        <v>161</v>
      </c>
      <c r="AF224" s="319" t="s">
        <v>80</v>
      </c>
      <c r="AG224" s="319"/>
      <c r="AH224" s="319"/>
      <c r="AI224" s="379"/>
      <c r="AJ224" s="167"/>
      <c r="AK224" s="13"/>
      <c r="AL224" s="12"/>
      <c r="AM224" s="13"/>
      <c r="AN224" s="13"/>
      <c r="AO224" s="13"/>
      <c r="AP224" s="13"/>
      <c r="AQ224" s="13"/>
      <c r="AR224" s="13"/>
      <c r="AS224" s="13"/>
      <c r="AT224" s="13"/>
      <c r="AU224" s="13"/>
      <c r="AV224" s="13"/>
      <c r="AW224" s="13"/>
      <c r="AX224" s="167"/>
      <c r="AY224" s="13"/>
      <c r="AZ224" s="12"/>
      <c r="BA224" s="13"/>
      <c r="BB224" s="13"/>
      <c r="BC224" s="13"/>
      <c r="BD224" s="13"/>
      <c r="BE224" s="13"/>
      <c r="BF224" s="13"/>
      <c r="BG224" s="13"/>
      <c r="BH224" s="13"/>
      <c r="BI224" s="13"/>
      <c r="BJ224" s="5">
        <f>COUNTIF(M224,"*")+COUNTIF(W224,"*")+COUNTIF(AL224,"*")+COUNTIF(AZ224,"*")</f>
        <v>1</v>
      </c>
    </row>
    <row r="225" spans="1:62" ht="27.6" hidden="1">
      <c r="A225" s="30">
        <v>12</v>
      </c>
      <c r="B225" s="30">
        <v>7</v>
      </c>
      <c r="C225" s="251" t="s">
        <v>815</v>
      </c>
      <c r="D225" s="251"/>
      <c r="E225" s="30"/>
      <c r="F225" s="30" t="s">
        <v>842</v>
      </c>
      <c r="G225" s="292"/>
      <c r="H225" s="292"/>
      <c r="I225" s="30"/>
      <c r="J225" s="30"/>
      <c r="K225" s="30"/>
      <c r="L225" s="30"/>
      <c r="M225" s="12"/>
      <c r="N225" s="13"/>
      <c r="O225" s="13"/>
      <c r="P225" s="13"/>
      <c r="Q225" s="13"/>
      <c r="R225" s="13"/>
      <c r="S225" s="13"/>
      <c r="T225" s="13"/>
      <c r="U225" s="167"/>
      <c r="V225" s="13"/>
      <c r="W225" s="13" t="s">
        <v>843</v>
      </c>
      <c r="X225" s="13" t="s">
        <v>843</v>
      </c>
      <c r="Y225" s="13"/>
      <c r="Z225" s="13"/>
      <c r="AA225" s="13" t="s">
        <v>844</v>
      </c>
      <c r="AB225" s="154" t="s">
        <v>309</v>
      </c>
      <c r="AC225" s="154" t="s">
        <v>845</v>
      </c>
      <c r="AD225" s="154">
        <v>0</v>
      </c>
      <c r="AE225" s="154">
        <v>65500</v>
      </c>
      <c r="AF225" s="154" t="s">
        <v>80</v>
      </c>
      <c r="AG225" s="154"/>
      <c r="AH225" s="154"/>
      <c r="AI225" s="379"/>
      <c r="AJ225" s="167"/>
      <c r="AK225" s="13"/>
      <c r="AL225" s="12"/>
      <c r="AM225" s="13"/>
      <c r="AN225" s="13"/>
      <c r="AO225" s="13"/>
      <c r="AP225" s="13"/>
      <c r="AQ225" s="13"/>
      <c r="AR225" s="13"/>
      <c r="AS225" s="13"/>
      <c r="AT225" s="13"/>
      <c r="AU225" s="13"/>
      <c r="AV225" s="13"/>
      <c r="AW225" s="13"/>
      <c r="AX225" s="167"/>
      <c r="AY225" s="13"/>
      <c r="AZ225" s="12"/>
      <c r="BA225" s="13"/>
      <c r="BB225" s="13"/>
      <c r="BC225" s="13"/>
      <c r="BD225" s="13"/>
      <c r="BE225" s="13"/>
      <c r="BF225" s="13"/>
      <c r="BG225" s="13"/>
      <c r="BH225" s="13"/>
      <c r="BI225" s="13"/>
      <c r="BJ225" s="5">
        <f>COUNTIF(M225,"*")+COUNTIF(W225,"*")+COUNTIF(AL225,"*")+COUNTIF(AZ225,"*")</f>
        <v>1</v>
      </c>
    </row>
    <row r="226" spans="1:62" ht="27.6" hidden="1">
      <c r="A226" s="30">
        <v>12</v>
      </c>
      <c r="B226" s="30">
        <v>8</v>
      </c>
      <c r="C226" s="251" t="s">
        <v>815</v>
      </c>
      <c r="D226" s="251"/>
      <c r="E226" s="30"/>
      <c r="F226" s="30" t="s">
        <v>846</v>
      </c>
      <c r="G226" s="292"/>
      <c r="H226" s="292"/>
      <c r="I226" s="30"/>
      <c r="J226" s="30"/>
      <c r="K226" s="30"/>
      <c r="L226" s="30"/>
      <c r="M226" s="12"/>
      <c r="N226" s="13"/>
      <c r="O226" s="13"/>
      <c r="P226" s="13"/>
      <c r="Q226" s="13"/>
      <c r="R226" s="13"/>
      <c r="S226" s="13"/>
      <c r="T226" s="13"/>
      <c r="U226" s="167"/>
      <c r="V226" s="13"/>
      <c r="W226" s="13" t="s">
        <v>847</v>
      </c>
      <c r="X226" s="13" t="s">
        <v>847</v>
      </c>
      <c r="Y226" s="13"/>
      <c r="Z226" s="13"/>
      <c r="AA226" s="13" t="s">
        <v>848</v>
      </c>
      <c r="AB226" s="319" t="s">
        <v>80</v>
      </c>
      <c r="AC226" s="319" t="s">
        <v>845</v>
      </c>
      <c r="AD226" s="319">
        <v>0</v>
      </c>
      <c r="AE226" s="319">
        <v>65500</v>
      </c>
      <c r="AF226" s="319" t="s">
        <v>80</v>
      </c>
      <c r="AG226" s="319"/>
      <c r="AH226" s="319"/>
      <c r="AI226" s="379"/>
      <c r="AJ226" s="167"/>
      <c r="AK226" s="13"/>
      <c r="AL226" s="12"/>
      <c r="AM226" s="13"/>
      <c r="AN226" s="13"/>
      <c r="AO226" s="13"/>
      <c r="AP226" s="13"/>
      <c r="AQ226" s="13"/>
      <c r="AR226" s="13"/>
      <c r="AS226" s="13"/>
      <c r="AT226" s="13"/>
      <c r="AU226" s="13"/>
      <c r="AV226" s="13"/>
      <c r="AW226" s="13"/>
      <c r="AX226" s="167"/>
      <c r="AY226" s="13"/>
      <c r="AZ226" s="12"/>
      <c r="BA226" s="13"/>
      <c r="BB226" s="13"/>
      <c r="BC226" s="13"/>
      <c r="BD226" s="13"/>
      <c r="BE226" s="13"/>
      <c r="BF226" s="13"/>
      <c r="BG226" s="13"/>
      <c r="BH226" s="13"/>
      <c r="BI226" s="13"/>
      <c r="BJ226" s="5">
        <f>COUNTIF(M226,"*")+COUNTIF(W226,"*")+COUNTIF(AL226,"*")+COUNTIF(AZ226,"*")</f>
        <v>1</v>
      </c>
    </row>
    <row r="227" spans="1:62" ht="13.8" hidden="1">
      <c r="A227" s="30">
        <v>12</v>
      </c>
      <c r="B227" s="30">
        <v>9</v>
      </c>
      <c r="C227" s="251" t="s">
        <v>815</v>
      </c>
      <c r="D227" s="251"/>
      <c r="E227" s="30"/>
      <c r="F227" s="30" t="s">
        <v>849</v>
      </c>
      <c r="G227" s="292"/>
      <c r="H227" s="292"/>
      <c r="I227" s="30"/>
      <c r="J227" s="30"/>
      <c r="K227" s="30"/>
      <c r="L227" s="30"/>
      <c r="M227" s="12"/>
      <c r="N227" s="13"/>
      <c r="O227" s="13"/>
      <c r="P227" s="13"/>
      <c r="Q227" s="13"/>
      <c r="R227" s="13"/>
      <c r="S227" s="13"/>
      <c r="T227" s="13"/>
      <c r="U227" s="167"/>
      <c r="V227" s="13"/>
      <c r="W227" s="13" t="s">
        <v>849</v>
      </c>
      <c r="X227" s="13" t="s">
        <v>849</v>
      </c>
      <c r="Y227" s="13"/>
      <c r="Z227" s="13"/>
      <c r="AA227" s="13" t="s">
        <v>850</v>
      </c>
      <c r="AB227" s="262" t="s">
        <v>851</v>
      </c>
      <c r="AC227" s="262" t="s">
        <v>852</v>
      </c>
      <c r="AD227" s="262">
        <v>0</v>
      </c>
      <c r="AE227" s="262">
        <v>14</v>
      </c>
      <c r="AF227" s="262" t="s">
        <v>80</v>
      </c>
      <c r="AG227" s="262"/>
      <c r="AH227" s="262"/>
      <c r="AI227" s="379"/>
      <c r="AJ227" s="167"/>
      <c r="AK227" s="13"/>
      <c r="AL227" s="12"/>
      <c r="AM227" s="13"/>
      <c r="AN227" s="13"/>
      <c r="AO227" s="13"/>
      <c r="AP227" s="13"/>
      <c r="AQ227" s="13"/>
      <c r="AR227" s="13"/>
      <c r="AS227" s="13"/>
      <c r="AT227" s="13"/>
      <c r="AU227" s="13"/>
      <c r="AV227" s="13"/>
      <c r="AW227" s="13"/>
      <c r="AX227" s="167"/>
      <c r="AY227" s="13"/>
      <c r="AZ227" s="12"/>
      <c r="BA227" s="13"/>
      <c r="BB227" s="13"/>
      <c r="BC227" s="13"/>
      <c r="BD227" s="13"/>
      <c r="BE227" s="13"/>
      <c r="BF227" s="13"/>
      <c r="BG227" s="13"/>
      <c r="BH227" s="13"/>
      <c r="BI227" s="13"/>
      <c r="BJ227" s="5">
        <f>COUNTIF(M227,"*")+COUNTIF(W227,"*")+COUNTIF(AL227,"*")+COUNTIF(AZ227,"*")</f>
        <v>1</v>
      </c>
    </row>
    <row r="228" spans="1:62" ht="13.8" hidden="1">
      <c r="A228" s="30">
        <v>12</v>
      </c>
      <c r="B228" s="30">
        <v>10</v>
      </c>
      <c r="C228" s="251" t="s">
        <v>815</v>
      </c>
      <c r="D228" s="251"/>
      <c r="E228" s="30"/>
      <c r="F228" s="30" t="s">
        <v>853</v>
      </c>
      <c r="G228" s="292"/>
      <c r="H228" s="292"/>
      <c r="I228" s="30"/>
      <c r="J228" s="30"/>
      <c r="K228" s="30"/>
      <c r="L228" s="30"/>
      <c r="M228" s="17" t="s">
        <v>854</v>
      </c>
      <c r="N228" s="374"/>
      <c r="O228" s="21"/>
      <c r="P228" s="21"/>
      <c r="Q228" s="21"/>
      <c r="R228" s="21"/>
      <c r="S228" s="21"/>
      <c r="T228" s="21"/>
      <c r="U228" s="168"/>
      <c r="V228" s="21"/>
      <c r="W228" s="13"/>
      <c r="X228" s="13"/>
      <c r="Y228" s="13"/>
      <c r="Z228" s="13"/>
      <c r="AA228" s="13"/>
      <c r="AB228" s="319"/>
      <c r="AC228" s="319"/>
      <c r="AD228" s="319"/>
      <c r="AE228" s="319"/>
      <c r="AF228" s="319"/>
      <c r="AG228" s="319"/>
      <c r="AH228" s="319"/>
      <c r="AI228" s="379"/>
      <c r="AJ228" s="168"/>
      <c r="AK228" s="21"/>
      <c r="AL228" s="17"/>
      <c r="AM228" s="374"/>
      <c r="AN228" s="319"/>
      <c r="AO228" s="374"/>
      <c r="AP228" s="319"/>
      <c r="AQ228" s="13"/>
      <c r="AR228" s="13"/>
      <c r="AS228" s="13"/>
      <c r="AT228" s="13"/>
      <c r="AU228" s="13"/>
      <c r="AV228" s="13"/>
      <c r="AW228" s="13"/>
      <c r="AX228" s="168"/>
      <c r="AY228" s="21"/>
      <c r="AZ228" s="12"/>
      <c r="BA228" s="13"/>
      <c r="BB228" s="13"/>
      <c r="BC228" s="13"/>
      <c r="BD228" s="13"/>
      <c r="BE228" s="13"/>
      <c r="BF228" s="13"/>
      <c r="BG228" s="13"/>
      <c r="BH228" s="13"/>
      <c r="BI228" s="13"/>
      <c r="BJ228" s="5">
        <f>COUNTIF(M228,"*")+COUNTIF(W228,"*")+COUNTIF(AL228,"*")+COUNTIF(AZ228,"*")</f>
        <v>1</v>
      </c>
    </row>
    <row r="229" spans="1:62" ht="32.4" hidden="1" customHeight="1">
      <c r="A229" s="30">
        <v>12</v>
      </c>
      <c r="B229" s="30">
        <v>11</v>
      </c>
      <c r="C229" s="251" t="s">
        <v>815</v>
      </c>
      <c r="D229" s="251"/>
      <c r="E229" s="30"/>
      <c r="F229" s="30" t="s">
        <v>855</v>
      </c>
      <c r="G229" s="292"/>
      <c r="H229" s="292"/>
      <c r="I229" s="30"/>
      <c r="J229" s="30"/>
      <c r="K229" s="30"/>
      <c r="L229" s="30"/>
      <c r="M229" s="12"/>
      <c r="N229" s="13"/>
      <c r="O229" s="11"/>
      <c r="P229" s="11"/>
      <c r="Q229" s="11"/>
      <c r="R229" s="11"/>
      <c r="S229" s="11"/>
      <c r="T229" s="11"/>
      <c r="U229" s="169"/>
      <c r="V229" s="11"/>
      <c r="W229" s="13" t="s">
        <v>855</v>
      </c>
      <c r="X229" s="13" t="s">
        <v>855</v>
      </c>
      <c r="Y229" s="13"/>
      <c r="Z229" s="13"/>
      <c r="AA229" s="13" t="s">
        <v>856</v>
      </c>
      <c r="AB229" s="154" t="s">
        <v>309</v>
      </c>
      <c r="AC229" s="319" t="s">
        <v>857</v>
      </c>
      <c r="AD229" s="154">
        <v>0</v>
      </c>
      <c r="AE229" s="154" t="s">
        <v>161</v>
      </c>
      <c r="AF229" s="154" t="s">
        <v>80</v>
      </c>
      <c r="AG229" s="154"/>
      <c r="AH229" s="154"/>
      <c r="AI229" s="379"/>
      <c r="AJ229" s="169"/>
      <c r="AK229" s="11"/>
      <c r="AL229" s="17"/>
      <c r="AM229" s="374"/>
      <c r="AN229" s="319"/>
      <c r="AO229" s="374"/>
      <c r="AP229" s="319"/>
      <c r="AQ229" s="13"/>
      <c r="AR229" s="13"/>
      <c r="AS229" s="13"/>
      <c r="AT229" s="13"/>
      <c r="AU229" s="13"/>
      <c r="AV229" s="13"/>
      <c r="AW229" s="13"/>
      <c r="AX229" s="169"/>
      <c r="AY229" s="11"/>
      <c r="AZ229" s="12"/>
      <c r="BA229" s="13"/>
      <c r="BB229" s="13"/>
      <c r="BC229" s="13"/>
      <c r="BD229" s="13"/>
      <c r="BE229" s="13"/>
      <c r="BF229" s="13"/>
      <c r="BG229" s="13"/>
      <c r="BH229" s="13"/>
      <c r="BI229" s="13"/>
      <c r="BJ229" s="5">
        <f>COUNTIF(M229,"*")+COUNTIF(W229,"*")+COUNTIF(AL229,"*")+COUNTIF(AZ229,"*")</f>
        <v>1</v>
      </c>
    </row>
    <row r="230" spans="1:62" ht="96.6" hidden="1">
      <c r="A230" s="31">
        <v>13</v>
      </c>
      <c r="B230" s="31">
        <v>1</v>
      </c>
      <c r="C230" s="252" t="s">
        <v>820</v>
      </c>
      <c r="D230" s="252"/>
      <c r="E230" s="31"/>
      <c r="F230" s="31" t="s">
        <v>821</v>
      </c>
      <c r="G230" s="298"/>
      <c r="H230" s="298"/>
      <c r="I230" s="31"/>
      <c r="J230" s="31"/>
      <c r="K230" s="31"/>
      <c r="L230" s="31"/>
      <c r="M230" s="12"/>
      <c r="N230" s="13"/>
      <c r="O230" s="13"/>
      <c r="P230" s="13"/>
      <c r="Q230" s="13"/>
      <c r="R230" s="13"/>
      <c r="S230" s="13"/>
      <c r="T230" s="13"/>
      <c r="U230" s="167"/>
      <c r="V230" s="13"/>
      <c r="W230" s="13"/>
      <c r="X230" s="13"/>
      <c r="Y230" s="13"/>
      <c r="Z230" s="13"/>
      <c r="AA230" s="13"/>
      <c r="AB230" s="13"/>
      <c r="AC230" s="13"/>
      <c r="AD230" s="13"/>
      <c r="AE230" s="13"/>
      <c r="AF230" s="13"/>
      <c r="AG230" s="13"/>
      <c r="AH230" s="13"/>
      <c r="AI230" s="13"/>
      <c r="AJ230" s="167"/>
      <c r="AK230" s="13"/>
      <c r="AL230" s="12"/>
      <c r="AM230" s="13"/>
      <c r="AN230" s="13"/>
      <c r="AO230" s="13"/>
      <c r="AP230" s="13"/>
      <c r="AQ230" s="13"/>
      <c r="AR230" s="13"/>
      <c r="AS230" s="13"/>
      <c r="AT230" s="13"/>
      <c r="AU230" s="13"/>
      <c r="AV230" s="13"/>
      <c r="AW230" s="13"/>
      <c r="AX230" s="167"/>
      <c r="AY230" s="13"/>
      <c r="AZ230" s="12" t="s">
        <v>821</v>
      </c>
      <c r="BA230" s="13" t="s">
        <v>822</v>
      </c>
      <c r="BB230" s="13"/>
      <c r="BC230" s="13"/>
      <c r="BD230" s="13" t="s">
        <v>823</v>
      </c>
      <c r="BE230" s="13" t="s">
        <v>824</v>
      </c>
      <c r="BF230" s="13"/>
      <c r="BG230" s="13"/>
      <c r="BH230" s="13"/>
      <c r="BI230" s="13"/>
      <c r="BJ230" s="5">
        <f>COUNTIF(M230,"*")+COUNTIF(W230,"*")+COUNTIF(AL230,"*")+COUNTIF(AZ230,"*")</f>
        <v>1</v>
      </c>
    </row>
    <row r="231" spans="1:62" ht="32.4" hidden="1" customHeight="1">
      <c r="A231" s="32">
        <v>14</v>
      </c>
      <c r="B231" s="32">
        <v>1</v>
      </c>
      <c r="C231" s="253" t="s">
        <v>858</v>
      </c>
      <c r="D231" s="253"/>
      <c r="E231" s="32"/>
      <c r="F231" s="32" t="s">
        <v>859</v>
      </c>
      <c r="G231" s="210" t="s">
        <v>860</v>
      </c>
      <c r="H231" s="210"/>
      <c r="I231" s="32"/>
      <c r="J231" s="32" t="s">
        <v>1976</v>
      </c>
      <c r="K231" s="32"/>
      <c r="L231" s="32"/>
      <c r="M231" s="12" t="s">
        <v>861</v>
      </c>
      <c r="N231" s="13"/>
      <c r="O231" s="13"/>
      <c r="P231" s="13"/>
      <c r="Q231" s="13"/>
      <c r="R231" s="13"/>
      <c r="S231" s="13"/>
      <c r="T231" s="13"/>
      <c r="U231" s="167"/>
      <c r="V231" s="13"/>
      <c r="W231" s="173" t="s">
        <v>862</v>
      </c>
      <c r="X231" s="13" t="s">
        <v>862</v>
      </c>
      <c r="Y231" s="13"/>
      <c r="Z231" s="13"/>
      <c r="AA231" s="13" t="s">
        <v>863</v>
      </c>
      <c r="AB231" s="154" t="s">
        <v>371</v>
      </c>
      <c r="AC231" s="262" t="s">
        <v>864</v>
      </c>
      <c r="AD231" s="154">
        <v>0</v>
      </c>
      <c r="AE231" s="154" t="s">
        <v>161</v>
      </c>
      <c r="AF231" s="154" t="s">
        <v>80</v>
      </c>
      <c r="AG231" s="154"/>
      <c r="AH231" s="154"/>
      <c r="AI231" s="379"/>
      <c r="AJ231" s="167"/>
      <c r="AK231" s="13"/>
      <c r="AL231" s="12"/>
      <c r="AM231" s="36"/>
      <c r="AN231" s="12"/>
      <c r="AO231" s="36"/>
      <c r="AP231" s="36"/>
      <c r="AQ231" s="36"/>
      <c r="AR231" s="36"/>
      <c r="AS231" s="13"/>
      <c r="AT231" s="13"/>
      <c r="AU231" s="13"/>
      <c r="AV231" s="13"/>
      <c r="AW231" s="13"/>
      <c r="AX231" s="167"/>
      <c r="AY231" s="13"/>
      <c r="AZ231" s="12"/>
      <c r="BA231" s="13"/>
      <c r="BB231" s="13"/>
      <c r="BC231" s="13"/>
      <c r="BD231" s="13"/>
      <c r="BE231" s="13"/>
      <c r="BF231" s="13"/>
      <c r="BG231" s="13"/>
      <c r="BH231" s="13"/>
      <c r="BI231" s="13"/>
      <c r="BJ231" s="5">
        <f>COUNTIF(M231,"*")+COUNTIF(W231,"*")+COUNTIF(AL231,"*")+COUNTIF(AZ231,"*")</f>
        <v>2</v>
      </c>
    </row>
    <row r="232" spans="1:62" ht="27.6" hidden="1">
      <c r="A232" s="32">
        <v>14</v>
      </c>
      <c r="B232" s="32">
        <f>B231+1</f>
        <v>2</v>
      </c>
      <c r="C232" s="253" t="s">
        <v>858</v>
      </c>
      <c r="D232" s="253"/>
      <c r="E232" s="32"/>
      <c r="F232" s="32" t="s">
        <v>865</v>
      </c>
      <c r="G232" s="210" t="s">
        <v>866</v>
      </c>
      <c r="H232" s="210"/>
      <c r="I232" s="35"/>
      <c r="J232" s="32" t="s">
        <v>1976</v>
      </c>
      <c r="K232" s="35"/>
      <c r="L232" s="35"/>
      <c r="M232" s="12" t="s">
        <v>867</v>
      </c>
      <c r="N232" s="36"/>
      <c r="O232" s="13"/>
      <c r="P232" s="13"/>
      <c r="Q232" s="13"/>
      <c r="R232" s="13"/>
      <c r="S232" s="13"/>
      <c r="T232" s="13"/>
      <c r="U232" s="167"/>
      <c r="V232" s="13"/>
      <c r="W232" s="173" t="s">
        <v>868</v>
      </c>
      <c r="X232" s="13" t="s">
        <v>868</v>
      </c>
      <c r="Y232" s="36"/>
      <c r="Z232" s="36"/>
      <c r="AA232" s="13" t="s">
        <v>869</v>
      </c>
      <c r="AB232" s="262" t="s">
        <v>80</v>
      </c>
      <c r="AC232" s="262" t="s">
        <v>864</v>
      </c>
      <c r="AD232" s="262" t="s">
        <v>870</v>
      </c>
      <c r="AE232" s="262" t="s">
        <v>161</v>
      </c>
      <c r="AF232" s="262" t="s">
        <v>80</v>
      </c>
      <c r="AG232" s="262"/>
      <c r="AH232" s="262"/>
      <c r="AI232" s="379"/>
      <c r="AJ232" s="167"/>
      <c r="AK232" s="36"/>
      <c r="AL232" s="12"/>
      <c r="AM232" s="36"/>
      <c r="AN232" s="12"/>
      <c r="AO232" s="36"/>
      <c r="AP232" s="36"/>
      <c r="AQ232" s="36"/>
      <c r="AR232" s="36"/>
      <c r="AS232" s="13"/>
      <c r="AT232" s="13"/>
      <c r="AU232" s="13"/>
      <c r="AV232" s="13"/>
      <c r="AW232" s="13"/>
      <c r="AX232" s="167"/>
      <c r="AY232" s="13"/>
      <c r="AZ232" s="12"/>
      <c r="BA232" s="13"/>
      <c r="BB232" s="13"/>
      <c r="BC232" s="13"/>
      <c r="BD232" s="13"/>
      <c r="BE232" s="13"/>
      <c r="BF232" s="13"/>
      <c r="BG232" s="13"/>
      <c r="BH232" s="13"/>
      <c r="BI232" s="13"/>
      <c r="BJ232" s="5">
        <f>COUNTIF(M232,"*")+COUNTIF(W232,"*")+COUNTIF(AL232,"*")+COUNTIF(AZ232,"*")</f>
        <v>2</v>
      </c>
    </row>
    <row r="233" spans="1:62" ht="13.8" hidden="1">
      <c r="A233" s="32"/>
      <c r="B233" s="32">
        <f t="shared" ref="B233:B296" si="1">B232+1</f>
        <v>3</v>
      </c>
      <c r="C233" s="253" t="s">
        <v>858</v>
      </c>
      <c r="D233" s="254"/>
      <c r="E233" s="32"/>
      <c r="F233" s="32" t="s">
        <v>1722</v>
      </c>
      <c r="G233" s="210"/>
      <c r="H233" s="210"/>
      <c r="I233" s="35"/>
      <c r="J233" s="32"/>
      <c r="K233" s="35"/>
      <c r="L233" s="35"/>
      <c r="M233" s="12"/>
      <c r="N233" s="153"/>
      <c r="O233" s="13"/>
      <c r="P233" s="13"/>
      <c r="Q233" s="13"/>
      <c r="R233" s="13"/>
      <c r="S233" s="13"/>
      <c r="T233" s="13"/>
      <c r="U233" s="167"/>
      <c r="V233" s="13"/>
      <c r="W233" s="173"/>
      <c r="X233" s="13"/>
      <c r="Y233" s="153"/>
      <c r="Z233" s="153"/>
      <c r="AA233" s="13"/>
      <c r="AB233" s="387"/>
      <c r="AC233" s="387"/>
      <c r="AD233" s="387"/>
      <c r="AE233" s="387"/>
      <c r="AF233" s="387"/>
      <c r="AG233" s="387"/>
      <c r="AH233" s="387"/>
      <c r="AI233" s="387"/>
      <c r="AJ233" s="167"/>
      <c r="AK233" s="153"/>
      <c r="AL233" s="12" t="s">
        <v>1721</v>
      </c>
      <c r="AM233" s="36"/>
      <c r="AN233" s="12" t="s">
        <v>1721</v>
      </c>
      <c r="AO233" s="36"/>
      <c r="AP233" s="36"/>
      <c r="AQ233" s="36"/>
      <c r="AR233" s="36"/>
      <c r="AS233" s="13" t="s">
        <v>1722</v>
      </c>
      <c r="AT233" s="13"/>
      <c r="AU233" s="13"/>
      <c r="AV233" s="13"/>
      <c r="AW233" s="13"/>
      <c r="AX233" s="167"/>
      <c r="AY233" s="13"/>
      <c r="AZ233" s="12"/>
      <c r="BA233" s="13"/>
      <c r="BB233" s="13"/>
      <c r="BC233" s="13"/>
      <c r="BD233" s="13"/>
      <c r="BE233" s="13"/>
      <c r="BF233" s="13"/>
      <c r="BG233" s="13"/>
      <c r="BH233" s="13"/>
      <c r="BI233" s="13"/>
      <c r="BJ233" s="5">
        <f>COUNTIF(M233,"*")+COUNTIF(W233,"*")+COUNTIF(AL233,"*")+COUNTIF(AZ233,"*")</f>
        <v>1</v>
      </c>
    </row>
    <row r="234" spans="1:62" ht="82.8" hidden="1">
      <c r="A234" s="32">
        <v>14</v>
      </c>
      <c r="B234" s="32">
        <f t="shared" si="1"/>
        <v>4</v>
      </c>
      <c r="C234" s="253" t="s">
        <v>858</v>
      </c>
      <c r="D234" s="254"/>
      <c r="E234" s="32" t="s">
        <v>1624</v>
      </c>
      <c r="F234" s="32" t="s">
        <v>871</v>
      </c>
      <c r="G234" s="210" t="s">
        <v>872</v>
      </c>
      <c r="H234" s="210" t="str">
        <f>_xlfn.CONCAT("'&lt;br&gt;','&lt;b&gt;','",F234, ": ','&lt;/b&gt;',",G234, ",'&lt;/br&gt;',")</f>
        <v>'&lt;br&gt;','&lt;b&gt;','O/E Macroinvertebrate Index : ','&lt;/b&gt;',OEratio ,'&lt;/br&gt;',</v>
      </c>
      <c r="I234" s="35" t="s">
        <v>1828</v>
      </c>
      <c r="J234" s="32" t="s">
        <v>265</v>
      </c>
      <c r="K234" s="35"/>
      <c r="L234" s="35"/>
      <c r="M234" s="12"/>
      <c r="O234" s="192" t="s">
        <v>873</v>
      </c>
      <c r="P234" s="192"/>
      <c r="Q234" s="192"/>
      <c r="R234" s="9"/>
      <c r="S234" s="9">
        <v>6847</v>
      </c>
      <c r="T234" s="9"/>
      <c r="U234" s="166"/>
      <c r="V234" s="9"/>
      <c r="W234" s="173" t="s">
        <v>874</v>
      </c>
      <c r="X234" s="13" t="s">
        <v>1741</v>
      </c>
      <c r="Y234" s="368"/>
      <c r="Z234" s="368"/>
      <c r="AA234" s="13" t="s">
        <v>875</v>
      </c>
      <c r="AB234" s="154" t="s">
        <v>371</v>
      </c>
      <c r="AC234" s="13" t="s">
        <v>161</v>
      </c>
      <c r="AD234" s="154">
        <v>0</v>
      </c>
      <c r="AE234" s="154" t="s">
        <v>876</v>
      </c>
      <c r="AF234" s="154" t="s">
        <v>80</v>
      </c>
      <c r="AG234" s="154"/>
      <c r="AH234" s="154">
        <v>6861</v>
      </c>
      <c r="AI234" s="379"/>
      <c r="AJ234" s="166"/>
      <c r="AK234" s="385" t="s">
        <v>2009</v>
      </c>
      <c r="AL234" s="12" t="s">
        <v>1719</v>
      </c>
      <c r="AM234" s="36"/>
      <c r="AN234" s="12" t="s">
        <v>1719</v>
      </c>
      <c r="AO234" s="36"/>
      <c r="AP234" s="36"/>
      <c r="AQ234" s="36"/>
      <c r="AR234" s="36"/>
      <c r="AS234" s="13" t="s">
        <v>1720</v>
      </c>
      <c r="AT234" s="13"/>
      <c r="AU234" s="13"/>
      <c r="AV234" s="13">
        <v>6847</v>
      </c>
      <c r="AW234" s="13" t="s">
        <v>2008</v>
      </c>
      <c r="AX234" s="166"/>
      <c r="AY234" s="9"/>
      <c r="AZ234" s="12"/>
      <c r="BA234" s="13"/>
      <c r="BB234" s="13"/>
      <c r="BC234" s="13"/>
      <c r="BD234" s="13"/>
      <c r="BE234" s="13"/>
      <c r="BF234" s="13">
        <v>6869</v>
      </c>
      <c r="BG234" s="13"/>
      <c r="BH234" s="13"/>
      <c r="BI234" s="13"/>
      <c r="BJ234" s="5">
        <f>COUNTIF(M234,"*")+COUNTIF(W234,"*")+COUNTIF(AL234,"*")+COUNTIF(AZ234,"*")</f>
        <v>2</v>
      </c>
    </row>
    <row r="235" spans="1:62" ht="13.8" hidden="1">
      <c r="A235" s="32"/>
      <c r="B235" s="32">
        <f t="shared" si="1"/>
        <v>5</v>
      </c>
      <c r="C235" s="253" t="s">
        <v>858</v>
      </c>
      <c r="D235" s="254"/>
      <c r="E235" s="32"/>
      <c r="F235" s="32" t="s">
        <v>1718</v>
      </c>
      <c r="G235" s="210"/>
      <c r="H235" s="210"/>
      <c r="I235" s="35"/>
      <c r="J235" s="32"/>
      <c r="K235" s="35"/>
      <c r="L235" s="35"/>
      <c r="M235" s="12"/>
      <c r="O235" s="192"/>
      <c r="P235" s="192"/>
      <c r="Q235" s="192"/>
      <c r="R235" s="9"/>
      <c r="S235" s="9"/>
      <c r="T235" s="9"/>
      <c r="U235" s="166"/>
      <c r="V235" s="9"/>
      <c r="W235" s="173"/>
      <c r="X235" s="13"/>
      <c r="Y235" s="368"/>
      <c r="Z235" s="368"/>
      <c r="AA235" s="13"/>
      <c r="AB235" s="387"/>
      <c r="AC235" s="13"/>
      <c r="AD235" s="387"/>
      <c r="AE235" s="387"/>
      <c r="AF235" s="387"/>
      <c r="AG235" s="387"/>
      <c r="AH235" s="387"/>
      <c r="AI235" s="387"/>
      <c r="AJ235" s="166"/>
      <c r="AK235" s="494"/>
      <c r="AL235" s="12" t="s">
        <v>1717</v>
      </c>
      <c r="AM235" s="36"/>
      <c r="AN235" s="12" t="s">
        <v>1717</v>
      </c>
      <c r="AO235" s="36"/>
      <c r="AP235" s="36"/>
      <c r="AQ235" s="36"/>
      <c r="AR235" s="36"/>
      <c r="AS235" s="13" t="s">
        <v>1718</v>
      </c>
      <c r="AT235" s="13"/>
      <c r="AU235" s="13"/>
      <c r="AV235" s="13"/>
      <c r="AW235" s="13"/>
      <c r="AX235" s="166"/>
      <c r="AY235" s="9"/>
      <c r="AZ235" s="12"/>
      <c r="BA235" s="13"/>
      <c r="BB235" s="13"/>
      <c r="BC235" s="13"/>
      <c r="BD235" s="13"/>
      <c r="BE235" s="13"/>
      <c r="BF235" s="13"/>
      <c r="BG235" s="13"/>
      <c r="BH235" s="13"/>
      <c r="BI235" s="13"/>
      <c r="BJ235" s="5">
        <f>COUNTIF(M235,"*")+COUNTIF(W235,"*")+COUNTIF(AL235,"*")+COUNTIF(AZ235,"*")</f>
        <v>1</v>
      </c>
    </row>
    <row r="236" spans="1:62" ht="27.6" hidden="1">
      <c r="A236" s="32">
        <v>14</v>
      </c>
      <c r="B236" s="32">
        <f t="shared" si="1"/>
        <v>6</v>
      </c>
      <c r="C236" s="253" t="s">
        <v>858</v>
      </c>
      <c r="D236" s="253"/>
      <c r="E236" s="32"/>
      <c r="F236" s="32" t="s">
        <v>877</v>
      </c>
      <c r="G236" s="210"/>
      <c r="H236" s="210"/>
      <c r="I236" s="35"/>
      <c r="J236" s="32"/>
      <c r="K236" s="35"/>
      <c r="L236" s="35"/>
      <c r="M236" s="12"/>
      <c r="N236" s="153"/>
      <c r="O236" s="13"/>
      <c r="P236" s="13"/>
      <c r="Q236" s="13"/>
      <c r="R236" s="13"/>
      <c r="S236" s="13"/>
      <c r="T236" s="13"/>
      <c r="U236" s="167"/>
      <c r="V236" s="13"/>
      <c r="W236" s="173" t="s">
        <v>878</v>
      </c>
      <c r="X236" s="13" t="s">
        <v>878</v>
      </c>
      <c r="Y236" s="153"/>
      <c r="Z236" s="153"/>
      <c r="AA236" s="13" t="s">
        <v>879</v>
      </c>
      <c r="AB236" s="154" t="s">
        <v>309</v>
      </c>
      <c r="AC236" s="154" t="s">
        <v>80</v>
      </c>
      <c r="AD236" s="154" t="s">
        <v>448</v>
      </c>
      <c r="AE236" s="154" t="s">
        <v>513</v>
      </c>
      <c r="AF236" s="154" t="s">
        <v>80</v>
      </c>
      <c r="AG236" s="154"/>
      <c r="AH236" s="154"/>
      <c r="AI236" s="379"/>
      <c r="AJ236" s="167"/>
      <c r="AK236" s="153"/>
      <c r="AL236" s="12"/>
      <c r="AM236" s="36"/>
      <c r="AN236" s="12"/>
      <c r="AO236" s="36"/>
      <c r="AP236" s="36"/>
      <c r="AQ236" s="36"/>
      <c r="AR236" s="36"/>
      <c r="AS236" s="13"/>
      <c r="AT236" s="13"/>
      <c r="AU236" s="13"/>
      <c r="AV236" s="13"/>
      <c r="AW236" s="13"/>
      <c r="AX236" s="167"/>
      <c r="AY236" s="13"/>
      <c r="AZ236" s="12"/>
      <c r="BA236" s="13"/>
      <c r="BB236" s="13"/>
      <c r="BC236" s="13"/>
      <c r="BD236" s="13"/>
      <c r="BE236" s="13"/>
      <c r="BF236" s="13"/>
      <c r="BG236" s="13"/>
      <c r="BH236" s="13"/>
      <c r="BI236" s="13"/>
      <c r="BJ236" s="5">
        <f>COUNTIF(M236,"*")+COUNTIF(W236,"*")+COUNTIF(AL236,"*")+COUNTIF(AZ236,"*")</f>
        <v>1</v>
      </c>
    </row>
    <row r="237" spans="1:62" ht="41.4" hidden="1">
      <c r="A237" s="32">
        <v>14</v>
      </c>
      <c r="B237" s="32">
        <f t="shared" si="1"/>
        <v>7</v>
      </c>
      <c r="C237" s="253" t="s">
        <v>858</v>
      </c>
      <c r="D237" s="253"/>
      <c r="E237" s="32" t="s">
        <v>1624</v>
      </c>
      <c r="F237" s="32" t="s">
        <v>880</v>
      </c>
      <c r="G237" s="210" t="s">
        <v>881</v>
      </c>
      <c r="H237" s="210" t="str">
        <f>_xlfn.CONCAT("'&lt;br&gt;','&lt;b&gt;','",F237, ": ','&lt;/b&gt;',",G237, ",'&lt;/br&gt;',")</f>
        <v>'&lt;br&gt;','&lt;b&gt;','Multimetric Macroinvertebrate Index : ','&lt;/b&gt;',MMI ,'&lt;/br&gt;',</v>
      </c>
      <c r="I237" s="35" t="s">
        <v>1829</v>
      </c>
      <c r="J237" s="32" t="s">
        <v>265</v>
      </c>
      <c r="K237" s="35"/>
      <c r="L237" s="35"/>
      <c r="M237" s="12"/>
      <c r="O237" s="13" t="s">
        <v>882</v>
      </c>
      <c r="P237" s="13"/>
      <c r="Q237" s="13"/>
      <c r="R237" s="13"/>
      <c r="S237" s="13">
        <v>6847</v>
      </c>
      <c r="T237" s="13"/>
      <c r="U237" s="167"/>
      <c r="V237" s="13"/>
      <c r="W237" s="173" t="s">
        <v>883</v>
      </c>
      <c r="X237" s="13" t="s">
        <v>1744</v>
      </c>
      <c r="Y237" s="153"/>
      <c r="Z237" s="153"/>
      <c r="AA237" s="13" t="s">
        <v>884</v>
      </c>
      <c r="AB237" s="154" t="s">
        <v>371</v>
      </c>
      <c r="AC237" s="154" t="s">
        <v>161</v>
      </c>
      <c r="AD237" s="154" t="s">
        <v>80</v>
      </c>
      <c r="AE237" s="154" t="s">
        <v>80</v>
      </c>
      <c r="AF237" s="154" t="s">
        <v>80</v>
      </c>
      <c r="AG237" s="154"/>
      <c r="AH237" s="154">
        <v>6861</v>
      </c>
      <c r="AI237" s="379"/>
      <c r="AJ237" s="167"/>
      <c r="AK237" s="384" t="s">
        <v>2009</v>
      </c>
      <c r="AL237" s="12" t="s">
        <v>1673</v>
      </c>
      <c r="AM237" s="36"/>
      <c r="AN237" s="12" t="s">
        <v>1673</v>
      </c>
      <c r="AO237" s="36"/>
      <c r="AP237" s="36"/>
      <c r="AQ237" s="36"/>
      <c r="AR237" s="36"/>
      <c r="AS237" s="13" t="s">
        <v>1674</v>
      </c>
      <c r="AT237" s="13"/>
      <c r="AU237" s="13"/>
      <c r="AV237" s="13">
        <v>6847</v>
      </c>
      <c r="AW237" s="13" t="s">
        <v>2008</v>
      </c>
      <c r="AX237" s="167"/>
      <c r="AY237" s="13"/>
      <c r="AZ237" s="12"/>
      <c r="BA237" s="13"/>
      <c r="BB237" s="13"/>
      <c r="BC237" s="13"/>
      <c r="BD237" s="13"/>
      <c r="BE237" s="13"/>
      <c r="BF237" s="13">
        <v>6869</v>
      </c>
      <c r="BG237" s="13"/>
      <c r="BH237" s="13"/>
      <c r="BI237" s="13"/>
      <c r="BJ237" s="5">
        <f>COUNTIF(M237,"*")+COUNTIF(W237,"*")+COUNTIF(AL237,"*")+COUNTIF(AZ237,"*")</f>
        <v>2</v>
      </c>
    </row>
    <row r="238" spans="1:62" ht="69" hidden="1">
      <c r="A238" s="32">
        <v>14</v>
      </c>
      <c r="B238" s="32">
        <f t="shared" si="1"/>
        <v>8</v>
      </c>
      <c r="C238" s="253" t="s">
        <v>858</v>
      </c>
      <c r="D238" s="253"/>
      <c r="E238" s="32"/>
      <c r="F238" s="32" t="s">
        <v>885</v>
      </c>
      <c r="G238" s="210"/>
      <c r="H238" s="210"/>
      <c r="I238" s="35"/>
      <c r="J238" s="32"/>
      <c r="K238" s="35"/>
      <c r="L238" s="35"/>
      <c r="M238" s="12"/>
      <c r="N238" s="163"/>
      <c r="O238" s="13"/>
      <c r="P238" s="13"/>
      <c r="Q238" s="13"/>
      <c r="R238" s="13"/>
      <c r="S238" s="13"/>
      <c r="T238" s="13"/>
      <c r="U238" s="167"/>
      <c r="V238" s="13"/>
      <c r="W238" s="173" t="s">
        <v>886</v>
      </c>
      <c r="X238" s="13" t="s">
        <v>886</v>
      </c>
      <c r="Y238" s="163"/>
      <c r="Z238" s="163"/>
      <c r="AA238" s="13" t="s">
        <v>887</v>
      </c>
      <c r="AB238" s="319" t="s">
        <v>80</v>
      </c>
      <c r="AC238" s="319" t="s">
        <v>80</v>
      </c>
      <c r="AD238" s="319" t="s">
        <v>80</v>
      </c>
      <c r="AE238" s="319" t="s">
        <v>80</v>
      </c>
      <c r="AF238" s="319" t="s">
        <v>80</v>
      </c>
      <c r="AG238" s="319"/>
      <c r="AH238" s="319"/>
      <c r="AI238" s="379"/>
      <c r="AJ238" s="167"/>
      <c r="AK238" s="163"/>
      <c r="AL238" s="12"/>
      <c r="AM238" s="36"/>
      <c r="AN238" s="12"/>
      <c r="AO238" s="36"/>
      <c r="AP238" s="36"/>
      <c r="AQ238" s="36"/>
      <c r="AR238" s="36"/>
      <c r="AS238" s="13"/>
      <c r="AT238" s="13"/>
      <c r="AU238" s="13"/>
      <c r="AV238" s="13"/>
      <c r="AW238" s="13"/>
      <c r="AX238" s="167"/>
      <c r="AY238" s="13"/>
      <c r="AZ238" s="12"/>
      <c r="BA238" s="13"/>
      <c r="BB238" s="13"/>
      <c r="BC238" s="13"/>
      <c r="BD238" s="13"/>
      <c r="BE238" s="13"/>
      <c r="BF238" s="13"/>
      <c r="BG238" s="13"/>
      <c r="BH238" s="13"/>
      <c r="BI238" s="13"/>
      <c r="BJ238" s="5">
        <f>COUNTIF(M238,"*")+COUNTIF(W238,"*")+COUNTIF(AL238,"*")+COUNTIF(AZ238,"*")</f>
        <v>1</v>
      </c>
    </row>
    <row r="239" spans="1:62" ht="14.4" hidden="1">
      <c r="A239" s="32">
        <v>14</v>
      </c>
      <c r="B239" s="32">
        <f t="shared" si="1"/>
        <v>9</v>
      </c>
      <c r="C239" s="253" t="s">
        <v>858</v>
      </c>
      <c r="D239" s="253"/>
      <c r="E239" s="32"/>
      <c r="F239" s="32" t="s">
        <v>888</v>
      </c>
      <c r="G239" s="210"/>
      <c r="H239" s="210"/>
      <c r="I239" s="35"/>
      <c r="J239" s="32"/>
      <c r="K239" s="35"/>
      <c r="L239" s="35"/>
      <c r="M239" s="12" t="s">
        <v>889</v>
      </c>
      <c r="N239" s="261"/>
      <c r="O239" s="501"/>
      <c r="P239" s="495"/>
      <c r="Q239" s="495"/>
      <c r="R239" s="34"/>
      <c r="S239" s="34"/>
      <c r="T239" s="34"/>
      <c r="U239" s="170"/>
      <c r="V239" s="34"/>
      <c r="W239" s="173"/>
      <c r="X239" s="13"/>
      <c r="Y239" s="13"/>
      <c r="Z239" s="13"/>
      <c r="AA239" s="13"/>
      <c r="AB239" s="262"/>
      <c r="AC239" s="262"/>
      <c r="AD239" s="262"/>
      <c r="AE239" s="262"/>
      <c r="AF239" s="262"/>
      <c r="AG239" s="262"/>
      <c r="AH239" s="262"/>
      <c r="AI239" s="379"/>
      <c r="AJ239" s="170"/>
      <c r="AK239" s="34"/>
      <c r="AL239" s="12"/>
      <c r="AM239" s="36"/>
      <c r="AN239" s="12"/>
      <c r="AO239" s="36"/>
      <c r="AP239" s="36"/>
      <c r="AQ239" s="13"/>
      <c r="AR239" s="13"/>
      <c r="AS239" s="13"/>
      <c r="AT239" s="13"/>
      <c r="AU239" s="13"/>
      <c r="AV239" s="13"/>
      <c r="AW239" s="13"/>
      <c r="AX239" s="170"/>
      <c r="AY239" s="34"/>
      <c r="AZ239" s="12"/>
      <c r="BA239" s="13"/>
      <c r="BB239" s="13"/>
      <c r="BC239" s="13"/>
      <c r="BD239" s="13"/>
      <c r="BE239" s="13"/>
      <c r="BF239" s="13"/>
      <c r="BG239" s="13"/>
      <c r="BH239" s="13"/>
      <c r="BI239" s="13"/>
      <c r="BJ239" s="5">
        <f>COUNTIF(M239,"*")+COUNTIF(W239,"*")+COUNTIF(AL239,"*")+COUNTIF(AZ239,"*")</f>
        <v>1</v>
      </c>
    </row>
    <row r="240" spans="1:62" ht="14.4" hidden="1">
      <c r="A240" s="32">
        <v>14</v>
      </c>
      <c r="B240" s="32">
        <f t="shared" si="1"/>
        <v>10</v>
      </c>
      <c r="C240" s="253" t="s">
        <v>858</v>
      </c>
      <c r="D240" s="253"/>
      <c r="E240" s="32"/>
      <c r="F240" s="32" t="s">
        <v>890</v>
      </c>
      <c r="G240" s="210"/>
      <c r="H240" s="210"/>
      <c r="I240" s="35"/>
      <c r="J240" s="32"/>
      <c r="K240" s="35"/>
      <c r="L240" s="35"/>
      <c r="M240" s="12" t="s">
        <v>891</v>
      </c>
      <c r="N240" s="261"/>
      <c r="O240" s="501"/>
      <c r="P240" s="495"/>
      <c r="Q240" s="495"/>
      <c r="R240" s="34"/>
      <c r="S240" s="34"/>
      <c r="T240" s="34"/>
      <c r="U240" s="170"/>
      <c r="V240" s="34"/>
      <c r="W240" s="173"/>
      <c r="X240" s="13"/>
      <c r="Y240" s="13"/>
      <c r="Z240" s="13"/>
      <c r="AA240" s="13"/>
      <c r="AB240" s="154"/>
      <c r="AC240" s="154"/>
      <c r="AD240" s="154"/>
      <c r="AE240" s="154"/>
      <c r="AF240" s="154"/>
      <c r="AG240" s="154"/>
      <c r="AH240" s="154"/>
      <c r="AI240" s="379"/>
      <c r="AJ240" s="170"/>
      <c r="AK240" s="34"/>
      <c r="AL240" s="12"/>
      <c r="AM240" s="36"/>
      <c r="AN240" s="12"/>
      <c r="AO240" s="36"/>
      <c r="AP240" s="36"/>
      <c r="AQ240" s="13"/>
      <c r="AR240" s="13"/>
      <c r="AS240" s="13"/>
      <c r="AT240" s="13"/>
      <c r="AU240" s="13"/>
      <c r="AV240" s="13"/>
      <c r="AW240" s="13"/>
      <c r="AX240" s="170"/>
      <c r="AY240" s="34"/>
      <c r="AZ240" s="12"/>
      <c r="BA240" s="13"/>
      <c r="BB240" s="13"/>
      <c r="BC240" s="13"/>
      <c r="BD240" s="13"/>
      <c r="BE240" s="13"/>
      <c r="BF240" s="13"/>
      <c r="BG240" s="13"/>
      <c r="BH240" s="13"/>
      <c r="BI240" s="13"/>
      <c r="BJ240" s="5">
        <f>COUNTIF(M240,"*")+COUNTIF(W240,"*")+COUNTIF(AL240,"*")+COUNTIF(AZ240,"*")</f>
        <v>1</v>
      </c>
    </row>
    <row r="241" spans="1:62" ht="55.2" hidden="1">
      <c r="A241" s="32">
        <v>14</v>
      </c>
      <c r="B241" s="32">
        <f t="shared" si="1"/>
        <v>11</v>
      </c>
      <c r="C241" s="253" t="s">
        <v>858</v>
      </c>
      <c r="D241" s="255"/>
      <c r="E241" s="32"/>
      <c r="F241" s="32" t="s">
        <v>892</v>
      </c>
      <c r="G241" s="210"/>
      <c r="H241" s="210"/>
      <c r="I241" s="35"/>
      <c r="J241" s="32"/>
      <c r="K241" s="35"/>
      <c r="L241" s="32"/>
      <c r="M241" s="12"/>
      <c r="N241" s="13"/>
      <c r="O241" s="13"/>
      <c r="P241" s="13"/>
      <c r="Q241" s="13"/>
      <c r="R241" s="13"/>
      <c r="S241" s="13"/>
      <c r="T241" s="13"/>
      <c r="U241" s="167"/>
      <c r="V241" s="13"/>
      <c r="W241" s="173" t="s">
        <v>893</v>
      </c>
      <c r="X241" s="13" t="s">
        <v>893</v>
      </c>
      <c r="Y241" s="13"/>
      <c r="Z241" s="13"/>
      <c r="AA241" s="13" t="s">
        <v>894</v>
      </c>
      <c r="AB241" s="154" t="s">
        <v>80</v>
      </c>
      <c r="AC241" s="154" t="s">
        <v>895</v>
      </c>
      <c r="AD241" s="154">
        <v>0</v>
      </c>
      <c r="AE241" s="154">
        <v>400</v>
      </c>
      <c r="AF241" s="154" t="s">
        <v>80</v>
      </c>
      <c r="AG241" s="154"/>
      <c r="AH241" s="154"/>
      <c r="AI241" s="379"/>
      <c r="AJ241" s="167"/>
      <c r="AK241" s="13"/>
      <c r="AL241" s="12"/>
      <c r="AM241" s="36"/>
      <c r="AN241" s="12"/>
      <c r="AO241" s="36"/>
      <c r="AP241" s="36"/>
      <c r="AQ241" s="13"/>
      <c r="AR241" s="13"/>
      <c r="AS241" s="13"/>
      <c r="AT241" s="13"/>
      <c r="AU241" s="13"/>
      <c r="AV241" s="13"/>
      <c r="AW241" s="13"/>
      <c r="AX241" s="167"/>
      <c r="AY241" s="13"/>
      <c r="AZ241" s="12"/>
      <c r="BA241" s="13"/>
      <c r="BB241" s="13"/>
      <c r="BC241" s="13"/>
      <c r="BD241" s="13"/>
      <c r="BE241" s="13"/>
      <c r="BF241" s="13"/>
      <c r="BG241" s="13"/>
      <c r="BH241" s="13"/>
      <c r="BI241" s="13"/>
      <c r="BJ241" s="5">
        <f>COUNTIF(M241,"*")+COUNTIF(W241,"*")+COUNTIF(AL241,"*")+COUNTIF(AZ241,"*")</f>
        <v>1</v>
      </c>
    </row>
    <row r="242" spans="1:62" ht="69" hidden="1">
      <c r="A242" s="32">
        <v>14</v>
      </c>
      <c r="B242" s="32">
        <f t="shared" si="1"/>
        <v>12</v>
      </c>
      <c r="C242" s="253" t="s">
        <v>858</v>
      </c>
      <c r="D242" s="253"/>
      <c r="E242" s="32"/>
      <c r="F242" s="32" t="s">
        <v>896</v>
      </c>
      <c r="G242" s="210"/>
      <c r="H242" s="210"/>
      <c r="I242" s="35"/>
      <c r="J242" s="32"/>
      <c r="K242" s="35"/>
      <c r="L242" s="32"/>
      <c r="M242" s="12"/>
      <c r="N242" s="13"/>
      <c r="O242" s="13"/>
      <c r="P242" s="13"/>
      <c r="Q242" s="13"/>
      <c r="R242" s="13"/>
      <c r="S242" s="13"/>
      <c r="T242" s="13"/>
      <c r="U242" s="167"/>
      <c r="V242" s="13"/>
      <c r="W242" s="173" t="s">
        <v>897</v>
      </c>
      <c r="X242" s="13" t="s">
        <v>897</v>
      </c>
      <c r="Y242" s="13"/>
      <c r="Z242" s="13"/>
      <c r="AA242" s="13" t="s">
        <v>898</v>
      </c>
      <c r="AB242" s="154" t="s">
        <v>80</v>
      </c>
      <c r="AC242" s="154" t="s">
        <v>80</v>
      </c>
      <c r="AD242" s="154" t="s">
        <v>899</v>
      </c>
      <c r="AE242" s="154" t="s">
        <v>900</v>
      </c>
      <c r="AF242" s="154" t="s">
        <v>80</v>
      </c>
      <c r="AG242" s="154"/>
      <c r="AH242" s="154"/>
      <c r="AI242" s="379"/>
      <c r="AJ242" s="167"/>
      <c r="AK242" s="13"/>
      <c r="AL242" s="12"/>
      <c r="AM242" s="36"/>
      <c r="AN242" s="12"/>
      <c r="AO242" s="36"/>
      <c r="AP242" s="36"/>
      <c r="AQ242" s="13"/>
      <c r="AR242" s="13"/>
      <c r="AS242" s="13"/>
      <c r="AT242" s="13"/>
      <c r="AU242" s="13"/>
      <c r="AV242" s="13"/>
      <c r="AW242" s="13"/>
      <c r="AX242" s="167"/>
      <c r="AY242" s="13"/>
      <c r="AZ242" s="12"/>
      <c r="BA242" s="13"/>
      <c r="BB242" s="13"/>
      <c r="BC242" s="13"/>
      <c r="BD242" s="13"/>
      <c r="BE242" s="13"/>
      <c r="BF242" s="13"/>
      <c r="BG242" s="13"/>
      <c r="BH242" s="13"/>
      <c r="BI242" s="13"/>
      <c r="BJ242" s="5">
        <f>COUNTIF(M242,"*")+COUNTIF(W242,"*")+COUNTIF(AL242,"*")+COUNTIF(AZ242,"*")</f>
        <v>1</v>
      </c>
    </row>
    <row r="243" spans="1:62" ht="14.4" hidden="1">
      <c r="A243" s="32">
        <v>14</v>
      </c>
      <c r="B243" s="32">
        <f t="shared" si="1"/>
        <v>13</v>
      </c>
      <c r="C243" s="253" t="s">
        <v>858</v>
      </c>
      <c r="D243" s="253"/>
      <c r="E243" s="32"/>
      <c r="F243" s="32" t="s">
        <v>901</v>
      </c>
      <c r="G243" s="210"/>
      <c r="H243" s="210"/>
      <c r="I243" s="35"/>
      <c r="J243" s="32"/>
      <c r="K243" s="35"/>
      <c r="L243" s="32"/>
      <c r="M243" s="12" t="s">
        <v>902</v>
      </c>
      <c r="N243" s="37"/>
      <c r="O243" s="132" t="s">
        <v>901</v>
      </c>
      <c r="P243" s="496" t="s">
        <v>903</v>
      </c>
      <c r="Q243" s="496"/>
      <c r="R243" s="37"/>
      <c r="S243" s="37"/>
      <c r="T243" s="37"/>
      <c r="U243" s="171"/>
      <c r="V243" s="37"/>
      <c r="W243" s="173"/>
      <c r="X243" s="13"/>
      <c r="Y243" s="13"/>
      <c r="Z243" s="13"/>
      <c r="AA243" s="13"/>
      <c r="AB243" s="154"/>
      <c r="AC243" s="154"/>
      <c r="AD243" s="154"/>
      <c r="AE243" s="154"/>
      <c r="AF243" s="154"/>
      <c r="AG243" s="154"/>
      <c r="AH243" s="154"/>
      <c r="AI243" s="379"/>
      <c r="AJ243" s="171"/>
      <c r="AK243" s="37"/>
      <c r="AL243" s="12"/>
      <c r="AM243" s="36"/>
      <c r="AN243" s="12"/>
      <c r="AO243" s="36"/>
      <c r="AP243" s="36"/>
      <c r="AQ243" s="13"/>
      <c r="AR243" s="13"/>
      <c r="AS243" s="13"/>
      <c r="AT243" s="13"/>
      <c r="AU243" s="13"/>
      <c r="AV243" s="13"/>
      <c r="AW243" s="13"/>
      <c r="AX243" s="171"/>
      <c r="AY243" s="37"/>
      <c r="AZ243" s="12"/>
      <c r="BA243" s="13"/>
      <c r="BB243" s="13"/>
      <c r="BC243" s="13"/>
      <c r="BD243" s="13"/>
      <c r="BE243" s="13"/>
      <c r="BF243" s="13"/>
      <c r="BG243" s="13"/>
      <c r="BH243" s="13"/>
      <c r="BI243" s="13"/>
      <c r="BJ243" s="5">
        <f>COUNTIF(M243,"*")+COUNTIF(W243,"*")+COUNTIF(AL243,"*")+COUNTIF(AZ243,"*")</f>
        <v>1</v>
      </c>
    </row>
    <row r="244" spans="1:62" ht="14.4" hidden="1">
      <c r="A244" s="32">
        <v>14</v>
      </c>
      <c r="B244" s="32">
        <f t="shared" si="1"/>
        <v>14</v>
      </c>
      <c r="C244" s="253" t="s">
        <v>858</v>
      </c>
      <c r="D244" s="253"/>
      <c r="E244" s="32"/>
      <c r="F244" s="32" t="s">
        <v>904</v>
      </c>
      <c r="G244" s="210"/>
      <c r="H244" s="210"/>
      <c r="I244" s="35"/>
      <c r="J244" s="32"/>
      <c r="K244" s="35"/>
      <c r="L244" s="32"/>
      <c r="M244" s="12" t="s">
        <v>905</v>
      </c>
      <c r="N244" s="37"/>
      <c r="O244" s="132" t="s">
        <v>904</v>
      </c>
      <c r="P244" s="496" t="s">
        <v>906</v>
      </c>
      <c r="Q244" s="496"/>
      <c r="R244" s="37"/>
      <c r="S244" s="37"/>
      <c r="T244" s="37"/>
      <c r="U244" s="171"/>
      <c r="V244" s="37"/>
      <c r="W244" s="173"/>
      <c r="X244" s="13"/>
      <c r="Y244" s="13"/>
      <c r="Z244" s="13"/>
      <c r="AA244" s="13"/>
      <c r="AB244" s="319"/>
      <c r="AC244" s="319"/>
      <c r="AD244" s="319"/>
      <c r="AE244" s="319"/>
      <c r="AF244" s="319"/>
      <c r="AG244" s="319"/>
      <c r="AH244" s="319"/>
      <c r="AI244" s="379"/>
      <c r="AJ244" s="171"/>
      <c r="AK244" s="37"/>
      <c r="AL244" s="12"/>
      <c r="AM244" s="36"/>
      <c r="AN244" s="12"/>
      <c r="AO244" s="36"/>
      <c r="AP244" s="36"/>
      <c r="AQ244" s="13"/>
      <c r="AR244" s="13"/>
      <c r="AS244" s="13"/>
      <c r="AT244" s="13"/>
      <c r="AU244" s="13"/>
      <c r="AV244" s="13"/>
      <c r="AW244" s="13"/>
      <c r="AX244" s="171"/>
      <c r="AY244" s="37"/>
      <c r="AZ244" s="12"/>
      <c r="BA244" s="13"/>
      <c r="BB244" s="13"/>
      <c r="BC244" s="13"/>
      <c r="BD244" s="13"/>
      <c r="BE244" s="13"/>
      <c r="BF244" s="13"/>
      <c r="BG244" s="13"/>
      <c r="BH244" s="13"/>
      <c r="BI244" s="13"/>
      <c r="BJ244" s="5">
        <f>COUNTIF(M244,"*")+COUNTIF(W244,"*")+COUNTIF(AL244,"*")+COUNTIF(AZ244,"*")</f>
        <v>1</v>
      </c>
    </row>
    <row r="245" spans="1:62" ht="14.4" hidden="1">
      <c r="A245" s="32">
        <v>14</v>
      </c>
      <c r="B245" s="32">
        <f t="shared" si="1"/>
        <v>15</v>
      </c>
      <c r="C245" s="253" t="s">
        <v>858</v>
      </c>
      <c r="D245" s="253"/>
      <c r="E245" s="32"/>
      <c r="F245" s="32" t="s">
        <v>907</v>
      </c>
      <c r="G245" s="210"/>
      <c r="H245" s="210"/>
      <c r="I245" s="35"/>
      <c r="J245" s="32"/>
      <c r="K245" s="35"/>
      <c r="L245" s="32"/>
      <c r="M245" s="12" t="s">
        <v>908</v>
      </c>
      <c r="N245" s="37"/>
      <c r="O245" s="132" t="s">
        <v>907</v>
      </c>
      <c r="P245" s="496" t="s">
        <v>909</v>
      </c>
      <c r="Q245" s="496"/>
      <c r="R245" s="37"/>
      <c r="S245" s="37"/>
      <c r="T245" s="37"/>
      <c r="U245" s="171"/>
      <c r="V245" s="37"/>
      <c r="W245" s="173"/>
      <c r="X245" s="13"/>
      <c r="Y245" s="13"/>
      <c r="Z245" s="13"/>
      <c r="AA245" s="13"/>
      <c r="AB245" s="154"/>
      <c r="AC245" s="154"/>
      <c r="AD245" s="154"/>
      <c r="AE245" s="154"/>
      <c r="AF245" s="154"/>
      <c r="AG245" s="154"/>
      <c r="AH245" s="154"/>
      <c r="AI245" s="379"/>
      <c r="AJ245" s="171"/>
      <c r="AK245" s="37"/>
      <c r="AL245" s="12"/>
      <c r="AM245" s="36"/>
      <c r="AN245" s="12"/>
      <c r="AO245" s="36"/>
      <c r="AP245" s="36"/>
      <c r="AQ245" s="13"/>
      <c r="AR245" s="13"/>
      <c r="AS245" s="13"/>
      <c r="AT245" s="13"/>
      <c r="AU245" s="13"/>
      <c r="AV245" s="13"/>
      <c r="AW245" s="13"/>
      <c r="AX245" s="171"/>
      <c r="AY245" s="37"/>
      <c r="AZ245" s="12"/>
      <c r="BA245" s="13"/>
      <c r="BB245" s="13"/>
      <c r="BC245" s="13"/>
      <c r="BD245" s="13"/>
      <c r="BE245" s="13"/>
      <c r="BF245" s="13"/>
      <c r="BG245" s="13"/>
      <c r="BH245" s="13"/>
      <c r="BI245" s="13"/>
      <c r="BJ245" s="5">
        <f>COUNTIF(M245,"*")+COUNTIF(W245,"*")+COUNTIF(AL245,"*")+COUNTIF(AZ245,"*")</f>
        <v>1</v>
      </c>
    </row>
    <row r="246" spans="1:62" ht="14.4" hidden="1">
      <c r="A246" s="32">
        <v>14</v>
      </c>
      <c r="B246" s="32">
        <f t="shared" si="1"/>
        <v>16</v>
      </c>
      <c r="C246" s="253" t="s">
        <v>858</v>
      </c>
      <c r="D246" s="253"/>
      <c r="E246" s="32"/>
      <c r="F246" s="32" t="s">
        <v>910</v>
      </c>
      <c r="G246" s="210"/>
      <c r="H246" s="210"/>
      <c r="I246" s="35"/>
      <c r="J246" s="32"/>
      <c r="K246" s="35"/>
      <c r="L246" s="32"/>
      <c r="M246" s="12" t="s">
        <v>911</v>
      </c>
      <c r="N246" s="37"/>
      <c r="O246" s="132" t="s">
        <v>910</v>
      </c>
      <c r="P246" s="496" t="s">
        <v>912</v>
      </c>
      <c r="Q246" s="496"/>
      <c r="R246" s="37"/>
      <c r="S246" s="37"/>
      <c r="T246" s="37"/>
      <c r="U246" s="171"/>
      <c r="V246" s="37"/>
      <c r="W246" s="173"/>
      <c r="X246" s="13"/>
      <c r="Y246" s="13"/>
      <c r="Z246" s="13"/>
      <c r="AA246" s="13"/>
      <c r="AB246" s="154"/>
      <c r="AC246" s="154"/>
      <c r="AD246" s="154"/>
      <c r="AE246" s="154"/>
      <c r="AF246" s="154"/>
      <c r="AG246" s="154"/>
      <c r="AH246" s="154"/>
      <c r="AI246" s="379"/>
      <c r="AJ246" s="171"/>
      <c r="AK246" s="37"/>
      <c r="AL246" s="12"/>
      <c r="AM246" s="36"/>
      <c r="AN246" s="12"/>
      <c r="AO246" s="36"/>
      <c r="AP246" s="36"/>
      <c r="AQ246" s="13"/>
      <c r="AR246" s="13"/>
      <c r="AS246" s="13"/>
      <c r="AT246" s="13"/>
      <c r="AU246" s="13"/>
      <c r="AV246" s="13"/>
      <c r="AW246" s="13"/>
      <c r="AX246" s="171"/>
      <c r="AY246" s="37"/>
      <c r="AZ246" s="12"/>
      <c r="BA246" s="13"/>
      <c r="BB246" s="13"/>
      <c r="BC246" s="13"/>
      <c r="BD246" s="13"/>
      <c r="BE246" s="13"/>
      <c r="BF246" s="13"/>
      <c r="BG246" s="13"/>
      <c r="BH246" s="13"/>
      <c r="BI246" s="13"/>
      <c r="BJ246" s="5">
        <f>COUNTIF(M246,"*")+COUNTIF(W246,"*")+COUNTIF(AL246,"*")+COUNTIF(AZ246,"*")</f>
        <v>1</v>
      </c>
    </row>
    <row r="247" spans="1:62" ht="28.8" hidden="1">
      <c r="A247" s="32">
        <v>14</v>
      </c>
      <c r="B247" s="32">
        <f t="shared" si="1"/>
        <v>17</v>
      </c>
      <c r="C247" s="253" t="s">
        <v>858</v>
      </c>
      <c r="D247" s="253"/>
      <c r="E247" s="32"/>
      <c r="F247" s="32" t="s">
        <v>913</v>
      </c>
      <c r="G247" s="210"/>
      <c r="H247" s="210"/>
      <c r="I247" s="35"/>
      <c r="J247" s="32"/>
      <c r="K247" s="35"/>
      <c r="L247" s="32"/>
      <c r="M247" s="12" t="s">
        <v>914</v>
      </c>
      <c r="N247" s="37"/>
      <c r="O247" s="502" t="s">
        <v>913</v>
      </c>
      <c r="P247" s="497" t="s">
        <v>915</v>
      </c>
      <c r="Q247" s="497"/>
      <c r="R247" s="38"/>
      <c r="S247" s="38"/>
      <c r="T247" s="38"/>
      <c r="U247" s="172"/>
      <c r="V247" s="38"/>
      <c r="W247" s="173"/>
      <c r="X247" s="13"/>
      <c r="Y247" s="13"/>
      <c r="Z247" s="13"/>
      <c r="AA247" s="13"/>
      <c r="AB247" s="154"/>
      <c r="AC247" s="154"/>
      <c r="AD247" s="154"/>
      <c r="AE247" s="154"/>
      <c r="AF247" s="154"/>
      <c r="AG247" s="154"/>
      <c r="AH247" s="154"/>
      <c r="AI247" s="379"/>
      <c r="AJ247" s="172"/>
      <c r="AK247" s="38"/>
      <c r="AL247" s="12"/>
      <c r="AM247" s="36"/>
      <c r="AN247" s="12"/>
      <c r="AO247" s="36"/>
      <c r="AP247" s="36"/>
      <c r="AQ247" s="13"/>
      <c r="AR247" s="13"/>
      <c r="AS247" s="13"/>
      <c r="AT247" s="13"/>
      <c r="AU247" s="13"/>
      <c r="AV247" s="13"/>
      <c r="AW247" s="13"/>
      <c r="AX247" s="172"/>
      <c r="AY247" s="38"/>
      <c r="AZ247" s="12"/>
      <c r="BA247" s="13"/>
      <c r="BB247" s="13"/>
      <c r="BC247" s="13"/>
      <c r="BD247" s="13"/>
      <c r="BE247" s="13"/>
      <c r="BF247" s="13"/>
      <c r="BG247" s="13"/>
      <c r="BH247" s="13"/>
      <c r="BI247" s="13"/>
      <c r="BJ247" s="5">
        <f>COUNTIF(M247,"*")+COUNTIF(W247,"*")+COUNTIF(AL247,"*")+COUNTIF(AZ247,"*")</f>
        <v>1</v>
      </c>
    </row>
    <row r="248" spans="1:62" ht="27.6" hidden="1">
      <c r="A248" s="32">
        <v>14</v>
      </c>
      <c r="B248" s="32">
        <f t="shared" si="1"/>
        <v>18</v>
      </c>
      <c r="C248" s="253" t="s">
        <v>858</v>
      </c>
      <c r="D248" s="253"/>
      <c r="E248" s="32"/>
      <c r="F248" s="32" t="s">
        <v>916</v>
      </c>
      <c r="G248" s="210" t="s">
        <v>917</v>
      </c>
      <c r="H248" s="210"/>
      <c r="I248" s="35"/>
      <c r="J248" s="32" t="s">
        <v>1976</v>
      </c>
      <c r="K248" s="35"/>
      <c r="L248" s="32"/>
      <c r="M248" s="12" t="s">
        <v>918</v>
      </c>
      <c r="N248" s="13"/>
      <c r="O248" s="13" t="s">
        <v>919</v>
      </c>
      <c r="P248" s="13" t="s">
        <v>920</v>
      </c>
      <c r="Q248" s="13"/>
      <c r="R248" s="13"/>
      <c r="S248" s="13"/>
      <c r="T248" s="13"/>
      <c r="U248" s="167"/>
      <c r="V248" s="13"/>
      <c r="W248" s="173"/>
      <c r="X248" s="13"/>
      <c r="Y248" s="13"/>
      <c r="Z248" s="13"/>
      <c r="AA248" s="13"/>
      <c r="AB248" s="154"/>
      <c r="AC248" s="154"/>
      <c r="AD248" s="154"/>
      <c r="AE248" s="154"/>
      <c r="AF248" s="154"/>
      <c r="AG248" s="154"/>
      <c r="AH248" s="154"/>
      <c r="AI248" s="379"/>
      <c r="AJ248" s="167"/>
      <c r="AK248" s="13"/>
      <c r="AL248" s="12"/>
      <c r="AM248" s="36"/>
      <c r="AN248" s="12"/>
      <c r="AO248" s="36"/>
      <c r="AP248" s="36"/>
      <c r="AQ248" s="13"/>
      <c r="AR248" s="13"/>
      <c r="AS248" s="13"/>
      <c r="AT248" s="13"/>
      <c r="AU248" s="13"/>
      <c r="AV248" s="13"/>
      <c r="AW248" s="13"/>
      <c r="AX248" s="167"/>
      <c r="AY248" s="13"/>
      <c r="AZ248" s="12" t="s">
        <v>916</v>
      </c>
      <c r="BA248" s="13" t="s">
        <v>921</v>
      </c>
      <c r="BB248" s="13"/>
      <c r="BC248" s="13"/>
      <c r="BD248" s="13" t="s">
        <v>922</v>
      </c>
      <c r="BE248" s="13" t="s">
        <v>80</v>
      </c>
      <c r="BF248" s="13"/>
      <c r="BG248" s="13"/>
      <c r="BH248" s="13"/>
      <c r="BI248" s="13"/>
      <c r="BJ248" s="5">
        <f>COUNTIF(M248,"*")+COUNTIF(W248,"*")+COUNTIF(AL248,"*")+COUNTIF(AZ248,"*")</f>
        <v>2</v>
      </c>
    </row>
    <row r="249" spans="1:62" ht="28.8" hidden="1">
      <c r="A249" s="32">
        <v>14</v>
      </c>
      <c r="B249" s="32">
        <f t="shared" si="1"/>
        <v>19</v>
      </c>
      <c r="C249" s="253" t="s">
        <v>858</v>
      </c>
      <c r="D249" s="253"/>
      <c r="E249" s="32"/>
      <c r="F249" s="32" t="s">
        <v>923</v>
      </c>
      <c r="G249" s="210"/>
      <c r="H249" s="210"/>
      <c r="I249" s="35"/>
      <c r="J249" s="32"/>
      <c r="K249" s="35"/>
      <c r="L249" s="32"/>
      <c r="M249" s="12" t="s">
        <v>924</v>
      </c>
      <c r="N249" s="261"/>
      <c r="O249" s="132" t="s">
        <v>923</v>
      </c>
      <c r="P249" s="496" t="s">
        <v>925</v>
      </c>
      <c r="Q249" s="496"/>
      <c r="R249" s="37"/>
      <c r="S249" s="37"/>
      <c r="T249" s="37"/>
      <c r="U249" s="171"/>
      <c r="V249" s="37"/>
      <c r="W249" s="173"/>
      <c r="X249" s="13"/>
      <c r="Y249" s="13"/>
      <c r="Z249" s="13"/>
      <c r="AA249" s="13"/>
      <c r="AB249" s="319"/>
      <c r="AC249" s="319"/>
      <c r="AD249" s="319"/>
      <c r="AE249" s="319"/>
      <c r="AF249" s="319"/>
      <c r="AG249" s="319"/>
      <c r="AH249" s="319"/>
      <c r="AI249" s="379"/>
      <c r="AJ249" s="171"/>
      <c r="AK249" s="37"/>
      <c r="AL249" s="12"/>
      <c r="AM249" s="36"/>
      <c r="AN249" s="12"/>
      <c r="AO249" s="36"/>
      <c r="AP249" s="36"/>
      <c r="AQ249" s="13"/>
      <c r="AR249" s="13"/>
      <c r="AS249" s="13"/>
      <c r="AT249" s="13"/>
      <c r="AU249" s="13"/>
      <c r="AV249" s="13"/>
      <c r="AW249" s="13"/>
      <c r="AX249" s="171"/>
      <c r="AY249" s="37"/>
      <c r="AZ249" s="12"/>
      <c r="BA249" s="13"/>
      <c r="BB249" s="13"/>
      <c r="BC249" s="13"/>
      <c r="BD249" s="13"/>
      <c r="BE249" s="13"/>
      <c r="BF249" s="13"/>
      <c r="BG249" s="13"/>
      <c r="BH249" s="13"/>
      <c r="BI249" s="13"/>
      <c r="BJ249" s="5">
        <f>COUNTIF(M249,"*")+COUNTIF(W249,"*")+COUNTIF(AL249,"*")+COUNTIF(AZ249,"*")</f>
        <v>1</v>
      </c>
    </row>
    <row r="250" spans="1:62" ht="28.8" hidden="1">
      <c r="A250" s="32">
        <v>14</v>
      </c>
      <c r="B250" s="32">
        <f t="shared" si="1"/>
        <v>20</v>
      </c>
      <c r="C250" s="253" t="s">
        <v>858</v>
      </c>
      <c r="D250" s="253"/>
      <c r="E250" s="32"/>
      <c r="F250" s="32" t="s">
        <v>926</v>
      </c>
      <c r="G250" s="210"/>
      <c r="H250" s="210"/>
      <c r="I250" s="35"/>
      <c r="J250" s="32"/>
      <c r="K250" s="35"/>
      <c r="L250" s="32"/>
      <c r="M250" s="12" t="s">
        <v>927</v>
      </c>
      <c r="N250" s="261"/>
      <c r="O250" s="132" t="s">
        <v>926</v>
      </c>
      <c r="P250" s="496" t="s">
        <v>928</v>
      </c>
      <c r="Q250" s="496"/>
      <c r="R250" s="37"/>
      <c r="S250" s="37"/>
      <c r="T250" s="37"/>
      <c r="U250" s="171"/>
      <c r="V250" s="37"/>
      <c r="W250" s="173"/>
      <c r="X250" s="13"/>
      <c r="Y250" s="13"/>
      <c r="Z250" s="13"/>
      <c r="AA250" s="13"/>
      <c r="AB250" s="154"/>
      <c r="AC250" s="154"/>
      <c r="AD250" s="154"/>
      <c r="AE250" s="154"/>
      <c r="AF250" s="154"/>
      <c r="AG250" s="154"/>
      <c r="AH250" s="154"/>
      <c r="AI250" s="379"/>
      <c r="AJ250" s="171"/>
      <c r="AK250" s="37"/>
      <c r="AL250" s="12" t="s">
        <v>1706</v>
      </c>
      <c r="AM250" s="36"/>
      <c r="AN250" s="12" t="s">
        <v>1706</v>
      </c>
      <c r="AO250" s="36"/>
      <c r="AP250" s="36"/>
      <c r="AQ250" s="13"/>
      <c r="AR250" s="13"/>
      <c r="AS250" s="13" t="s">
        <v>1707</v>
      </c>
      <c r="AT250" s="13"/>
      <c r="AU250" s="13"/>
      <c r="AV250" s="13"/>
      <c r="AW250" s="13"/>
      <c r="AX250" s="171"/>
      <c r="AY250" s="37"/>
      <c r="AZ250" s="12"/>
      <c r="BA250" s="13"/>
      <c r="BB250" s="13"/>
      <c r="BC250" s="13"/>
      <c r="BD250" s="13"/>
      <c r="BE250" s="13"/>
      <c r="BF250" s="13"/>
      <c r="BG250" s="13"/>
      <c r="BH250" s="13"/>
      <c r="BI250" s="13"/>
      <c r="BJ250" s="5">
        <f>COUNTIF(M250,"*")+COUNTIF(W250,"*")+COUNTIF(AL250,"*")+COUNTIF(AZ250,"*")</f>
        <v>2</v>
      </c>
    </row>
    <row r="251" spans="1:62" ht="27.6" hidden="1">
      <c r="A251" s="32"/>
      <c r="B251" s="32">
        <f t="shared" si="1"/>
        <v>21</v>
      </c>
      <c r="C251" s="253" t="s">
        <v>858</v>
      </c>
      <c r="D251" s="253"/>
      <c r="E251" s="32"/>
      <c r="F251" s="32" t="s">
        <v>1703</v>
      </c>
      <c r="G251" s="210"/>
      <c r="H251" s="210"/>
      <c r="I251" s="32"/>
      <c r="J251" s="32"/>
      <c r="K251" s="35"/>
      <c r="L251" s="32"/>
      <c r="M251" s="12"/>
      <c r="N251" s="261"/>
      <c r="O251" s="132"/>
      <c r="P251" s="496"/>
      <c r="Q251" s="496"/>
      <c r="R251" s="37"/>
      <c r="S251" s="37"/>
      <c r="T251" s="37"/>
      <c r="U251" s="171"/>
      <c r="V251" s="37"/>
      <c r="W251" s="173"/>
      <c r="X251" s="13"/>
      <c r="Y251" s="13"/>
      <c r="Z251" s="13"/>
      <c r="AA251" s="13"/>
      <c r="AB251" s="387"/>
      <c r="AC251" s="387"/>
      <c r="AD251" s="387"/>
      <c r="AE251" s="387"/>
      <c r="AF251" s="387"/>
      <c r="AG251" s="387"/>
      <c r="AH251" s="387"/>
      <c r="AI251" s="387"/>
      <c r="AJ251" s="171"/>
      <c r="AK251" s="37"/>
      <c r="AL251" s="12" t="s">
        <v>1702</v>
      </c>
      <c r="AM251" s="13"/>
      <c r="AN251" s="12" t="s">
        <v>1702</v>
      </c>
      <c r="AO251" s="13"/>
      <c r="AP251" s="13"/>
      <c r="AQ251" s="13"/>
      <c r="AR251" s="13"/>
      <c r="AS251" s="13" t="s">
        <v>1703</v>
      </c>
      <c r="AT251" s="13"/>
      <c r="AU251" s="13"/>
      <c r="AV251" s="13"/>
      <c r="AW251" s="13"/>
      <c r="AX251" s="171"/>
      <c r="AY251" s="37"/>
      <c r="AZ251" s="12"/>
      <c r="BA251" s="13"/>
      <c r="BB251" s="13"/>
      <c r="BC251" s="13"/>
      <c r="BD251" s="13"/>
      <c r="BE251" s="13"/>
      <c r="BF251" s="13"/>
      <c r="BG251" s="13"/>
      <c r="BH251" s="13"/>
      <c r="BI251" s="13"/>
      <c r="BJ251" s="5">
        <f>COUNTIF(M251,"*")+COUNTIF(W251,"*")+COUNTIF(AL251,"*")+COUNTIF(AZ251,"*")</f>
        <v>1</v>
      </c>
    </row>
    <row r="252" spans="1:62" ht="14.4" hidden="1">
      <c r="A252" s="32"/>
      <c r="B252" s="32">
        <f t="shared" si="1"/>
        <v>22</v>
      </c>
      <c r="C252" s="253" t="s">
        <v>858</v>
      </c>
      <c r="D252" s="253"/>
      <c r="E252" s="32"/>
      <c r="F252" s="32" t="s">
        <v>1705</v>
      </c>
      <c r="G252" s="210"/>
      <c r="H252" s="210"/>
      <c r="I252" s="32"/>
      <c r="J252" s="32"/>
      <c r="K252" s="32"/>
      <c r="L252" s="32"/>
      <c r="M252" s="12"/>
      <c r="N252" s="261"/>
      <c r="O252" s="132"/>
      <c r="P252" s="496"/>
      <c r="Q252" s="496"/>
      <c r="R252" s="37"/>
      <c r="S252" s="37"/>
      <c r="T252" s="37"/>
      <c r="U252" s="171"/>
      <c r="V252" s="37"/>
      <c r="W252" s="173"/>
      <c r="X252" s="13"/>
      <c r="Y252" s="13"/>
      <c r="Z252" s="13"/>
      <c r="AA252" s="13"/>
      <c r="AB252" s="387"/>
      <c r="AC252" s="387"/>
      <c r="AD252" s="387"/>
      <c r="AE252" s="387"/>
      <c r="AF252" s="387"/>
      <c r="AG252" s="387"/>
      <c r="AH252" s="387"/>
      <c r="AI252" s="387"/>
      <c r="AJ252" s="171"/>
      <c r="AK252" s="37"/>
      <c r="AL252" s="12" t="s">
        <v>1704</v>
      </c>
      <c r="AM252" s="13"/>
      <c r="AN252" s="12" t="s">
        <v>1704</v>
      </c>
      <c r="AO252" s="13"/>
      <c r="AP252" s="13"/>
      <c r="AQ252" s="13"/>
      <c r="AR252" s="13"/>
      <c r="AS252" s="13" t="s">
        <v>1705</v>
      </c>
      <c r="AT252" s="13"/>
      <c r="AU252" s="13"/>
      <c r="AV252" s="13"/>
      <c r="AW252" s="13"/>
      <c r="AX252" s="171"/>
      <c r="AY252" s="37"/>
      <c r="AZ252" s="12"/>
      <c r="BA252" s="13"/>
      <c r="BB252" s="13"/>
      <c r="BC252" s="13"/>
      <c r="BD252" s="13"/>
      <c r="BE252" s="13"/>
      <c r="BF252" s="13"/>
      <c r="BG252" s="13"/>
      <c r="BH252" s="13"/>
      <c r="BI252" s="13"/>
      <c r="BJ252" s="5">
        <f>COUNTIF(M252,"*")+COUNTIF(W252,"*")+COUNTIF(AL252,"*")+COUNTIF(AZ252,"*")</f>
        <v>1</v>
      </c>
    </row>
    <row r="253" spans="1:62" ht="14.4" hidden="1">
      <c r="A253" s="32"/>
      <c r="B253" s="32">
        <f t="shared" si="1"/>
        <v>23</v>
      </c>
      <c r="C253" s="253" t="s">
        <v>858</v>
      </c>
      <c r="D253" s="253"/>
      <c r="E253" s="32"/>
      <c r="F253" s="32" t="s">
        <v>1687</v>
      </c>
      <c r="G253" s="210"/>
      <c r="H253" s="210"/>
      <c r="I253" s="32"/>
      <c r="J253" s="32"/>
      <c r="K253" s="32"/>
      <c r="L253" s="32"/>
      <c r="M253" s="12"/>
      <c r="N253" s="261"/>
      <c r="O253" s="132"/>
      <c r="P253" s="496"/>
      <c r="Q253" s="496"/>
      <c r="R253" s="37"/>
      <c r="S253" s="37"/>
      <c r="T253" s="37"/>
      <c r="U253" s="171"/>
      <c r="V253" s="37"/>
      <c r="W253" s="173"/>
      <c r="X253" s="13"/>
      <c r="Y253" s="13"/>
      <c r="Z253" s="13"/>
      <c r="AA253" s="13"/>
      <c r="AB253" s="387"/>
      <c r="AC253" s="387"/>
      <c r="AD253" s="387"/>
      <c r="AE253" s="387"/>
      <c r="AF253" s="387"/>
      <c r="AG253" s="387"/>
      <c r="AH253" s="387"/>
      <c r="AI253" s="387"/>
      <c r="AJ253" s="171"/>
      <c r="AK253" s="37"/>
      <c r="AL253" s="12" t="s">
        <v>1686</v>
      </c>
      <c r="AM253" s="13"/>
      <c r="AN253" s="12" t="s">
        <v>1686</v>
      </c>
      <c r="AO253" s="13"/>
      <c r="AP253" s="13"/>
      <c r="AQ253" s="13"/>
      <c r="AR253" s="13"/>
      <c r="AS253" s="13" t="s">
        <v>1687</v>
      </c>
      <c r="AT253" s="13"/>
      <c r="AU253" s="13"/>
      <c r="AV253" s="13"/>
      <c r="AW253" s="13"/>
      <c r="AX253" s="171"/>
      <c r="AY253" s="37"/>
      <c r="AZ253" s="12"/>
      <c r="BA253" s="13"/>
      <c r="BB253" s="13"/>
      <c r="BC253" s="13"/>
      <c r="BD253" s="13"/>
      <c r="BE253" s="13"/>
      <c r="BF253" s="13"/>
      <c r="BG253" s="13"/>
      <c r="BH253" s="13"/>
      <c r="BI253" s="13"/>
      <c r="BJ253" s="5">
        <f>COUNTIF(M253,"*")+COUNTIF(W253,"*")+COUNTIF(AL253,"*")+COUNTIF(AZ253,"*")</f>
        <v>1</v>
      </c>
    </row>
    <row r="254" spans="1:62" ht="14.4" hidden="1">
      <c r="A254" s="32"/>
      <c r="B254" s="32">
        <f t="shared" si="1"/>
        <v>24</v>
      </c>
      <c r="C254" s="253" t="s">
        <v>858</v>
      </c>
      <c r="D254" s="253"/>
      <c r="E254" s="32"/>
      <c r="F254" s="32" t="s">
        <v>1689</v>
      </c>
      <c r="G254" s="210"/>
      <c r="H254" s="210"/>
      <c r="I254" s="32"/>
      <c r="J254" s="32"/>
      <c r="K254" s="32"/>
      <c r="L254" s="32"/>
      <c r="M254" s="12"/>
      <c r="N254" s="261"/>
      <c r="O254" s="132"/>
      <c r="P254" s="496"/>
      <c r="Q254" s="496"/>
      <c r="R254" s="37"/>
      <c r="S254" s="37"/>
      <c r="T254" s="37"/>
      <c r="U254" s="171"/>
      <c r="V254" s="37"/>
      <c r="W254" s="173"/>
      <c r="X254" s="13"/>
      <c r="Y254" s="13"/>
      <c r="Z254" s="13"/>
      <c r="AA254" s="13"/>
      <c r="AB254" s="387"/>
      <c r="AC254" s="387"/>
      <c r="AD254" s="387"/>
      <c r="AE254" s="387"/>
      <c r="AF254" s="387"/>
      <c r="AG254" s="387"/>
      <c r="AH254" s="387"/>
      <c r="AI254" s="387"/>
      <c r="AJ254" s="171"/>
      <c r="AK254" s="37"/>
      <c r="AL254" s="12" t="s">
        <v>1688</v>
      </c>
      <c r="AM254" s="13"/>
      <c r="AN254" s="12" t="s">
        <v>1688</v>
      </c>
      <c r="AO254" s="13"/>
      <c r="AP254" s="13"/>
      <c r="AQ254" s="13"/>
      <c r="AR254" s="13"/>
      <c r="AS254" s="13" t="s">
        <v>1689</v>
      </c>
      <c r="AT254" s="13"/>
      <c r="AU254" s="13"/>
      <c r="AV254" s="13"/>
      <c r="AW254" s="13"/>
      <c r="AX254" s="171"/>
      <c r="AY254" s="37"/>
      <c r="AZ254" s="12"/>
      <c r="BA254" s="13"/>
      <c r="BB254" s="13"/>
      <c r="BC254" s="13"/>
      <c r="BD254" s="13"/>
      <c r="BE254" s="13"/>
      <c r="BF254" s="13"/>
      <c r="BG254" s="13"/>
      <c r="BH254" s="13"/>
      <c r="BI254" s="13"/>
      <c r="BJ254" s="5">
        <f>COUNTIF(M254,"*")+COUNTIF(W254,"*")+COUNTIF(AL254,"*")+COUNTIF(AZ254,"*")</f>
        <v>1</v>
      </c>
    </row>
    <row r="255" spans="1:62" ht="28.8" hidden="1">
      <c r="A255" s="32">
        <v>14</v>
      </c>
      <c r="B255" s="32">
        <f t="shared" si="1"/>
        <v>25</v>
      </c>
      <c r="C255" s="253" t="s">
        <v>858</v>
      </c>
      <c r="D255" s="253"/>
      <c r="E255" s="32"/>
      <c r="F255" s="32" t="s">
        <v>929</v>
      </c>
      <c r="G255" s="210"/>
      <c r="H255" s="210"/>
      <c r="I255" s="32"/>
      <c r="J255" s="32"/>
      <c r="K255" s="32"/>
      <c r="L255" s="32"/>
      <c r="M255" s="12" t="s">
        <v>930</v>
      </c>
      <c r="N255" s="261"/>
      <c r="O255" s="132" t="s">
        <v>929</v>
      </c>
      <c r="P255" s="496" t="s">
        <v>931</v>
      </c>
      <c r="Q255" s="496"/>
      <c r="R255" s="37"/>
      <c r="S255" s="37"/>
      <c r="T255" s="37"/>
      <c r="U255" s="171"/>
      <c r="V255" s="37"/>
      <c r="W255" s="173"/>
      <c r="X255" s="13"/>
      <c r="Y255" s="13"/>
      <c r="Z255" s="13"/>
      <c r="AA255" s="13"/>
      <c r="AB255" s="319"/>
      <c r="AC255" s="319"/>
      <c r="AD255" s="319"/>
      <c r="AE255" s="319"/>
      <c r="AF255" s="319"/>
      <c r="AG255" s="319"/>
      <c r="AH255" s="319"/>
      <c r="AI255" s="379"/>
      <c r="AJ255" s="171"/>
      <c r="AK255" s="37"/>
      <c r="AL255" s="12"/>
      <c r="AM255" s="13"/>
      <c r="AN255" s="12"/>
      <c r="AO255" s="13"/>
      <c r="AP255" s="13"/>
      <c r="AQ255" s="13"/>
      <c r="AR255" s="13"/>
      <c r="AS255" s="13"/>
      <c r="AT255" s="13"/>
      <c r="AU255" s="13"/>
      <c r="AV255" s="13"/>
      <c r="AW255" s="13"/>
      <c r="AX255" s="171"/>
      <c r="AY255" s="37"/>
      <c r="AZ255" s="12"/>
      <c r="BA255" s="13"/>
      <c r="BB255" s="13"/>
      <c r="BC255" s="13"/>
      <c r="BD255" s="13"/>
      <c r="BE255" s="13"/>
      <c r="BF255" s="13"/>
      <c r="BG255" s="13"/>
      <c r="BH255" s="13"/>
      <c r="BI255" s="13"/>
      <c r="BJ255" s="5">
        <f>COUNTIF(M255,"*")+COUNTIF(W255,"*")+COUNTIF(AL255,"*")+COUNTIF(AZ255,"*")</f>
        <v>1</v>
      </c>
    </row>
    <row r="256" spans="1:62" ht="14.4" hidden="1">
      <c r="A256" s="32">
        <v>14</v>
      </c>
      <c r="B256" s="32">
        <f t="shared" si="1"/>
        <v>26</v>
      </c>
      <c r="C256" s="253" t="s">
        <v>858</v>
      </c>
      <c r="D256" s="253"/>
      <c r="E256" s="32"/>
      <c r="F256" s="32" t="s">
        <v>932</v>
      </c>
      <c r="G256" s="210"/>
      <c r="H256" s="210"/>
      <c r="I256" s="32"/>
      <c r="J256" s="32"/>
      <c r="K256" s="32"/>
      <c r="L256" s="32"/>
      <c r="M256" s="12" t="s">
        <v>933</v>
      </c>
      <c r="N256" s="261"/>
      <c r="O256" s="132" t="s">
        <v>932</v>
      </c>
      <c r="P256" s="496" t="s">
        <v>934</v>
      </c>
      <c r="Q256" s="496"/>
      <c r="R256" s="37"/>
      <c r="S256" s="37"/>
      <c r="T256" s="37"/>
      <c r="U256" s="171"/>
      <c r="V256" s="37"/>
      <c r="W256" s="173"/>
      <c r="X256" s="13"/>
      <c r="Y256" s="13"/>
      <c r="Z256" s="13"/>
      <c r="AA256" s="13"/>
      <c r="AB256" s="154"/>
      <c r="AC256" s="154"/>
      <c r="AD256" s="154"/>
      <c r="AE256" s="154"/>
      <c r="AF256" s="154"/>
      <c r="AG256" s="154"/>
      <c r="AH256" s="154"/>
      <c r="AI256" s="379"/>
      <c r="AJ256" s="171"/>
      <c r="AK256" s="37"/>
      <c r="AL256" s="12"/>
      <c r="AM256" s="13"/>
      <c r="AN256" s="12"/>
      <c r="AO256" s="13"/>
      <c r="AP256" s="13"/>
      <c r="AQ256" s="13"/>
      <c r="AR256" s="13"/>
      <c r="AS256" s="13"/>
      <c r="AT256" s="13"/>
      <c r="AU256" s="13"/>
      <c r="AV256" s="13"/>
      <c r="AW256" s="13"/>
      <c r="AX256" s="171"/>
      <c r="AY256" s="37"/>
      <c r="AZ256" s="12"/>
      <c r="BA256" s="13"/>
      <c r="BB256" s="13"/>
      <c r="BC256" s="13"/>
      <c r="BD256" s="13"/>
      <c r="BE256" s="13"/>
      <c r="BF256" s="13"/>
      <c r="BG256" s="13"/>
      <c r="BH256" s="13"/>
      <c r="BI256" s="13"/>
      <c r="BJ256" s="5">
        <f>COUNTIF(M256,"*")+COUNTIF(W256,"*")+COUNTIF(AL256,"*")+COUNTIF(AZ256,"*")</f>
        <v>1</v>
      </c>
    </row>
    <row r="257" spans="1:62" ht="14.4" hidden="1">
      <c r="A257" s="32">
        <v>14</v>
      </c>
      <c r="B257" s="32">
        <f t="shared" si="1"/>
        <v>27</v>
      </c>
      <c r="C257" s="253" t="s">
        <v>858</v>
      </c>
      <c r="D257" s="253"/>
      <c r="E257" s="32"/>
      <c r="F257" s="32" t="s">
        <v>935</v>
      </c>
      <c r="G257" s="210"/>
      <c r="H257" s="210"/>
      <c r="I257" s="32"/>
      <c r="J257" s="32"/>
      <c r="K257" s="32"/>
      <c r="L257" s="32"/>
      <c r="M257" s="12" t="s">
        <v>936</v>
      </c>
      <c r="N257" s="261"/>
      <c r="O257" s="132" t="s">
        <v>937</v>
      </c>
      <c r="P257" s="496" t="s">
        <v>938</v>
      </c>
      <c r="Q257" s="496"/>
      <c r="R257" s="37"/>
      <c r="S257" s="37"/>
      <c r="T257" s="37"/>
      <c r="U257" s="171"/>
      <c r="V257" s="37"/>
      <c r="W257" s="173"/>
      <c r="X257" s="13"/>
      <c r="Y257" s="13"/>
      <c r="Z257" s="13"/>
      <c r="AA257" s="13"/>
      <c r="AB257" s="154"/>
      <c r="AC257" s="154"/>
      <c r="AD257" s="154"/>
      <c r="AE257" s="154"/>
      <c r="AF257" s="154"/>
      <c r="AG257" s="154"/>
      <c r="AH257" s="154"/>
      <c r="AI257" s="379"/>
      <c r="AJ257" s="171"/>
      <c r="AK257" s="37"/>
      <c r="AL257" s="12"/>
      <c r="AM257" s="13"/>
      <c r="AN257" s="12"/>
      <c r="AO257" s="13"/>
      <c r="AP257" s="13"/>
      <c r="AQ257" s="13"/>
      <c r="AR257" s="13"/>
      <c r="AS257" s="13"/>
      <c r="AT257" s="13"/>
      <c r="AU257" s="13"/>
      <c r="AV257" s="13"/>
      <c r="AW257" s="13"/>
      <c r="AX257" s="171"/>
      <c r="AY257" s="37"/>
      <c r="AZ257" s="12"/>
      <c r="BA257" s="13"/>
      <c r="BB257" s="13"/>
      <c r="BC257" s="13"/>
      <c r="BD257" s="13"/>
      <c r="BE257" s="13"/>
      <c r="BF257" s="13"/>
      <c r="BG257" s="13"/>
      <c r="BH257" s="13"/>
      <c r="BI257" s="13"/>
      <c r="BJ257" s="5">
        <f>COUNTIF(M257,"*")+COUNTIF(W257,"*")+COUNTIF(AL257,"*")+COUNTIF(AZ257,"*")</f>
        <v>1</v>
      </c>
    </row>
    <row r="258" spans="1:62" ht="14.4" hidden="1">
      <c r="A258" s="32">
        <v>14</v>
      </c>
      <c r="B258" s="32">
        <f t="shared" si="1"/>
        <v>28</v>
      </c>
      <c r="C258" s="253" t="s">
        <v>858</v>
      </c>
      <c r="D258" s="253"/>
      <c r="E258" s="32"/>
      <c r="F258" s="32" t="s">
        <v>939</v>
      </c>
      <c r="G258" s="210"/>
      <c r="H258" s="210"/>
      <c r="I258" s="32"/>
      <c r="J258" s="32"/>
      <c r="K258" s="32"/>
      <c r="L258" s="32"/>
      <c r="M258" s="12" t="s">
        <v>940</v>
      </c>
      <c r="N258" s="261"/>
      <c r="O258" s="132" t="s">
        <v>939</v>
      </c>
      <c r="P258" s="496" t="s">
        <v>941</v>
      </c>
      <c r="Q258" s="496"/>
      <c r="R258" s="37"/>
      <c r="S258" s="37"/>
      <c r="T258" s="37"/>
      <c r="U258" s="171"/>
      <c r="V258" s="37"/>
      <c r="W258" s="173"/>
      <c r="X258" s="13"/>
      <c r="Y258" s="13"/>
      <c r="Z258" s="13"/>
      <c r="AA258" s="13"/>
      <c r="AB258" s="154"/>
      <c r="AC258" s="154"/>
      <c r="AD258" s="154"/>
      <c r="AE258" s="154"/>
      <c r="AF258" s="154"/>
      <c r="AG258" s="154"/>
      <c r="AH258" s="154"/>
      <c r="AI258" s="379"/>
      <c r="AJ258" s="171"/>
      <c r="AK258" s="37"/>
      <c r="AL258" s="12"/>
      <c r="AM258" s="13"/>
      <c r="AN258" s="12"/>
      <c r="AO258" s="13"/>
      <c r="AP258" s="13"/>
      <c r="AQ258" s="13"/>
      <c r="AR258" s="13"/>
      <c r="AS258" s="13"/>
      <c r="AT258" s="13"/>
      <c r="AU258" s="13"/>
      <c r="AV258" s="13"/>
      <c r="AW258" s="13"/>
      <c r="AX258" s="171"/>
      <c r="AY258" s="37"/>
      <c r="AZ258" s="12"/>
      <c r="BA258" s="13"/>
      <c r="BB258" s="13"/>
      <c r="BC258" s="13"/>
      <c r="BD258" s="13"/>
      <c r="BE258" s="13"/>
      <c r="BF258" s="13"/>
      <c r="BG258" s="13"/>
      <c r="BH258" s="13"/>
      <c r="BI258" s="13"/>
      <c r="BJ258" s="5">
        <f>COUNTIF(M258,"*")+COUNTIF(W258,"*")+COUNTIF(AL258,"*")+COUNTIF(AZ258,"*")</f>
        <v>1</v>
      </c>
    </row>
    <row r="259" spans="1:62" ht="14.4" hidden="1">
      <c r="A259" s="32">
        <v>14</v>
      </c>
      <c r="B259" s="32">
        <f t="shared" si="1"/>
        <v>29</v>
      </c>
      <c r="C259" s="253" t="s">
        <v>858</v>
      </c>
      <c r="D259" s="253"/>
      <c r="E259" s="32"/>
      <c r="F259" s="32" t="s">
        <v>942</v>
      </c>
      <c r="G259" s="210"/>
      <c r="H259" s="210"/>
      <c r="I259" s="32"/>
      <c r="J259" s="32"/>
      <c r="K259" s="32"/>
      <c r="L259" s="32"/>
      <c r="M259" s="12" t="s">
        <v>943</v>
      </c>
      <c r="N259" s="261"/>
      <c r="O259" s="501"/>
      <c r="P259" s="495"/>
      <c r="Q259" s="495"/>
      <c r="R259" s="34"/>
      <c r="S259" s="34"/>
      <c r="T259" s="34"/>
      <c r="U259" s="170"/>
      <c r="V259" s="34"/>
      <c r="W259" s="173"/>
      <c r="X259" s="13"/>
      <c r="Y259" s="13"/>
      <c r="Z259" s="13"/>
      <c r="AA259" s="13"/>
      <c r="AB259" s="319"/>
      <c r="AC259" s="319"/>
      <c r="AD259" s="319"/>
      <c r="AE259" s="319"/>
      <c r="AF259" s="319"/>
      <c r="AG259" s="319"/>
      <c r="AH259" s="319"/>
      <c r="AI259" s="379"/>
      <c r="AJ259" s="170"/>
      <c r="AK259" s="34"/>
      <c r="AL259" s="12"/>
      <c r="AM259" s="13"/>
      <c r="AN259" s="12"/>
      <c r="AO259" s="13"/>
      <c r="AP259" s="13"/>
      <c r="AQ259" s="13"/>
      <c r="AR259" s="13"/>
      <c r="AS259" s="13"/>
      <c r="AT259" s="13"/>
      <c r="AU259" s="13"/>
      <c r="AV259" s="13"/>
      <c r="AW259" s="13"/>
      <c r="AX259" s="170"/>
      <c r="AY259" s="34"/>
      <c r="AZ259" s="12"/>
      <c r="BA259" s="13"/>
      <c r="BB259" s="13"/>
      <c r="BC259" s="13"/>
      <c r="BD259" s="13"/>
      <c r="BE259" s="13"/>
      <c r="BF259" s="13"/>
      <c r="BG259" s="13"/>
      <c r="BH259" s="13"/>
      <c r="BI259" s="13"/>
      <c r="BJ259" s="5">
        <f>COUNTIF(M259,"*")+COUNTIF(W259,"*")+COUNTIF(AL259,"*")+COUNTIF(AZ259,"*")</f>
        <v>1</v>
      </c>
    </row>
    <row r="260" spans="1:62" ht="14.4" hidden="1">
      <c r="A260" s="32">
        <v>14</v>
      </c>
      <c r="B260" s="32">
        <f t="shared" si="1"/>
        <v>30</v>
      </c>
      <c r="C260" s="253" t="s">
        <v>858</v>
      </c>
      <c r="D260" s="253"/>
      <c r="E260" s="32"/>
      <c r="F260" s="32" t="s">
        <v>944</v>
      </c>
      <c r="G260" s="210"/>
      <c r="H260" s="210"/>
      <c r="I260" s="32"/>
      <c r="J260" s="32"/>
      <c r="K260" s="32"/>
      <c r="L260" s="32"/>
      <c r="M260" s="12" t="s">
        <v>945</v>
      </c>
      <c r="N260" s="378"/>
      <c r="O260" s="501"/>
      <c r="P260" s="495"/>
      <c r="Q260" s="495"/>
      <c r="R260" s="34"/>
      <c r="S260" s="34"/>
      <c r="T260" s="34"/>
      <c r="U260" s="170"/>
      <c r="V260" s="34"/>
      <c r="W260" s="173"/>
      <c r="X260" s="13"/>
      <c r="Y260" s="13"/>
      <c r="Z260" s="13"/>
      <c r="AA260" s="13"/>
      <c r="AB260" s="154"/>
      <c r="AC260" s="154"/>
      <c r="AD260" s="154"/>
      <c r="AE260" s="154"/>
      <c r="AF260" s="154"/>
      <c r="AG260" s="154"/>
      <c r="AH260" s="154"/>
      <c r="AI260" s="379"/>
      <c r="AJ260" s="170"/>
      <c r="AK260" s="34"/>
      <c r="AL260" s="12"/>
      <c r="AM260" s="13"/>
      <c r="AN260" s="12"/>
      <c r="AO260" s="13"/>
      <c r="AP260" s="13"/>
      <c r="AQ260" s="13"/>
      <c r="AR260" s="13"/>
      <c r="AS260" s="13"/>
      <c r="AT260" s="13"/>
      <c r="AU260" s="13"/>
      <c r="AV260" s="13"/>
      <c r="AW260" s="13"/>
      <c r="AX260" s="170"/>
      <c r="AY260" s="34"/>
      <c r="AZ260" s="12"/>
      <c r="BA260" s="13"/>
      <c r="BB260" s="13"/>
      <c r="BC260" s="13"/>
      <c r="BD260" s="13"/>
      <c r="BE260" s="13"/>
      <c r="BF260" s="13"/>
      <c r="BG260" s="13"/>
      <c r="BH260" s="13"/>
      <c r="BI260" s="13"/>
      <c r="BJ260" s="5">
        <f>COUNTIF(M260,"*")+COUNTIF(W260,"*")+COUNTIF(AL260,"*")+COUNTIF(AZ260,"*")</f>
        <v>1</v>
      </c>
    </row>
    <row r="261" spans="1:62" ht="14.4" hidden="1">
      <c r="A261" s="32">
        <v>14</v>
      </c>
      <c r="B261" s="32">
        <f t="shared" si="1"/>
        <v>31</v>
      </c>
      <c r="C261" s="253" t="s">
        <v>858</v>
      </c>
      <c r="D261" s="253"/>
      <c r="E261" s="32"/>
      <c r="F261" s="32" t="s">
        <v>946</v>
      </c>
      <c r="G261" s="210"/>
      <c r="H261" s="210"/>
      <c r="I261" s="32"/>
      <c r="J261" s="32"/>
      <c r="K261" s="32"/>
      <c r="L261" s="32"/>
      <c r="M261" s="12" t="s">
        <v>947</v>
      </c>
      <c r="N261" s="261"/>
      <c r="O261" s="501"/>
      <c r="P261" s="495"/>
      <c r="Q261" s="495"/>
      <c r="R261" s="34"/>
      <c r="S261" s="34"/>
      <c r="T261" s="34"/>
      <c r="U261" s="170"/>
      <c r="V261" s="34"/>
      <c r="W261" s="173"/>
      <c r="X261" s="13"/>
      <c r="Y261" s="13"/>
      <c r="Z261" s="13"/>
      <c r="AA261" s="13"/>
      <c r="AB261" s="154"/>
      <c r="AC261" s="154"/>
      <c r="AD261" s="154"/>
      <c r="AE261" s="154"/>
      <c r="AF261" s="154"/>
      <c r="AG261" s="154"/>
      <c r="AH261" s="154"/>
      <c r="AI261" s="379"/>
      <c r="AJ261" s="170"/>
      <c r="AK261" s="34"/>
      <c r="AL261" s="12"/>
      <c r="AM261" s="13"/>
      <c r="AN261" s="12"/>
      <c r="AO261" s="13"/>
      <c r="AP261" s="13"/>
      <c r="AQ261" s="13"/>
      <c r="AR261" s="13"/>
      <c r="AS261" s="13"/>
      <c r="AT261" s="13"/>
      <c r="AU261" s="13"/>
      <c r="AV261" s="13"/>
      <c r="AW261" s="13"/>
      <c r="AX261" s="170"/>
      <c r="AY261" s="34"/>
      <c r="AZ261" s="12"/>
      <c r="BA261" s="13"/>
      <c r="BB261" s="13"/>
      <c r="BC261" s="13"/>
      <c r="BD261" s="13"/>
      <c r="BE261" s="13"/>
      <c r="BF261" s="13"/>
      <c r="BG261" s="13"/>
      <c r="BH261" s="13"/>
      <c r="BI261" s="13"/>
      <c r="BJ261" s="5">
        <f>COUNTIF(M261,"*")+COUNTIF(W261,"*")+COUNTIF(AL261,"*")+COUNTIF(AZ261,"*")</f>
        <v>1</v>
      </c>
    </row>
    <row r="262" spans="1:62" ht="14.4" hidden="1">
      <c r="A262" s="32">
        <v>14</v>
      </c>
      <c r="B262" s="32">
        <f t="shared" si="1"/>
        <v>32</v>
      </c>
      <c r="C262" s="253" t="s">
        <v>858</v>
      </c>
      <c r="D262" s="253"/>
      <c r="E262" s="32"/>
      <c r="F262" s="32" t="s">
        <v>948</v>
      </c>
      <c r="G262" s="210"/>
      <c r="H262" s="210"/>
      <c r="I262" s="32"/>
      <c r="J262" s="32"/>
      <c r="K262" s="32"/>
      <c r="L262" s="32"/>
      <c r="M262" s="12" t="s">
        <v>949</v>
      </c>
      <c r="N262" s="378"/>
      <c r="O262" s="501"/>
      <c r="P262" s="495"/>
      <c r="Q262" s="495"/>
      <c r="R262" s="34"/>
      <c r="S262" s="34"/>
      <c r="T262" s="34"/>
      <c r="U262" s="170"/>
      <c r="V262" s="34"/>
      <c r="W262" s="173"/>
      <c r="X262" s="13"/>
      <c r="Y262" s="13"/>
      <c r="Z262" s="13"/>
      <c r="AA262" s="13"/>
      <c r="AB262" s="154"/>
      <c r="AC262" s="154"/>
      <c r="AD262" s="154"/>
      <c r="AE262" s="154"/>
      <c r="AF262" s="154"/>
      <c r="AG262" s="154"/>
      <c r="AH262" s="154"/>
      <c r="AI262" s="379"/>
      <c r="AJ262" s="170"/>
      <c r="AK262" s="34"/>
      <c r="AL262" s="12"/>
      <c r="AM262" s="13"/>
      <c r="AN262" s="12"/>
      <c r="AO262" s="13"/>
      <c r="AP262" s="13"/>
      <c r="AQ262" s="13"/>
      <c r="AR262" s="13"/>
      <c r="AS262" s="13"/>
      <c r="AT262" s="13"/>
      <c r="AU262" s="13"/>
      <c r="AV262" s="13"/>
      <c r="AW262" s="13"/>
      <c r="AX262" s="170"/>
      <c r="AY262" s="34"/>
      <c r="AZ262" s="12"/>
      <c r="BA262" s="13"/>
      <c r="BB262" s="13"/>
      <c r="BC262" s="13"/>
      <c r="BD262" s="13"/>
      <c r="BE262" s="13"/>
      <c r="BF262" s="13"/>
      <c r="BG262" s="13"/>
      <c r="BH262" s="13"/>
      <c r="BI262" s="13"/>
      <c r="BJ262" s="5">
        <f>COUNTIF(M262,"*")+COUNTIF(W262,"*")+COUNTIF(AL262,"*")+COUNTIF(AZ262,"*")</f>
        <v>1</v>
      </c>
    </row>
    <row r="263" spans="1:62" ht="14.4" hidden="1">
      <c r="A263" s="32">
        <v>14</v>
      </c>
      <c r="B263" s="32">
        <f t="shared" si="1"/>
        <v>33</v>
      </c>
      <c r="C263" s="253" t="s">
        <v>858</v>
      </c>
      <c r="D263" s="253"/>
      <c r="E263" s="32"/>
      <c r="F263" s="32" t="s">
        <v>950</v>
      </c>
      <c r="G263" s="210"/>
      <c r="H263" s="210"/>
      <c r="I263" s="32"/>
      <c r="J263" s="32"/>
      <c r="K263" s="32"/>
      <c r="L263" s="32"/>
      <c r="M263" s="12" t="s">
        <v>951</v>
      </c>
      <c r="N263" s="261"/>
      <c r="O263" s="501"/>
      <c r="P263" s="495"/>
      <c r="Q263" s="495"/>
      <c r="R263" s="34"/>
      <c r="S263" s="34"/>
      <c r="T263" s="34"/>
      <c r="U263" s="170"/>
      <c r="V263" s="34"/>
      <c r="W263" s="173"/>
      <c r="X263" s="13"/>
      <c r="Y263" s="13"/>
      <c r="Z263" s="13"/>
      <c r="AA263" s="13"/>
      <c r="AB263" s="154"/>
      <c r="AC263" s="154"/>
      <c r="AD263" s="154"/>
      <c r="AE263" s="154"/>
      <c r="AF263" s="154"/>
      <c r="AG263" s="154"/>
      <c r="AH263" s="154"/>
      <c r="AI263" s="379"/>
      <c r="AJ263" s="170"/>
      <c r="AK263" s="34"/>
      <c r="AL263" s="12"/>
      <c r="AM263" s="13"/>
      <c r="AN263" s="12"/>
      <c r="AO263" s="13"/>
      <c r="AP263" s="13"/>
      <c r="AQ263" s="13"/>
      <c r="AR263" s="13"/>
      <c r="AS263" s="13"/>
      <c r="AT263" s="13"/>
      <c r="AU263" s="13"/>
      <c r="AV263" s="13"/>
      <c r="AW263" s="13"/>
      <c r="AX263" s="170"/>
      <c r="AY263" s="34"/>
      <c r="AZ263" s="12"/>
      <c r="BA263" s="13"/>
      <c r="BB263" s="13"/>
      <c r="BC263" s="13"/>
      <c r="BD263" s="13"/>
      <c r="BE263" s="13"/>
      <c r="BF263" s="13"/>
      <c r="BG263" s="13"/>
      <c r="BH263" s="13"/>
      <c r="BI263" s="13"/>
      <c r="BJ263" s="5">
        <f>COUNTIF(M263,"*")+COUNTIF(W263,"*")+COUNTIF(AL263,"*")+COUNTIF(AZ263,"*")</f>
        <v>1</v>
      </c>
    </row>
    <row r="264" spans="1:62" ht="27.6" hidden="1">
      <c r="A264" s="32"/>
      <c r="B264" s="32">
        <f t="shared" si="1"/>
        <v>34</v>
      </c>
      <c r="C264" s="253" t="s">
        <v>858</v>
      </c>
      <c r="D264" s="253"/>
      <c r="E264" s="32"/>
      <c r="F264" s="32" t="s">
        <v>1685</v>
      </c>
      <c r="G264" s="210"/>
      <c r="H264" s="210"/>
      <c r="I264" s="32"/>
      <c r="J264" s="32"/>
      <c r="K264" s="32"/>
      <c r="L264" s="32"/>
      <c r="M264" s="33"/>
      <c r="N264" s="261"/>
      <c r="O264" s="501"/>
      <c r="P264" s="495"/>
      <c r="Q264" s="495"/>
      <c r="R264" s="34"/>
      <c r="S264" s="34"/>
      <c r="T264" s="34"/>
      <c r="U264" s="170"/>
      <c r="V264" s="34"/>
      <c r="W264" s="173"/>
      <c r="X264" s="13"/>
      <c r="Y264" s="13"/>
      <c r="Z264" s="13"/>
      <c r="AA264" s="13"/>
      <c r="AB264" s="387"/>
      <c r="AC264" s="387"/>
      <c r="AD264" s="387"/>
      <c r="AE264" s="387"/>
      <c r="AF264" s="387"/>
      <c r="AG264" s="387"/>
      <c r="AH264" s="387"/>
      <c r="AI264" s="387"/>
      <c r="AJ264" s="170"/>
      <c r="AK264" s="34"/>
      <c r="AL264" s="12" t="s">
        <v>1684</v>
      </c>
      <c r="AM264" s="13"/>
      <c r="AN264" s="12" t="s">
        <v>1684</v>
      </c>
      <c r="AO264" s="13"/>
      <c r="AP264" s="13"/>
      <c r="AQ264" s="13"/>
      <c r="AR264" s="13"/>
      <c r="AS264" s="13" t="s">
        <v>1685</v>
      </c>
      <c r="AT264" s="13"/>
      <c r="AU264" s="13"/>
      <c r="AV264" s="13"/>
      <c r="AW264" s="13"/>
      <c r="AX264" s="170"/>
      <c r="AY264" s="34"/>
      <c r="AZ264" s="12"/>
      <c r="BA264" s="13"/>
      <c r="BB264" s="13"/>
      <c r="BC264" s="13"/>
      <c r="BD264" s="13"/>
      <c r="BE264" s="13"/>
      <c r="BF264" s="13"/>
      <c r="BG264" s="13"/>
      <c r="BH264" s="13"/>
      <c r="BI264" s="13"/>
      <c r="BJ264" s="5">
        <f>COUNTIF(M264,"*")+COUNTIF(W264,"*")+COUNTIF(AL264,"*")+COUNTIF(AZ264,"*")</f>
        <v>1</v>
      </c>
    </row>
    <row r="265" spans="1:62" ht="27.6" hidden="1">
      <c r="A265" s="32">
        <v>14</v>
      </c>
      <c r="B265" s="32">
        <f t="shared" si="1"/>
        <v>35</v>
      </c>
      <c r="C265" s="253" t="s">
        <v>858</v>
      </c>
      <c r="D265" s="253"/>
      <c r="E265" s="32"/>
      <c r="F265" s="32" t="s">
        <v>952</v>
      </c>
      <c r="G265" s="210" t="s">
        <v>953</v>
      </c>
      <c r="H265" s="210"/>
      <c r="I265" s="32"/>
      <c r="J265" s="32" t="s">
        <v>1976</v>
      </c>
      <c r="K265" s="32"/>
      <c r="L265" s="32"/>
      <c r="M265" s="12" t="s">
        <v>954</v>
      </c>
      <c r="N265" s="13"/>
      <c r="O265" s="13" t="s">
        <v>955</v>
      </c>
      <c r="P265" s="13" t="s">
        <v>956</v>
      </c>
      <c r="Q265" s="13"/>
      <c r="R265" s="13"/>
      <c r="S265" s="13"/>
      <c r="T265" s="13"/>
      <c r="U265" s="167"/>
      <c r="V265" s="13"/>
      <c r="W265" s="173"/>
      <c r="X265" s="13"/>
      <c r="Y265" s="13"/>
      <c r="Z265" s="13"/>
      <c r="AA265" s="13"/>
      <c r="AB265" s="319"/>
      <c r="AC265" s="319"/>
      <c r="AD265" s="319"/>
      <c r="AE265" s="319"/>
      <c r="AF265" s="319"/>
      <c r="AG265" s="319"/>
      <c r="AH265" s="319"/>
      <c r="AI265" s="379"/>
      <c r="AJ265" s="167"/>
      <c r="AK265" s="13"/>
      <c r="AL265" s="12" t="s">
        <v>1682</v>
      </c>
      <c r="AM265" s="13"/>
      <c r="AN265" s="12" t="s">
        <v>1682</v>
      </c>
      <c r="AO265" s="13"/>
      <c r="AP265" s="13"/>
      <c r="AQ265" s="13"/>
      <c r="AR265" s="13"/>
      <c r="AS265" s="13" t="s">
        <v>1683</v>
      </c>
      <c r="AT265" s="13"/>
      <c r="AU265" s="13" t="s">
        <v>2020</v>
      </c>
      <c r="AV265" s="13"/>
      <c r="AW265" s="13"/>
      <c r="AX265" s="167"/>
      <c r="AY265" s="13"/>
      <c r="AZ265" s="12" t="s">
        <v>952</v>
      </c>
      <c r="BA265" s="13" t="s">
        <v>953</v>
      </c>
      <c r="BB265" s="13"/>
      <c r="BC265" s="13"/>
      <c r="BD265" s="13" t="s">
        <v>957</v>
      </c>
      <c r="BE265" s="13" t="s">
        <v>80</v>
      </c>
      <c r="BF265" s="13"/>
      <c r="BG265" s="13"/>
      <c r="BH265" s="13"/>
      <c r="BI265" s="13"/>
      <c r="BJ265" s="5">
        <f>COUNTIF(M265,"*")+COUNTIF(W265,"*")+COUNTIF(AL265,"*")+COUNTIF(AZ265,"*")</f>
        <v>3</v>
      </c>
    </row>
    <row r="266" spans="1:62" ht="13.8" hidden="1">
      <c r="A266" s="32">
        <v>14</v>
      </c>
      <c r="B266" s="32">
        <f t="shared" si="1"/>
        <v>36</v>
      </c>
      <c r="C266" s="253" t="s">
        <v>858</v>
      </c>
      <c r="D266" s="253"/>
      <c r="E266" s="32"/>
      <c r="F266" s="32" t="s">
        <v>958</v>
      </c>
      <c r="G266" s="210" t="s">
        <v>959</v>
      </c>
      <c r="H266" s="210"/>
      <c r="I266" s="32"/>
      <c r="J266" s="32" t="s">
        <v>1976</v>
      </c>
      <c r="K266" s="32"/>
      <c r="L266" s="32"/>
      <c r="M266" s="12" t="s">
        <v>960</v>
      </c>
      <c r="N266" s="13"/>
      <c r="O266" s="13" t="s">
        <v>961</v>
      </c>
      <c r="P266" s="13" t="s">
        <v>962</v>
      </c>
      <c r="Q266" s="13"/>
      <c r="R266" s="13"/>
      <c r="S266" s="13"/>
      <c r="T266" s="13"/>
      <c r="U266" s="167"/>
      <c r="V266" s="13"/>
      <c r="W266" s="173"/>
      <c r="X266" s="13"/>
      <c r="Y266" s="13"/>
      <c r="Z266" s="13"/>
      <c r="AA266" s="13"/>
      <c r="AB266" s="154"/>
      <c r="AC266" s="154"/>
      <c r="AD266" s="154"/>
      <c r="AE266" s="154"/>
      <c r="AF266" s="154"/>
      <c r="AG266" s="154"/>
      <c r="AH266" s="154"/>
      <c r="AI266" s="379"/>
      <c r="AJ266" s="167"/>
      <c r="AK266" s="13"/>
      <c r="AL266" s="12"/>
      <c r="AM266" s="13"/>
      <c r="AN266" s="12"/>
      <c r="AO266" s="13"/>
      <c r="AP266" s="13"/>
      <c r="AQ266" s="13"/>
      <c r="AR266" s="13"/>
      <c r="AS266" s="13"/>
      <c r="AT266" s="13"/>
      <c r="AU266" s="13"/>
      <c r="AV266" s="13"/>
      <c r="AW266" s="13"/>
      <c r="AX266" s="167"/>
      <c r="AY266" s="13"/>
      <c r="AZ266" s="12" t="s">
        <v>958</v>
      </c>
      <c r="BA266" s="13" t="s">
        <v>959</v>
      </c>
      <c r="BB266" s="13"/>
      <c r="BC266" s="13"/>
      <c r="BD266" s="13" t="s">
        <v>963</v>
      </c>
      <c r="BE266" s="13" t="s">
        <v>80</v>
      </c>
      <c r="BF266" s="13"/>
      <c r="BG266" s="13"/>
      <c r="BH266" s="13"/>
      <c r="BI266" s="13"/>
      <c r="BJ266" s="5">
        <f>COUNTIF(M266,"*")+COUNTIF(W266,"*")+COUNTIF(AL266,"*")+COUNTIF(AZ266,"*")</f>
        <v>2</v>
      </c>
    </row>
    <row r="267" spans="1:62" ht="14.4" hidden="1">
      <c r="A267" s="32">
        <v>14</v>
      </c>
      <c r="B267" s="32">
        <f t="shared" si="1"/>
        <v>37</v>
      </c>
      <c r="C267" s="253" t="s">
        <v>858</v>
      </c>
      <c r="D267" s="253"/>
      <c r="E267" s="32"/>
      <c r="F267" s="32" t="s">
        <v>964</v>
      </c>
      <c r="G267" s="210"/>
      <c r="H267" s="210"/>
      <c r="I267" s="32"/>
      <c r="J267" s="32"/>
      <c r="K267" s="32"/>
      <c r="L267" s="32"/>
      <c r="M267" s="12" t="s">
        <v>965</v>
      </c>
      <c r="N267" s="378"/>
      <c r="O267" s="501"/>
      <c r="P267" s="495"/>
      <c r="Q267" s="495"/>
      <c r="R267" s="34"/>
      <c r="S267" s="34"/>
      <c r="T267" s="34"/>
      <c r="U267" s="170"/>
      <c r="V267" s="34"/>
      <c r="W267" s="173"/>
      <c r="X267" s="13"/>
      <c r="Y267" s="13"/>
      <c r="Z267" s="13"/>
      <c r="AA267" s="13"/>
      <c r="AB267" s="154"/>
      <c r="AC267" s="154"/>
      <c r="AD267" s="154"/>
      <c r="AE267" s="154"/>
      <c r="AF267" s="154"/>
      <c r="AG267" s="154"/>
      <c r="AH267" s="154"/>
      <c r="AI267" s="379"/>
      <c r="AJ267" s="170"/>
      <c r="AK267" s="34"/>
      <c r="AL267" s="12"/>
      <c r="AM267" s="13"/>
      <c r="AN267" s="12"/>
      <c r="AO267" s="13"/>
      <c r="AP267" s="13"/>
      <c r="AQ267" s="13"/>
      <c r="AR267" s="13"/>
      <c r="AS267" s="13"/>
      <c r="AT267" s="13"/>
      <c r="AU267" s="13"/>
      <c r="AV267" s="13"/>
      <c r="AW267" s="13"/>
      <c r="AX267" s="170"/>
      <c r="AY267" s="34"/>
      <c r="AZ267" s="12"/>
      <c r="BA267" s="13"/>
      <c r="BB267" s="13"/>
      <c r="BC267" s="13"/>
      <c r="BD267" s="13"/>
      <c r="BE267" s="13"/>
      <c r="BF267" s="13"/>
      <c r="BG267" s="13"/>
      <c r="BH267" s="13"/>
      <c r="BI267" s="13"/>
      <c r="BJ267" s="5">
        <f>COUNTIF(M267,"*")+COUNTIF(W267,"*")+COUNTIF(AL267,"*")+COUNTIF(AZ267,"*")</f>
        <v>1</v>
      </c>
    </row>
    <row r="268" spans="1:62" ht="14.4" hidden="1">
      <c r="A268" s="32">
        <v>14</v>
      </c>
      <c r="B268" s="32">
        <f t="shared" si="1"/>
        <v>38</v>
      </c>
      <c r="C268" s="253" t="s">
        <v>858</v>
      </c>
      <c r="D268" s="253"/>
      <c r="E268" s="32"/>
      <c r="F268" s="32" t="s">
        <v>966</v>
      </c>
      <c r="G268" s="210"/>
      <c r="H268" s="210"/>
      <c r="I268" s="32"/>
      <c r="J268" s="32"/>
      <c r="K268" s="32"/>
      <c r="L268" s="32"/>
      <c r="M268" s="12" t="s">
        <v>967</v>
      </c>
      <c r="N268" s="261"/>
      <c r="O268" s="501"/>
      <c r="P268" s="495"/>
      <c r="Q268" s="495"/>
      <c r="R268" s="34"/>
      <c r="S268" s="34"/>
      <c r="T268" s="34"/>
      <c r="U268" s="170"/>
      <c r="V268" s="34"/>
      <c r="W268" s="173"/>
      <c r="X268" s="13"/>
      <c r="Y268" s="13"/>
      <c r="Z268" s="13"/>
      <c r="AA268" s="13"/>
      <c r="AB268" s="154"/>
      <c r="AC268" s="154"/>
      <c r="AD268" s="154"/>
      <c r="AE268" s="154"/>
      <c r="AF268" s="154"/>
      <c r="AG268" s="154"/>
      <c r="AH268" s="154"/>
      <c r="AI268" s="379"/>
      <c r="AJ268" s="170"/>
      <c r="AK268" s="34"/>
      <c r="AL268" s="12"/>
      <c r="AM268" s="13"/>
      <c r="AN268" s="12"/>
      <c r="AO268" s="13"/>
      <c r="AP268" s="13"/>
      <c r="AQ268" s="13"/>
      <c r="AR268" s="13"/>
      <c r="AS268" s="13"/>
      <c r="AT268" s="13"/>
      <c r="AU268" s="13"/>
      <c r="AV268" s="13"/>
      <c r="AW268" s="13"/>
      <c r="AX268" s="170"/>
      <c r="AY268" s="34"/>
      <c r="AZ268" s="12"/>
      <c r="BA268" s="13"/>
      <c r="BB268" s="13"/>
      <c r="BC268" s="13"/>
      <c r="BD268" s="13"/>
      <c r="BE268" s="13"/>
      <c r="BF268" s="13"/>
      <c r="BG268" s="13"/>
      <c r="BH268" s="13"/>
      <c r="BI268" s="13"/>
      <c r="BJ268" s="5">
        <f>COUNTIF(M268,"*")+COUNTIF(W268,"*")+COUNTIF(AL268,"*")+COUNTIF(AZ268,"*")</f>
        <v>1</v>
      </c>
    </row>
    <row r="269" spans="1:62" ht="14.4" hidden="1">
      <c r="A269" s="32">
        <v>14</v>
      </c>
      <c r="B269" s="32">
        <f t="shared" si="1"/>
        <v>39</v>
      </c>
      <c r="C269" s="253" t="s">
        <v>858</v>
      </c>
      <c r="D269" s="253"/>
      <c r="E269" s="32"/>
      <c r="F269" s="32" t="s">
        <v>968</v>
      </c>
      <c r="G269" s="210"/>
      <c r="H269" s="210"/>
      <c r="I269" s="32"/>
      <c r="J269" s="32"/>
      <c r="K269" s="32"/>
      <c r="L269" s="32"/>
      <c r="M269" s="12" t="s">
        <v>969</v>
      </c>
      <c r="N269" s="378"/>
      <c r="O269" s="501"/>
      <c r="P269" s="495"/>
      <c r="Q269" s="495"/>
      <c r="R269" s="34"/>
      <c r="S269" s="34"/>
      <c r="T269" s="34"/>
      <c r="U269" s="170"/>
      <c r="V269" s="34"/>
      <c r="W269" s="173"/>
      <c r="X269" s="13"/>
      <c r="Y269" s="13"/>
      <c r="Z269" s="13"/>
      <c r="AA269" s="13"/>
      <c r="AB269" s="154"/>
      <c r="AC269" s="154"/>
      <c r="AD269" s="154"/>
      <c r="AE269" s="154"/>
      <c r="AF269" s="154"/>
      <c r="AG269" s="154"/>
      <c r="AH269" s="154"/>
      <c r="AI269" s="379"/>
      <c r="AJ269" s="170"/>
      <c r="AK269" s="34"/>
      <c r="AL269" s="12"/>
      <c r="AM269" s="13"/>
      <c r="AN269" s="12"/>
      <c r="AO269" s="13"/>
      <c r="AP269" s="13"/>
      <c r="AQ269" s="13"/>
      <c r="AR269" s="13"/>
      <c r="AS269" s="13"/>
      <c r="AT269" s="13"/>
      <c r="AU269" s="13"/>
      <c r="AV269" s="13"/>
      <c r="AW269" s="13"/>
      <c r="AX269" s="170"/>
      <c r="AY269" s="34"/>
      <c r="AZ269" s="12"/>
      <c r="BA269" s="13"/>
      <c r="BB269" s="13"/>
      <c r="BC269" s="13"/>
      <c r="BD269" s="13"/>
      <c r="BE269" s="13"/>
      <c r="BF269" s="13"/>
      <c r="BG269" s="13"/>
      <c r="BH269" s="13"/>
      <c r="BI269" s="13"/>
      <c r="BJ269" s="5">
        <f>COUNTIF(M269,"*")+COUNTIF(W269,"*")+COUNTIF(AL269,"*")+COUNTIF(AZ269,"*")</f>
        <v>1</v>
      </c>
    </row>
    <row r="270" spans="1:62" ht="82.8" hidden="1">
      <c r="A270" s="32">
        <v>14</v>
      </c>
      <c r="B270" s="32">
        <f t="shared" si="1"/>
        <v>40</v>
      </c>
      <c r="C270" s="253" t="s">
        <v>858</v>
      </c>
      <c r="D270" s="253"/>
      <c r="E270" s="32"/>
      <c r="F270" s="32" t="s">
        <v>970</v>
      </c>
      <c r="G270" s="210" t="s">
        <v>971</v>
      </c>
      <c r="H270" s="210"/>
      <c r="I270" s="32"/>
      <c r="J270" s="32" t="s">
        <v>1976</v>
      </c>
      <c r="K270" s="32"/>
      <c r="L270" s="32"/>
      <c r="M270" s="12" t="s">
        <v>972</v>
      </c>
      <c r="N270" s="13"/>
      <c r="O270" s="13"/>
      <c r="P270" s="13"/>
      <c r="Q270" s="13"/>
      <c r="R270" s="13"/>
      <c r="S270" s="13"/>
      <c r="T270" s="13"/>
      <c r="U270" s="167"/>
      <c r="V270" s="13"/>
      <c r="W270" s="173"/>
      <c r="X270" s="13"/>
      <c r="Y270" s="13"/>
      <c r="Z270" s="13"/>
      <c r="AA270" s="13"/>
      <c r="AB270" s="319"/>
      <c r="AC270" s="319"/>
      <c r="AD270" s="319"/>
      <c r="AE270" s="319"/>
      <c r="AF270" s="319"/>
      <c r="AG270" s="319"/>
      <c r="AH270" s="319"/>
      <c r="AI270" s="379"/>
      <c r="AJ270" s="167"/>
      <c r="AK270" s="13"/>
      <c r="AL270" s="12"/>
      <c r="AM270" s="13"/>
      <c r="AN270" s="12"/>
      <c r="AO270" s="13"/>
      <c r="AP270" s="13"/>
      <c r="AQ270" s="13"/>
      <c r="AR270" s="13"/>
      <c r="AS270" s="13"/>
      <c r="AT270" s="13"/>
      <c r="AU270" s="13"/>
      <c r="AV270" s="13"/>
      <c r="AW270" s="13"/>
      <c r="AX270" s="167"/>
      <c r="AY270" s="13"/>
      <c r="AZ270" s="12" t="s">
        <v>970</v>
      </c>
      <c r="BA270" s="13" t="s">
        <v>971</v>
      </c>
      <c r="BB270" s="13"/>
      <c r="BC270" s="13"/>
      <c r="BD270" s="13" t="s">
        <v>973</v>
      </c>
      <c r="BE270" s="13" t="s">
        <v>80</v>
      </c>
      <c r="BF270" s="13"/>
      <c r="BG270" s="13"/>
      <c r="BH270" s="13"/>
      <c r="BI270" s="13"/>
      <c r="BJ270" s="5">
        <f>COUNTIF(M270,"*")+COUNTIF(W270,"*")+COUNTIF(AL270,"*")+COUNTIF(AZ270,"*")</f>
        <v>2</v>
      </c>
    </row>
    <row r="271" spans="1:62" ht="13.8" hidden="1">
      <c r="A271" s="32"/>
      <c r="B271" s="32">
        <f t="shared" si="1"/>
        <v>41</v>
      </c>
      <c r="C271" s="253" t="s">
        <v>858</v>
      </c>
      <c r="D271" s="253"/>
      <c r="E271" s="32"/>
      <c r="F271" s="32" t="s">
        <v>1709</v>
      </c>
      <c r="G271" s="210"/>
      <c r="H271" s="210"/>
      <c r="I271" s="32"/>
      <c r="J271" s="32"/>
      <c r="K271" s="32"/>
      <c r="L271" s="32"/>
      <c r="M271" s="12"/>
      <c r="N271" s="13"/>
      <c r="O271" s="13"/>
      <c r="P271" s="13"/>
      <c r="Q271" s="13"/>
      <c r="R271" s="13"/>
      <c r="S271" s="13"/>
      <c r="T271" s="13"/>
      <c r="U271" s="167"/>
      <c r="V271" s="13"/>
      <c r="W271" s="173"/>
      <c r="X271" s="13"/>
      <c r="Y271" s="13"/>
      <c r="Z271" s="13"/>
      <c r="AA271" s="13"/>
      <c r="AB271" s="387"/>
      <c r="AC271" s="387"/>
      <c r="AD271" s="387"/>
      <c r="AE271" s="387"/>
      <c r="AF271" s="387"/>
      <c r="AG271" s="387"/>
      <c r="AH271" s="387"/>
      <c r="AI271" s="387"/>
      <c r="AJ271" s="167"/>
      <c r="AK271" s="13"/>
      <c r="AL271" s="12" t="s">
        <v>1710</v>
      </c>
      <c r="AM271" s="13"/>
      <c r="AN271" s="12" t="s">
        <v>1710</v>
      </c>
      <c r="AO271" s="13"/>
      <c r="AP271" s="13"/>
      <c r="AQ271" s="13"/>
      <c r="AR271" s="13"/>
      <c r="AS271" s="13" t="s">
        <v>1709</v>
      </c>
      <c r="AT271" s="13"/>
      <c r="AU271" s="13"/>
      <c r="AV271" s="13"/>
      <c r="AW271" s="13"/>
      <c r="AX271" s="167"/>
      <c r="AY271" s="13"/>
      <c r="AZ271" s="12"/>
      <c r="BA271" s="13"/>
      <c r="BB271" s="13"/>
      <c r="BC271" s="13"/>
      <c r="BD271" s="13"/>
      <c r="BE271" s="13"/>
      <c r="BF271" s="13"/>
      <c r="BG271" s="13"/>
      <c r="BH271" s="13"/>
      <c r="BI271" s="13"/>
      <c r="BJ271" s="5">
        <f>COUNTIF(M271,"*")+COUNTIF(W271,"*")+COUNTIF(AL271,"*")+COUNTIF(AZ271,"*")</f>
        <v>1</v>
      </c>
    </row>
    <row r="272" spans="1:62" ht="13.8" hidden="1">
      <c r="A272" s="32"/>
      <c r="B272" s="32">
        <f t="shared" si="1"/>
        <v>42</v>
      </c>
      <c r="C272" s="253" t="s">
        <v>858</v>
      </c>
      <c r="D272" s="253"/>
      <c r="E272" s="32"/>
      <c r="F272" s="32" t="s">
        <v>1714</v>
      </c>
      <c r="G272" s="210"/>
      <c r="H272" s="210"/>
      <c r="I272" s="32"/>
      <c r="J272" s="32"/>
      <c r="K272" s="32"/>
      <c r="L272" s="32"/>
      <c r="M272" s="12"/>
      <c r="N272" s="13"/>
      <c r="O272" s="13"/>
      <c r="P272" s="13"/>
      <c r="Q272" s="13"/>
      <c r="R272" s="13"/>
      <c r="S272" s="13"/>
      <c r="T272" s="13"/>
      <c r="U272" s="167"/>
      <c r="V272" s="13"/>
      <c r="W272" s="173"/>
      <c r="X272" s="13"/>
      <c r="Y272" s="13"/>
      <c r="Z272" s="13"/>
      <c r="AA272" s="13"/>
      <c r="AB272" s="387"/>
      <c r="AC272" s="387"/>
      <c r="AD272" s="387"/>
      <c r="AE272" s="387"/>
      <c r="AF272" s="387"/>
      <c r="AG272" s="387"/>
      <c r="AH272" s="387"/>
      <c r="AI272" s="387"/>
      <c r="AJ272" s="167"/>
      <c r="AK272" s="13"/>
      <c r="AL272" s="12" t="s">
        <v>1713</v>
      </c>
      <c r="AM272" s="13"/>
      <c r="AN272" s="12" t="s">
        <v>1713</v>
      </c>
      <c r="AO272" s="13"/>
      <c r="AP272" s="13"/>
      <c r="AQ272" s="13"/>
      <c r="AR272" s="13"/>
      <c r="AS272" s="13" t="s">
        <v>1714</v>
      </c>
      <c r="AT272" s="13"/>
      <c r="AU272" s="13"/>
      <c r="AV272" s="13"/>
      <c r="AW272" s="13"/>
      <c r="AX272" s="167"/>
      <c r="AY272" s="13"/>
      <c r="AZ272" s="12"/>
      <c r="BA272" s="13"/>
      <c r="BB272" s="13"/>
      <c r="BC272" s="13"/>
      <c r="BD272" s="13"/>
      <c r="BE272" s="13"/>
      <c r="BF272" s="13"/>
      <c r="BG272" s="13"/>
      <c r="BH272" s="13"/>
      <c r="BI272" s="13"/>
      <c r="BJ272" s="5">
        <f>COUNTIF(M272,"*")+COUNTIF(W272,"*")+COUNTIF(AL272,"*")+COUNTIF(AZ272,"*")</f>
        <v>1</v>
      </c>
    </row>
    <row r="273" spans="1:62" ht="27.6" hidden="1">
      <c r="A273" s="32"/>
      <c r="B273" s="32">
        <f t="shared" si="1"/>
        <v>43</v>
      </c>
      <c r="C273" s="253" t="s">
        <v>858</v>
      </c>
      <c r="D273" s="253"/>
      <c r="E273" s="32"/>
      <c r="F273" s="32" t="s">
        <v>1716</v>
      </c>
      <c r="G273" s="210"/>
      <c r="H273" s="210"/>
      <c r="I273" s="32"/>
      <c r="J273" s="32"/>
      <c r="K273" s="32"/>
      <c r="L273" s="32"/>
      <c r="M273" s="12"/>
      <c r="N273" s="13"/>
      <c r="O273" s="13"/>
      <c r="P273" s="13"/>
      <c r="Q273" s="13"/>
      <c r="R273" s="13"/>
      <c r="S273" s="13"/>
      <c r="T273" s="13"/>
      <c r="U273" s="167"/>
      <c r="V273" s="13"/>
      <c r="W273" s="173"/>
      <c r="X273" s="13"/>
      <c r="Y273" s="13"/>
      <c r="Z273" s="13"/>
      <c r="AA273" s="13"/>
      <c r="AB273" s="387"/>
      <c r="AC273" s="387"/>
      <c r="AD273" s="387"/>
      <c r="AE273" s="387"/>
      <c r="AF273" s="387"/>
      <c r="AG273" s="387"/>
      <c r="AH273" s="387"/>
      <c r="AI273" s="387"/>
      <c r="AJ273" s="167"/>
      <c r="AK273" s="13"/>
      <c r="AL273" s="12" t="s">
        <v>1715</v>
      </c>
      <c r="AM273" s="13"/>
      <c r="AN273" s="12" t="s">
        <v>1715</v>
      </c>
      <c r="AO273" s="13"/>
      <c r="AP273" s="13"/>
      <c r="AQ273" s="13"/>
      <c r="AR273" s="13"/>
      <c r="AS273" s="13" t="s">
        <v>1716</v>
      </c>
      <c r="AT273" s="13"/>
      <c r="AU273" s="13"/>
      <c r="AV273" s="13"/>
      <c r="AW273" s="13"/>
      <c r="AX273" s="167"/>
      <c r="AY273" s="13"/>
      <c r="AZ273" s="12"/>
      <c r="BA273" s="13"/>
      <c r="BB273" s="13"/>
      <c r="BC273" s="13"/>
      <c r="BD273" s="13"/>
      <c r="BE273" s="13"/>
      <c r="BF273" s="13"/>
      <c r="BG273" s="13"/>
      <c r="BH273" s="13"/>
      <c r="BI273" s="13"/>
      <c r="BJ273" s="5">
        <f>COUNTIF(M273,"*")+COUNTIF(W273,"*")+COUNTIF(AL273,"*")+COUNTIF(AZ273,"*")</f>
        <v>1</v>
      </c>
    </row>
    <row r="274" spans="1:62" ht="27.6" hidden="1">
      <c r="A274" s="32"/>
      <c r="B274" s="32">
        <f t="shared" si="1"/>
        <v>44</v>
      </c>
      <c r="C274" s="253" t="s">
        <v>858</v>
      </c>
      <c r="D274" s="253"/>
      <c r="E274" s="32"/>
      <c r="F274" s="32" t="s">
        <v>1731</v>
      </c>
      <c r="G274" s="210"/>
      <c r="H274" s="210"/>
      <c r="I274" s="32"/>
      <c r="J274" s="32"/>
      <c r="K274" s="32"/>
      <c r="L274" s="32"/>
      <c r="M274" s="12"/>
      <c r="N274" s="13"/>
      <c r="O274" s="13"/>
      <c r="P274" s="13"/>
      <c r="Q274" s="13"/>
      <c r="R274" s="13"/>
      <c r="S274" s="13"/>
      <c r="T274" s="13"/>
      <c r="U274" s="167"/>
      <c r="V274" s="13"/>
      <c r="W274" s="173"/>
      <c r="X274" s="13"/>
      <c r="Y274" s="13"/>
      <c r="Z274" s="13"/>
      <c r="AA274" s="13"/>
      <c r="AB274" s="387"/>
      <c r="AC274" s="387"/>
      <c r="AD274" s="387"/>
      <c r="AE274" s="387"/>
      <c r="AF274" s="387"/>
      <c r="AG274" s="387"/>
      <c r="AH274" s="387"/>
      <c r="AI274" s="387"/>
      <c r="AJ274" s="167"/>
      <c r="AK274" s="13"/>
      <c r="AL274" s="12" t="s">
        <v>1730</v>
      </c>
      <c r="AM274" s="13"/>
      <c r="AN274" s="12" t="s">
        <v>1730</v>
      </c>
      <c r="AO274" s="13"/>
      <c r="AP274" s="13"/>
      <c r="AQ274" s="13"/>
      <c r="AR274" s="13"/>
      <c r="AS274" s="13" t="s">
        <v>1731</v>
      </c>
      <c r="AT274" s="13"/>
      <c r="AU274" s="13"/>
      <c r="AV274" s="13"/>
      <c r="AW274" s="13"/>
      <c r="AX274" s="167"/>
      <c r="AY274" s="13"/>
      <c r="AZ274" s="12"/>
      <c r="BA274" s="13"/>
      <c r="BB274" s="13"/>
      <c r="BC274" s="13"/>
      <c r="BD274" s="13"/>
      <c r="BE274" s="13"/>
      <c r="BF274" s="13"/>
      <c r="BG274" s="13"/>
      <c r="BH274" s="13"/>
      <c r="BI274" s="13"/>
      <c r="BJ274" s="5">
        <f>COUNTIF(M274,"*")+COUNTIF(W274,"*")+COUNTIF(AL274,"*")+COUNTIF(AZ274,"*")</f>
        <v>1</v>
      </c>
    </row>
    <row r="275" spans="1:62" ht="13.8" hidden="1">
      <c r="A275" s="32"/>
      <c r="B275" s="32">
        <f t="shared" si="1"/>
        <v>45</v>
      </c>
      <c r="C275" s="253" t="s">
        <v>858</v>
      </c>
      <c r="D275" s="253"/>
      <c r="E275" s="32"/>
      <c r="F275" s="32" t="s">
        <v>1733</v>
      </c>
      <c r="G275" s="210"/>
      <c r="H275" s="210"/>
      <c r="I275" s="32"/>
      <c r="J275" s="32"/>
      <c r="K275" s="32"/>
      <c r="L275" s="32"/>
      <c r="M275" s="12"/>
      <c r="N275" s="13"/>
      <c r="O275" s="13"/>
      <c r="P275" s="13"/>
      <c r="Q275" s="13"/>
      <c r="R275" s="13"/>
      <c r="S275" s="13"/>
      <c r="T275" s="13"/>
      <c r="U275" s="167"/>
      <c r="V275" s="13"/>
      <c r="W275" s="173"/>
      <c r="X275" s="13"/>
      <c r="Y275" s="13"/>
      <c r="Z275" s="13"/>
      <c r="AA275" s="13"/>
      <c r="AB275" s="387"/>
      <c r="AC275" s="387"/>
      <c r="AD275" s="387"/>
      <c r="AE275" s="387"/>
      <c r="AF275" s="387"/>
      <c r="AG275" s="387"/>
      <c r="AH275" s="387"/>
      <c r="AI275" s="387"/>
      <c r="AJ275" s="167"/>
      <c r="AK275" s="13"/>
      <c r="AL275" s="12" t="s">
        <v>1732</v>
      </c>
      <c r="AM275" s="13"/>
      <c r="AN275" s="12" t="s">
        <v>1732</v>
      </c>
      <c r="AO275" s="13"/>
      <c r="AP275" s="13"/>
      <c r="AQ275" s="13"/>
      <c r="AR275" s="13"/>
      <c r="AS275" s="13" t="s">
        <v>1733</v>
      </c>
      <c r="AT275" s="13"/>
      <c r="AU275" s="13"/>
      <c r="AV275" s="13"/>
      <c r="AW275" s="13"/>
      <c r="AX275" s="167"/>
      <c r="AY275" s="13"/>
      <c r="AZ275" s="12"/>
      <c r="BA275" s="13"/>
      <c r="BB275" s="13"/>
      <c r="BC275" s="13"/>
      <c r="BD275" s="13"/>
      <c r="BE275" s="13"/>
      <c r="BF275" s="13"/>
      <c r="BG275" s="13"/>
      <c r="BH275" s="13"/>
      <c r="BI275" s="13"/>
      <c r="BJ275" s="5">
        <f>COUNTIF(M275,"*")+COUNTIF(W275,"*")+COUNTIF(AL275,"*")+COUNTIF(AZ275,"*")</f>
        <v>1</v>
      </c>
    </row>
    <row r="276" spans="1:62" ht="13.8" hidden="1">
      <c r="A276" s="32"/>
      <c r="B276" s="32">
        <f t="shared" si="1"/>
        <v>46</v>
      </c>
      <c r="C276" s="253" t="s">
        <v>858</v>
      </c>
      <c r="D276" s="253"/>
      <c r="E276" s="32"/>
      <c r="F276" s="32" t="s">
        <v>1735</v>
      </c>
      <c r="G276" s="210"/>
      <c r="H276" s="210"/>
      <c r="I276" s="32"/>
      <c r="J276" s="32"/>
      <c r="K276" s="32"/>
      <c r="L276" s="32"/>
      <c r="M276" s="12"/>
      <c r="N276" s="13"/>
      <c r="O276" s="13"/>
      <c r="P276" s="13"/>
      <c r="Q276" s="13"/>
      <c r="R276" s="13"/>
      <c r="S276" s="13"/>
      <c r="T276" s="13"/>
      <c r="U276" s="167"/>
      <c r="V276" s="13"/>
      <c r="W276" s="173"/>
      <c r="X276" s="13"/>
      <c r="Y276" s="13"/>
      <c r="Z276" s="13"/>
      <c r="AA276" s="13"/>
      <c r="AB276" s="387"/>
      <c r="AC276" s="387"/>
      <c r="AD276" s="387"/>
      <c r="AE276" s="387"/>
      <c r="AF276" s="387"/>
      <c r="AG276" s="387"/>
      <c r="AH276" s="387"/>
      <c r="AI276" s="387"/>
      <c r="AJ276" s="167"/>
      <c r="AK276" s="13"/>
      <c r="AL276" s="12" t="s">
        <v>1734</v>
      </c>
      <c r="AM276" s="13"/>
      <c r="AN276" s="12" t="s">
        <v>1734</v>
      </c>
      <c r="AO276" s="13"/>
      <c r="AP276" s="13"/>
      <c r="AQ276" s="13"/>
      <c r="AR276" s="13"/>
      <c r="AS276" s="13" t="s">
        <v>1735</v>
      </c>
      <c r="AT276" s="13"/>
      <c r="AU276" s="13"/>
      <c r="AV276" s="13"/>
      <c r="AW276" s="13"/>
      <c r="AX276" s="167"/>
      <c r="AY276" s="13"/>
      <c r="AZ276" s="12"/>
      <c r="BA276" s="13"/>
      <c r="BB276" s="13"/>
      <c r="BC276" s="13"/>
      <c r="BD276" s="13"/>
      <c r="BE276" s="13"/>
      <c r="BF276" s="13"/>
      <c r="BG276" s="13"/>
      <c r="BH276" s="13"/>
      <c r="BI276" s="13"/>
      <c r="BJ276" s="5">
        <f>COUNTIF(M276,"*")+COUNTIF(W276,"*")+COUNTIF(AL276,"*")+COUNTIF(AZ276,"*")</f>
        <v>1</v>
      </c>
    </row>
    <row r="277" spans="1:62" ht="41.4" hidden="1">
      <c r="A277" s="32">
        <v>14</v>
      </c>
      <c r="B277" s="32">
        <f t="shared" si="1"/>
        <v>47</v>
      </c>
      <c r="C277" s="253" t="s">
        <v>858</v>
      </c>
      <c r="D277" s="253"/>
      <c r="E277" s="32"/>
      <c r="F277" s="32" t="s">
        <v>974</v>
      </c>
      <c r="G277" s="210"/>
      <c r="H277" s="210"/>
      <c r="I277" s="32"/>
      <c r="J277" s="32"/>
      <c r="K277" s="32"/>
      <c r="L277" s="32"/>
      <c r="M277" s="12" t="s">
        <v>975</v>
      </c>
      <c r="N277" s="261"/>
      <c r="O277" s="132" t="s">
        <v>976</v>
      </c>
      <c r="P277" s="496" t="s">
        <v>977</v>
      </c>
      <c r="Q277" s="496"/>
      <c r="R277" s="37"/>
      <c r="S277" s="37"/>
      <c r="T277" s="37"/>
      <c r="U277" s="171"/>
      <c r="V277" s="37"/>
      <c r="W277" s="173"/>
      <c r="X277" s="13"/>
      <c r="Y277" s="13"/>
      <c r="Z277" s="13"/>
      <c r="AA277" s="13"/>
      <c r="AB277" s="154"/>
      <c r="AC277" s="154"/>
      <c r="AD277" s="154"/>
      <c r="AE277" s="154"/>
      <c r="AF277" s="154"/>
      <c r="AG277" s="154"/>
      <c r="AH277" s="154"/>
      <c r="AI277" s="379"/>
      <c r="AJ277" s="171"/>
      <c r="AK277" s="37"/>
      <c r="AL277" s="12" t="s">
        <v>1728</v>
      </c>
      <c r="AM277" s="13"/>
      <c r="AN277" s="12" t="s">
        <v>1728</v>
      </c>
      <c r="AO277" s="13"/>
      <c r="AP277" s="13"/>
      <c r="AQ277" s="13"/>
      <c r="AR277" s="13"/>
      <c r="AS277" s="13" t="s">
        <v>1729</v>
      </c>
      <c r="AT277" s="13"/>
      <c r="AU277" s="13" t="s">
        <v>2021</v>
      </c>
      <c r="AV277" s="13"/>
      <c r="AW277" s="13"/>
      <c r="AX277" s="171"/>
      <c r="AY277" s="37"/>
      <c r="AZ277" s="12"/>
      <c r="BA277" s="13"/>
      <c r="BB277" s="13"/>
      <c r="BC277" s="13"/>
      <c r="BD277" s="13"/>
      <c r="BE277" s="13"/>
      <c r="BF277" s="13"/>
      <c r="BG277" s="13"/>
      <c r="BH277" s="13"/>
      <c r="BI277" s="13"/>
      <c r="BJ277" s="5">
        <f>COUNTIF(M277,"*")+COUNTIF(W277,"*")+COUNTIF(AL277,"*")+COUNTIF(AZ277,"*")</f>
        <v>2</v>
      </c>
    </row>
    <row r="278" spans="1:62" ht="14.4" hidden="1">
      <c r="A278" s="32">
        <v>14</v>
      </c>
      <c r="B278" s="32">
        <f t="shared" si="1"/>
        <v>48</v>
      </c>
      <c r="C278" s="253" t="s">
        <v>858</v>
      </c>
      <c r="D278" s="253"/>
      <c r="E278" s="32"/>
      <c r="F278" s="32" t="s">
        <v>978</v>
      </c>
      <c r="G278" s="210"/>
      <c r="H278" s="210"/>
      <c r="I278" s="32"/>
      <c r="J278" s="32"/>
      <c r="K278" s="32"/>
      <c r="L278" s="32"/>
      <c r="M278" s="12" t="s">
        <v>979</v>
      </c>
      <c r="N278" s="261"/>
      <c r="O278" s="132" t="s">
        <v>978</v>
      </c>
      <c r="P278" s="496" t="s">
        <v>980</v>
      </c>
      <c r="Q278" s="496"/>
      <c r="R278" s="37"/>
      <c r="S278" s="37"/>
      <c r="T278" s="37"/>
      <c r="U278" s="171"/>
      <c r="V278" s="37"/>
      <c r="W278" s="173"/>
      <c r="X278" s="13"/>
      <c r="Y278" s="13"/>
      <c r="Z278" s="13"/>
      <c r="AA278" s="13"/>
      <c r="AB278" s="154"/>
      <c r="AC278" s="154"/>
      <c r="AD278" s="154"/>
      <c r="AE278" s="154"/>
      <c r="AF278" s="154"/>
      <c r="AG278" s="154"/>
      <c r="AH278" s="154"/>
      <c r="AI278" s="379"/>
      <c r="AJ278" s="171"/>
      <c r="AK278" s="37"/>
      <c r="AL278" s="12"/>
      <c r="AM278" s="13"/>
      <c r="AN278" s="12"/>
      <c r="AO278" s="13"/>
      <c r="AP278" s="13"/>
      <c r="AQ278" s="13"/>
      <c r="AR278" s="13"/>
      <c r="AS278" s="13"/>
      <c r="AT278" s="13"/>
      <c r="AU278" s="13"/>
      <c r="AV278" s="13"/>
      <c r="AW278" s="13"/>
      <c r="AX278" s="171"/>
      <c r="AY278" s="37"/>
      <c r="AZ278" s="12"/>
      <c r="BA278" s="13"/>
      <c r="BB278" s="13"/>
      <c r="BC278" s="13"/>
      <c r="BD278" s="13"/>
      <c r="BE278" s="13"/>
      <c r="BF278" s="13"/>
      <c r="BG278" s="13"/>
      <c r="BH278" s="13"/>
      <c r="BI278" s="13"/>
      <c r="BJ278" s="5">
        <f>COUNTIF(M278,"*")+COUNTIF(W278,"*")+COUNTIF(AL278,"*")+COUNTIF(AZ278,"*")</f>
        <v>1</v>
      </c>
    </row>
    <row r="279" spans="1:62" ht="14.4" hidden="1">
      <c r="A279" s="32">
        <v>14</v>
      </c>
      <c r="B279" s="32">
        <f t="shared" si="1"/>
        <v>49</v>
      </c>
      <c r="C279" s="253" t="s">
        <v>858</v>
      </c>
      <c r="D279" s="253"/>
      <c r="E279" s="32"/>
      <c r="F279" s="32" t="s">
        <v>981</v>
      </c>
      <c r="G279" s="210"/>
      <c r="H279" s="210"/>
      <c r="I279" s="32"/>
      <c r="J279" s="32"/>
      <c r="K279" s="32"/>
      <c r="L279" s="32"/>
      <c r="M279" s="12" t="s">
        <v>982</v>
      </c>
      <c r="N279" s="261"/>
      <c r="O279" s="132" t="s">
        <v>983</v>
      </c>
      <c r="P279" s="496" t="s">
        <v>984</v>
      </c>
      <c r="Q279" s="496"/>
      <c r="R279" s="37"/>
      <c r="S279" s="37"/>
      <c r="T279" s="37"/>
      <c r="U279" s="171"/>
      <c r="V279" s="37"/>
      <c r="W279" s="173"/>
      <c r="X279" s="13"/>
      <c r="Y279" s="13"/>
      <c r="Z279" s="13"/>
      <c r="AA279" s="13"/>
      <c r="AB279" s="154"/>
      <c r="AC279" s="154"/>
      <c r="AD279" s="154"/>
      <c r="AE279" s="154"/>
      <c r="AF279" s="154"/>
      <c r="AG279" s="154"/>
      <c r="AH279" s="154"/>
      <c r="AI279" s="379"/>
      <c r="AJ279" s="171"/>
      <c r="AK279" s="37"/>
      <c r="AL279" s="12" t="s">
        <v>1726</v>
      </c>
      <c r="AM279" s="13"/>
      <c r="AN279" s="12" t="s">
        <v>1726</v>
      </c>
      <c r="AO279" s="13"/>
      <c r="AP279" s="13"/>
      <c r="AQ279" s="13"/>
      <c r="AR279" s="13"/>
      <c r="AS279" s="13"/>
      <c r="AT279" s="13"/>
      <c r="AU279" s="13"/>
      <c r="AV279" s="13"/>
      <c r="AW279" s="13"/>
      <c r="AX279" s="171"/>
      <c r="AY279" s="37"/>
      <c r="AZ279" s="12"/>
      <c r="BA279" s="13"/>
      <c r="BB279" s="13"/>
      <c r="BC279" s="13"/>
      <c r="BD279" s="13"/>
      <c r="BE279" s="13"/>
      <c r="BF279" s="13"/>
      <c r="BG279" s="13"/>
      <c r="BH279" s="13"/>
      <c r="BI279" s="13"/>
      <c r="BJ279" s="5">
        <f>COUNTIF(M279,"*")+COUNTIF(W279,"*")+COUNTIF(AL279,"*")+COUNTIF(AZ279,"*")</f>
        <v>2</v>
      </c>
    </row>
    <row r="280" spans="1:62" ht="14.4" hidden="1">
      <c r="A280" s="32">
        <v>14</v>
      </c>
      <c r="B280" s="32">
        <f t="shared" si="1"/>
        <v>50</v>
      </c>
      <c r="C280" s="253" t="s">
        <v>858</v>
      </c>
      <c r="D280" s="253"/>
      <c r="E280" s="32"/>
      <c r="F280" s="32" t="s">
        <v>985</v>
      </c>
      <c r="G280" s="210"/>
      <c r="H280" s="210"/>
      <c r="I280" s="32"/>
      <c r="J280" s="32"/>
      <c r="K280" s="32"/>
      <c r="L280" s="32"/>
      <c r="M280" s="12" t="s">
        <v>986</v>
      </c>
      <c r="N280" s="261"/>
      <c r="O280" s="132" t="s">
        <v>985</v>
      </c>
      <c r="P280" s="496" t="s">
        <v>987</v>
      </c>
      <c r="Q280" s="496"/>
      <c r="R280" s="37"/>
      <c r="S280" s="37"/>
      <c r="T280" s="37"/>
      <c r="U280" s="171"/>
      <c r="V280" s="37"/>
      <c r="W280" s="173"/>
      <c r="X280" s="13"/>
      <c r="Y280" s="13"/>
      <c r="Z280" s="13"/>
      <c r="AA280" s="13"/>
      <c r="AB280" s="154"/>
      <c r="AC280" s="154"/>
      <c r="AD280" s="154"/>
      <c r="AE280" s="154"/>
      <c r="AF280" s="154"/>
      <c r="AG280" s="154"/>
      <c r="AH280" s="154"/>
      <c r="AI280" s="379"/>
      <c r="AJ280" s="171"/>
      <c r="AK280" s="37"/>
      <c r="AL280" s="12"/>
      <c r="AM280" s="13"/>
      <c r="AN280" s="12"/>
      <c r="AO280" s="13"/>
      <c r="AP280" s="13"/>
      <c r="AQ280" s="13"/>
      <c r="AR280" s="13"/>
      <c r="AS280" s="13"/>
      <c r="AT280" s="13"/>
      <c r="AU280" s="13"/>
      <c r="AV280" s="13"/>
      <c r="AW280" s="13"/>
      <c r="AX280" s="171"/>
      <c r="AY280" s="37"/>
      <c r="AZ280" s="12"/>
      <c r="BA280" s="13"/>
      <c r="BB280" s="13"/>
      <c r="BC280" s="13"/>
      <c r="BD280" s="13"/>
      <c r="BE280" s="13"/>
      <c r="BF280" s="13"/>
      <c r="BG280" s="13"/>
      <c r="BH280" s="13"/>
      <c r="BI280" s="13"/>
      <c r="BJ280" s="5">
        <f>COUNTIF(M280,"*")+COUNTIF(W280,"*")+COUNTIF(AL280,"*")+COUNTIF(AZ280,"*")</f>
        <v>1</v>
      </c>
    </row>
    <row r="281" spans="1:62" ht="14.4" hidden="1">
      <c r="A281" s="32">
        <v>14</v>
      </c>
      <c r="B281" s="32">
        <f t="shared" si="1"/>
        <v>51</v>
      </c>
      <c r="C281" s="253" t="s">
        <v>858</v>
      </c>
      <c r="D281" s="253"/>
      <c r="E281" s="32"/>
      <c r="F281" s="32" t="s">
        <v>988</v>
      </c>
      <c r="G281" s="210"/>
      <c r="H281" s="210"/>
      <c r="I281" s="32"/>
      <c r="J281" s="32"/>
      <c r="K281" s="32"/>
      <c r="L281" s="32"/>
      <c r="M281" s="12" t="s">
        <v>989</v>
      </c>
      <c r="N281" s="261"/>
      <c r="O281" s="132" t="s">
        <v>990</v>
      </c>
      <c r="P281" s="496" t="s">
        <v>991</v>
      </c>
      <c r="Q281" s="496"/>
      <c r="R281" s="37"/>
      <c r="S281" s="37"/>
      <c r="T281" s="37"/>
      <c r="U281" s="171"/>
      <c r="V281" s="37"/>
      <c r="W281" s="173"/>
      <c r="X281" s="13"/>
      <c r="Y281" s="13"/>
      <c r="Z281" s="13"/>
      <c r="AA281" s="13"/>
      <c r="AB281" s="154"/>
      <c r="AC281" s="154"/>
      <c r="AD281" s="154"/>
      <c r="AE281" s="154"/>
      <c r="AF281" s="154"/>
      <c r="AG281" s="154"/>
      <c r="AH281" s="154"/>
      <c r="AI281" s="379"/>
      <c r="AJ281" s="171"/>
      <c r="AK281" s="37"/>
      <c r="AL281" s="12"/>
      <c r="AM281" s="13"/>
      <c r="AN281" s="12"/>
      <c r="AO281" s="13"/>
      <c r="AP281" s="13"/>
      <c r="AQ281" s="13"/>
      <c r="AR281" s="13"/>
      <c r="AS281" s="13"/>
      <c r="AT281" s="13"/>
      <c r="AU281" s="13"/>
      <c r="AV281" s="13"/>
      <c r="AW281" s="13"/>
      <c r="AX281" s="171"/>
      <c r="AY281" s="37"/>
      <c r="AZ281" s="12"/>
      <c r="BA281" s="13"/>
      <c r="BB281" s="13"/>
      <c r="BC281" s="13"/>
      <c r="BD281" s="13"/>
      <c r="BE281" s="13"/>
      <c r="BF281" s="13"/>
      <c r="BG281" s="13"/>
      <c r="BH281" s="13"/>
      <c r="BI281" s="13"/>
      <c r="BJ281" s="5">
        <f>COUNTIF(M281,"*")+COUNTIF(W281,"*")+COUNTIF(AL281,"*")+COUNTIF(AZ281,"*")</f>
        <v>1</v>
      </c>
    </row>
    <row r="282" spans="1:62" ht="14.4" hidden="1">
      <c r="A282" s="32">
        <v>14</v>
      </c>
      <c r="B282" s="32">
        <f t="shared" si="1"/>
        <v>52</v>
      </c>
      <c r="C282" s="253" t="s">
        <v>858</v>
      </c>
      <c r="D282" s="253"/>
      <c r="E282" s="32"/>
      <c r="F282" s="32" t="s">
        <v>992</v>
      </c>
      <c r="G282" s="210"/>
      <c r="H282" s="210"/>
      <c r="I282" s="32"/>
      <c r="J282" s="32"/>
      <c r="K282" s="32"/>
      <c r="L282" s="32"/>
      <c r="M282" s="12" t="s">
        <v>993</v>
      </c>
      <c r="N282" s="261"/>
      <c r="O282" s="132" t="s">
        <v>992</v>
      </c>
      <c r="P282" s="496" t="s">
        <v>994</v>
      </c>
      <c r="Q282" s="496"/>
      <c r="R282" s="37"/>
      <c r="S282" s="37"/>
      <c r="T282" s="37"/>
      <c r="U282" s="171"/>
      <c r="V282" s="37"/>
      <c r="W282" s="173"/>
      <c r="X282" s="13"/>
      <c r="Y282" s="13"/>
      <c r="Z282" s="13"/>
      <c r="AA282" s="13"/>
      <c r="AB282" s="154"/>
      <c r="AC282" s="154"/>
      <c r="AD282" s="154"/>
      <c r="AE282" s="154"/>
      <c r="AF282" s="154"/>
      <c r="AG282" s="154"/>
      <c r="AH282" s="154"/>
      <c r="AI282" s="379"/>
      <c r="AJ282" s="171"/>
      <c r="AK282" s="37"/>
      <c r="AL282" s="12"/>
      <c r="AM282" s="13"/>
      <c r="AN282" s="12"/>
      <c r="AO282" s="13"/>
      <c r="AP282" s="13"/>
      <c r="AQ282" s="13"/>
      <c r="AR282" s="13"/>
      <c r="AS282" s="13"/>
      <c r="AT282" s="13"/>
      <c r="AU282" s="13"/>
      <c r="AV282" s="13"/>
      <c r="AW282" s="13"/>
      <c r="AX282" s="171"/>
      <c r="AY282" s="37"/>
      <c r="AZ282" s="12"/>
      <c r="BA282" s="13"/>
      <c r="BB282" s="13"/>
      <c r="BC282" s="13"/>
      <c r="BD282" s="13"/>
      <c r="BE282" s="13"/>
      <c r="BF282" s="13"/>
      <c r="BG282" s="13"/>
      <c r="BH282" s="13"/>
      <c r="BI282" s="13"/>
      <c r="BJ282" s="5">
        <f>COUNTIF(M282,"*")+COUNTIF(W282,"*")+COUNTIF(AL282,"*")+COUNTIF(AZ282,"*")</f>
        <v>1</v>
      </c>
    </row>
    <row r="283" spans="1:62" ht="14.4" hidden="1">
      <c r="A283" s="32">
        <v>14</v>
      </c>
      <c r="B283" s="32">
        <f t="shared" si="1"/>
        <v>53</v>
      </c>
      <c r="C283" s="253" t="s">
        <v>858</v>
      </c>
      <c r="D283" s="253"/>
      <c r="E283" s="32"/>
      <c r="F283" s="32" t="s">
        <v>995</v>
      </c>
      <c r="G283" s="210"/>
      <c r="H283" s="210"/>
      <c r="I283" s="32"/>
      <c r="J283" s="32"/>
      <c r="K283" s="32"/>
      <c r="L283" s="32"/>
      <c r="M283" s="12" t="s">
        <v>996</v>
      </c>
      <c r="N283" s="261"/>
      <c r="O283" s="132" t="s">
        <v>997</v>
      </c>
      <c r="P283" s="496" t="s">
        <v>998</v>
      </c>
      <c r="Q283" s="496"/>
      <c r="R283" s="37"/>
      <c r="S283" s="37"/>
      <c r="T283" s="37"/>
      <c r="U283" s="171"/>
      <c r="V283" s="37"/>
      <c r="W283" s="173"/>
      <c r="X283" s="13"/>
      <c r="Y283" s="13"/>
      <c r="Z283" s="13"/>
      <c r="AA283" s="13"/>
      <c r="AB283" s="154"/>
      <c r="AC283" s="154"/>
      <c r="AD283" s="154"/>
      <c r="AE283" s="154"/>
      <c r="AF283" s="154"/>
      <c r="AG283" s="154"/>
      <c r="AH283" s="154"/>
      <c r="AI283" s="379"/>
      <c r="AJ283" s="171"/>
      <c r="AK283" s="37"/>
      <c r="AL283" s="12"/>
      <c r="AM283" s="13"/>
      <c r="AN283" s="12"/>
      <c r="AO283" s="13"/>
      <c r="AP283" s="13"/>
      <c r="AQ283" s="13"/>
      <c r="AR283" s="13"/>
      <c r="AS283" s="13"/>
      <c r="AT283" s="13"/>
      <c r="AU283" s="13"/>
      <c r="AV283" s="13"/>
      <c r="AW283" s="13"/>
      <c r="AX283" s="171"/>
      <c r="AY283" s="37"/>
      <c r="AZ283" s="12"/>
      <c r="BA283" s="13"/>
      <c r="BB283" s="13"/>
      <c r="BC283" s="13"/>
      <c r="BD283" s="13"/>
      <c r="BE283" s="13"/>
      <c r="BF283" s="13"/>
      <c r="BG283" s="13"/>
      <c r="BH283" s="13"/>
      <c r="BI283" s="13"/>
      <c r="BJ283" s="5">
        <f>COUNTIF(M283,"*")+COUNTIF(W283,"*")+COUNTIF(AL283,"*")+COUNTIF(AZ283,"*")</f>
        <v>1</v>
      </c>
    </row>
    <row r="284" spans="1:62" ht="14.4" hidden="1">
      <c r="A284" s="32">
        <v>14</v>
      </c>
      <c r="B284" s="32">
        <f t="shared" si="1"/>
        <v>54</v>
      </c>
      <c r="C284" s="253" t="s">
        <v>858</v>
      </c>
      <c r="D284" s="253"/>
      <c r="E284" s="32"/>
      <c r="F284" s="32" t="s">
        <v>999</v>
      </c>
      <c r="G284" s="210"/>
      <c r="H284" s="210"/>
      <c r="I284" s="32"/>
      <c r="J284" s="32"/>
      <c r="K284" s="32"/>
      <c r="L284" s="32"/>
      <c r="M284" s="12" t="s">
        <v>1000</v>
      </c>
      <c r="N284" s="261"/>
      <c r="O284" s="132" t="s">
        <v>999</v>
      </c>
      <c r="P284" s="496" t="s">
        <v>1001</v>
      </c>
      <c r="Q284" s="496"/>
      <c r="R284" s="37"/>
      <c r="S284" s="37"/>
      <c r="T284" s="37"/>
      <c r="U284" s="171"/>
      <c r="V284" s="37"/>
      <c r="W284" s="173"/>
      <c r="X284" s="13"/>
      <c r="Y284" s="13"/>
      <c r="Z284" s="13"/>
      <c r="AA284" s="13"/>
      <c r="AB284" s="154"/>
      <c r="AC284" s="154"/>
      <c r="AD284" s="154"/>
      <c r="AE284" s="154"/>
      <c r="AF284" s="154"/>
      <c r="AG284" s="154"/>
      <c r="AH284" s="154"/>
      <c r="AI284" s="379"/>
      <c r="AJ284" s="171"/>
      <c r="AK284" s="37"/>
      <c r="AL284" s="12"/>
      <c r="AM284" s="13"/>
      <c r="AN284" s="12"/>
      <c r="AO284" s="13"/>
      <c r="AP284" s="13"/>
      <c r="AQ284" s="13"/>
      <c r="AR284" s="13"/>
      <c r="AS284" s="13"/>
      <c r="AT284" s="13"/>
      <c r="AU284" s="13"/>
      <c r="AV284" s="13"/>
      <c r="AW284" s="13"/>
      <c r="AX284" s="171"/>
      <c r="AY284" s="37"/>
      <c r="AZ284" s="12"/>
      <c r="BA284" s="13"/>
      <c r="BB284" s="13"/>
      <c r="BC284" s="13"/>
      <c r="BD284" s="13"/>
      <c r="BE284" s="13"/>
      <c r="BF284" s="13"/>
      <c r="BG284" s="13"/>
      <c r="BH284" s="13"/>
      <c r="BI284" s="13"/>
      <c r="BJ284" s="5">
        <f>COUNTIF(M284,"*")+COUNTIF(W284,"*")+COUNTIF(AL284,"*")+COUNTIF(AZ284,"*")</f>
        <v>1</v>
      </c>
    </row>
    <row r="285" spans="1:62" ht="14.4" hidden="1">
      <c r="A285" s="32">
        <v>14</v>
      </c>
      <c r="B285" s="32">
        <f t="shared" si="1"/>
        <v>55</v>
      </c>
      <c r="C285" s="253" t="s">
        <v>858</v>
      </c>
      <c r="D285" s="253"/>
      <c r="E285" s="32"/>
      <c r="F285" s="32" t="s">
        <v>1002</v>
      </c>
      <c r="G285" s="210"/>
      <c r="H285" s="210"/>
      <c r="I285" s="32"/>
      <c r="J285" s="32"/>
      <c r="K285" s="32"/>
      <c r="L285" s="32"/>
      <c r="M285" s="12" t="s">
        <v>1003</v>
      </c>
      <c r="N285" s="261"/>
      <c r="O285" s="132" t="s">
        <v>1004</v>
      </c>
      <c r="P285" s="496" t="s">
        <v>1005</v>
      </c>
      <c r="Q285" s="496"/>
      <c r="R285" s="37"/>
      <c r="S285" s="37"/>
      <c r="T285" s="37"/>
      <c r="U285" s="171"/>
      <c r="V285" s="37"/>
      <c r="W285" s="173"/>
      <c r="X285" s="13"/>
      <c r="Y285" s="13"/>
      <c r="Z285" s="13"/>
      <c r="AA285" s="13"/>
      <c r="AB285" s="154"/>
      <c r="AC285" s="154"/>
      <c r="AD285" s="154"/>
      <c r="AE285" s="154"/>
      <c r="AF285" s="154"/>
      <c r="AG285" s="154"/>
      <c r="AH285" s="154"/>
      <c r="AI285" s="379"/>
      <c r="AJ285" s="171"/>
      <c r="AK285" s="37"/>
      <c r="AL285" s="12"/>
      <c r="AM285" s="13"/>
      <c r="AN285" s="12"/>
      <c r="AO285" s="13"/>
      <c r="AP285" s="13"/>
      <c r="AQ285" s="13"/>
      <c r="AR285" s="13"/>
      <c r="AS285" s="13"/>
      <c r="AT285" s="13"/>
      <c r="AU285" s="13"/>
      <c r="AV285" s="13"/>
      <c r="AW285" s="13"/>
      <c r="AX285" s="171"/>
      <c r="AY285" s="37"/>
      <c r="AZ285" s="12"/>
      <c r="BA285" s="13"/>
      <c r="BB285" s="13"/>
      <c r="BC285" s="13"/>
      <c r="BD285" s="13"/>
      <c r="BE285" s="13"/>
      <c r="BF285" s="13"/>
      <c r="BG285" s="13"/>
      <c r="BH285" s="13"/>
      <c r="BI285" s="13"/>
      <c r="BJ285" s="5">
        <f>COUNTIF(M285,"*")+COUNTIF(W285,"*")+COUNTIF(AL285,"*")+COUNTIF(AZ285,"*")</f>
        <v>1</v>
      </c>
    </row>
    <row r="286" spans="1:62" ht="14.4" hidden="1">
      <c r="A286" s="32">
        <v>14</v>
      </c>
      <c r="B286" s="32">
        <f t="shared" si="1"/>
        <v>56</v>
      </c>
      <c r="C286" s="253" t="s">
        <v>858</v>
      </c>
      <c r="D286" s="253"/>
      <c r="E286" s="32"/>
      <c r="F286" s="32" t="s">
        <v>1006</v>
      </c>
      <c r="G286" s="210"/>
      <c r="H286" s="210"/>
      <c r="I286" s="32"/>
      <c r="J286" s="32"/>
      <c r="K286" s="32"/>
      <c r="L286" s="32"/>
      <c r="M286" s="12" t="s">
        <v>1007</v>
      </c>
      <c r="N286" s="37"/>
      <c r="O286" s="132" t="s">
        <v>1006</v>
      </c>
      <c r="P286" s="496" t="s">
        <v>1008</v>
      </c>
      <c r="Q286" s="496"/>
      <c r="R286" s="37"/>
      <c r="S286" s="37"/>
      <c r="T286" s="37"/>
      <c r="U286" s="171"/>
      <c r="V286" s="37"/>
      <c r="W286" s="173"/>
      <c r="X286" s="13"/>
      <c r="Y286" s="13"/>
      <c r="Z286" s="13"/>
      <c r="AA286" s="13"/>
      <c r="AB286" s="154"/>
      <c r="AC286" s="154"/>
      <c r="AD286" s="154"/>
      <c r="AE286" s="154"/>
      <c r="AF286" s="154"/>
      <c r="AG286" s="154"/>
      <c r="AH286" s="154"/>
      <c r="AI286" s="379"/>
      <c r="AJ286" s="171"/>
      <c r="AK286" s="37"/>
      <c r="AL286" s="12"/>
      <c r="AM286" s="13"/>
      <c r="AN286" s="12"/>
      <c r="AO286" s="13"/>
      <c r="AP286" s="13"/>
      <c r="AQ286" s="13"/>
      <c r="AR286" s="13"/>
      <c r="AS286" s="13"/>
      <c r="AT286" s="13"/>
      <c r="AU286" s="13"/>
      <c r="AV286" s="13"/>
      <c r="AW286" s="13"/>
      <c r="AX286" s="171"/>
      <c r="AY286" s="37"/>
      <c r="AZ286" s="12"/>
      <c r="BA286" s="13"/>
      <c r="BB286" s="13"/>
      <c r="BC286" s="12"/>
      <c r="BD286" s="13"/>
      <c r="BE286" s="13"/>
      <c r="BF286" s="13"/>
      <c r="BG286" s="13"/>
      <c r="BH286" s="13"/>
      <c r="BI286" s="13"/>
      <c r="BJ286" s="5">
        <f>COUNTIF(M286,"*")+COUNTIF(W286,"*")+COUNTIF(AL286,"*")+COUNTIF(AZ286,"*")</f>
        <v>1</v>
      </c>
    </row>
    <row r="287" spans="1:62" ht="13.8" hidden="1">
      <c r="A287" s="32">
        <v>14</v>
      </c>
      <c r="B287" s="32">
        <f t="shared" si="1"/>
        <v>57</v>
      </c>
      <c r="C287" s="253" t="s">
        <v>858</v>
      </c>
      <c r="D287" s="253"/>
      <c r="E287" s="32"/>
      <c r="F287" s="32" t="s">
        <v>1009</v>
      </c>
      <c r="G287" s="210" t="s">
        <v>1010</v>
      </c>
      <c r="H287" s="210"/>
      <c r="I287" s="32"/>
      <c r="J287" s="32" t="s">
        <v>1976</v>
      </c>
      <c r="K287" s="32"/>
      <c r="L287" s="32"/>
      <c r="M287" s="12" t="s">
        <v>1011</v>
      </c>
      <c r="N287" s="13"/>
      <c r="O287" s="13" t="s">
        <v>1012</v>
      </c>
      <c r="P287" s="13" t="s">
        <v>1013</v>
      </c>
      <c r="Q287" s="13"/>
      <c r="R287" s="13"/>
      <c r="S287" s="13"/>
      <c r="T287" s="13"/>
      <c r="U287" s="167"/>
      <c r="V287" s="13"/>
      <c r="W287" s="173"/>
      <c r="X287" s="13"/>
      <c r="Y287" s="13"/>
      <c r="Z287" s="13"/>
      <c r="AA287" s="13"/>
      <c r="AB287" s="154"/>
      <c r="AC287" s="154"/>
      <c r="AD287" s="154"/>
      <c r="AE287" s="154"/>
      <c r="AF287" s="154"/>
      <c r="AG287" s="154"/>
      <c r="AH287" s="154"/>
      <c r="AI287" s="379"/>
      <c r="AJ287" s="167"/>
      <c r="AK287" s="13"/>
      <c r="AL287" s="12"/>
      <c r="AM287" s="13"/>
      <c r="AN287" s="12"/>
      <c r="AO287" s="13"/>
      <c r="AP287" s="13"/>
      <c r="AQ287" s="13"/>
      <c r="AR287" s="13"/>
      <c r="AS287" s="13"/>
      <c r="AT287" s="13"/>
      <c r="AU287" s="13"/>
      <c r="AV287" s="13"/>
      <c r="AW287" s="13"/>
      <c r="AX287" s="167"/>
      <c r="AY287" s="13"/>
      <c r="AZ287" s="12" t="s">
        <v>1009</v>
      </c>
      <c r="BA287" s="13" t="s">
        <v>1010</v>
      </c>
      <c r="BB287" s="13"/>
      <c r="BC287" s="12"/>
      <c r="BD287" s="13" t="s">
        <v>1014</v>
      </c>
      <c r="BE287" s="13" t="s">
        <v>80</v>
      </c>
      <c r="BF287" s="13"/>
      <c r="BG287" s="13"/>
      <c r="BH287" s="13"/>
      <c r="BI287" s="13"/>
      <c r="BJ287" s="5">
        <f>COUNTIF(M287,"*")+COUNTIF(W287,"*")+COUNTIF(AL287,"*")+COUNTIF(AZ287,"*")</f>
        <v>2</v>
      </c>
    </row>
    <row r="288" spans="1:62" ht="14.4" hidden="1">
      <c r="A288" s="32">
        <v>14</v>
      </c>
      <c r="B288" s="32">
        <f t="shared" si="1"/>
        <v>58</v>
      </c>
      <c r="C288" s="253" t="s">
        <v>858</v>
      </c>
      <c r="D288" s="253"/>
      <c r="E288" s="32"/>
      <c r="F288" s="32" t="s">
        <v>1015</v>
      </c>
      <c r="G288" s="210"/>
      <c r="H288" s="210"/>
      <c r="I288" s="32"/>
      <c r="J288" s="32"/>
      <c r="K288" s="32"/>
      <c r="L288" s="32"/>
      <c r="M288" s="12" t="s">
        <v>1012</v>
      </c>
      <c r="N288" s="37"/>
      <c r="O288" s="132" t="s">
        <v>1013</v>
      </c>
      <c r="P288" s="496"/>
      <c r="Q288" s="496"/>
      <c r="R288" s="37"/>
      <c r="S288" s="37"/>
      <c r="T288" s="37"/>
      <c r="U288" s="171"/>
      <c r="V288" s="37"/>
      <c r="W288" s="173"/>
      <c r="X288" s="13"/>
      <c r="Y288" s="13"/>
      <c r="Z288" s="13"/>
      <c r="AA288" s="13"/>
      <c r="AB288" s="154"/>
      <c r="AC288" s="154"/>
      <c r="AD288" s="154"/>
      <c r="AE288" s="154"/>
      <c r="AF288" s="154"/>
      <c r="AG288" s="154"/>
      <c r="AH288" s="154"/>
      <c r="AI288" s="379"/>
      <c r="AJ288" s="171"/>
      <c r="AK288" s="37"/>
      <c r="AL288" s="12" t="s">
        <v>1692</v>
      </c>
      <c r="AM288" s="13"/>
      <c r="AN288" s="12" t="s">
        <v>1692</v>
      </c>
      <c r="AO288" s="13"/>
      <c r="AP288" s="13"/>
      <c r="AQ288" s="13"/>
      <c r="AR288" s="13"/>
      <c r="AS288" s="13"/>
      <c r="AT288" s="13"/>
      <c r="AU288" s="13"/>
      <c r="AV288" s="13"/>
      <c r="AW288" s="13"/>
      <c r="AX288" s="171"/>
      <c r="AY288" s="37"/>
      <c r="AZ288" s="12"/>
      <c r="BA288" s="13"/>
      <c r="BB288" s="13"/>
      <c r="BC288" s="12"/>
      <c r="BD288" s="13"/>
      <c r="BE288" s="13"/>
      <c r="BF288" s="13"/>
      <c r="BG288" s="13"/>
      <c r="BH288" s="13"/>
      <c r="BI288" s="13"/>
      <c r="BJ288" s="5">
        <f>COUNTIF(M288,"*")+COUNTIF(W288,"*")+COUNTIF(AL288,"*")+COUNTIF(AZ288,"*")</f>
        <v>2</v>
      </c>
    </row>
    <row r="289" spans="1:62" ht="14.4" hidden="1">
      <c r="A289" s="32"/>
      <c r="B289" s="32">
        <f t="shared" si="1"/>
        <v>59</v>
      </c>
      <c r="C289" s="253" t="s">
        <v>858</v>
      </c>
      <c r="D289" s="253"/>
      <c r="E289" s="32"/>
      <c r="F289" s="32" t="s">
        <v>1695</v>
      </c>
      <c r="G289" s="210"/>
      <c r="H289" s="210"/>
      <c r="I289" s="32"/>
      <c r="J289" s="32"/>
      <c r="K289" s="32"/>
      <c r="L289" s="32"/>
      <c r="M289" s="12"/>
      <c r="N289" s="37"/>
      <c r="O289" s="132"/>
      <c r="P289" s="496"/>
      <c r="Q289" s="496"/>
      <c r="R289" s="37"/>
      <c r="S289" s="37"/>
      <c r="T289" s="37"/>
      <c r="U289" s="171"/>
      <c r="V289" s="37"/>
      <c r="W289" s="173"/>
      <c r="X289" s="13"/>
      <c r="Y289" s="13"/>
      <c r="Z289" s="13"/>
      <c r="AA289" s="13"/>
      <c r="AB289" s="387"/>
      <c r="AC289" s="387"/>
      <c r="AD289" s="387"/>
      <c r="AE289" s="387"/>
      <c r="AF289" s="387"/>
      <c r="AG289" s="387"/>
      <c r="AH289" s="387"/>
      <c r="AI289" s="387"/>
      <c r="AJ289" s="171"/>
      <c r="AK289" s="37"/>
      <c r="AL289" s="12" t="s">
        <v>1694</v>
      </c>
      <c r="AM289" s="13"/>
      <c r="AN289" s="12" t="s">
        <v>1694</v>
      </c>
      <c r="AO289" s="13"/>
      <c r="AP289" s="13"/>
      <c r="AQ289" s="13"/>
      <c r="AR289" s="13"/>
      <c r="AS289" s="13"/>
      <c r="AT289" s="13"/>
      <c r="AU289" s="13"/>
      <c r="AV289" s="13"/>
      <c r="AW289" s="13"/>
      <c r="AX289" s="171"/>
      <c r="AY289" s="37"/>
      <c r="AZ289" s="12"/>
      <c r="BA289" s="13"/>
      <c r="BB289" s="13"/>
      <c r="BC289" s="12"/>
      <c r="BD289" s="13"/>
      <c r="BE289" s="13"/>
      <c r="BF289" s="13"/>
      <c r="BG289" s="13"/>
      <c r="BH289" s="13"/>
      <c r="BI289" s="13"/>
      <c r="BJ289" s="5">
        <f>COUNTIF(M289,"*")+COUNTIF(W289,"*")+COUNTIF(AL289,"*")+COUNTIF(AZ289,"*")</f>
        <v>1</v>
      </c>
    </row>
    <row r="290" spans="1:62" ht="14.4" hidden="1">
      <c r="A290" s="32">
        <v>14</v>
      </c>
      <c r="B290" s="32">
        <f t="shared" si="1"/>
        <v>60</v>
      </c>
      <c r="C290" s="253" t="s">
        <v>858</v>
      </c>
      <c r="D290" s="253"/>
      <c r="E290" s="32"/>
      <c r="F290" s="32" t="s">
        <v>1016</v>
      </c>
      <c r="G290" s="210"/>
      <c r="H290" s="210"/>
      <c r="I290" s="32"/>
      <c r="J290" s="32"/>
      <c r="K290" s="32"/>
      <c r="L290" s="32"/>
      <c r="M290" s="12" t="s">
        <v>1017</v>
      </c>
      <c r="N290" s="37"/>
      <c r="O290" s="132" t="s">
        <v>1016</v>
      </c>
      <c r="P290" s="496"/>
      <c r="Q290" s="496"/>
      <c r="R290" s="37"/>
      <c r="S290" s="37"/>
      <c r="T290" s="37"/>
      <c r="U290" s="171"/>
      <c r="V290" s="37"/>
      <c r="W290" s="173"/>
      <c r="X290" s="13"/>
      <c r="Y290" s="13"/>
      <c r="Z290" s="13"/>
      <c r="AA290" s="13"/>
      <c r="AB290" s="154"/>
      <c r="AC290" s="154"/>
      <c r="AD290" s="154"/>
      <c r="AE290" s="154"/>
      <c r="AF290" s="154"/>
      <c r="AG290" s="154"/>
      <c r="AH290" s="154"/>
      <c r="AI290" s="379"/>
      <c r="AJ290" s="171"/>
      <c r="AK290" s="37"/>
      <c r="AL290" s="12"/>
      <c r="AM290" s="13"/>
      <c r="AN290" s="12"/>
      <c r="AO290" s="13"/>
      <c r="AP290" s="13"/>
      <c r="AQ290" s="13"/>
      <c r="AR290" s="13"/>
      <c r="AS290" s="13"/>
      <c r="AT290" s="13"/>
      <c r="AU290" s="13"/>
      <c r="AV290" s="13"/>
      <c r="AW290" s="13"/>
      <c r="AX290" s="171"/>
      <c r="AY290" s="37"/>
      <c r="AZ290" s="12"/>
      <c r="BA290" s="13"/>
      <c r="BB290" s="13"/>
      <c r="BC290" s="12"/>
      <c r="BD290" s="13"/>
      <c r="BE290" s="13"/>
      <c r="BF290" s="13"/>
      <c r="BG290" s="13"/>
      <c r="BH290" s="13"/>
      <c r="BI290" s="13"/>
      <c r="BJ290" s="5">
        <f>COUNTIF(M290,"*")+COUNTIF(W290,"*")+COUNTIF(AL290,"*")+COUNTIF(AZ290,"*")</f>
        <v>1</v>
      </c>
    </row>
    <row r="291" spans="1:62" ht="27.6" hidden="1">
      <c r="A291" s="32"/>
      <c r="B291" s="32">
        <f t="shared" si="1"/>
        <v>61</v>
      </c>
      <c r="C291" s="253" t="s">
        <v>858</v>
      </c>
      <c r="D291" s="253"/>
      <c r="E291" s="32"/>
      <c r="F291" s="32" t="s">
        <v>1697</v>
      </c>
      <c r="G291" s="210"/>
      <c r="H291" s="210"/>
      <c r="I291" s="32"/>
      <c r="J291" s="32"/>
      <c r="K291" s="32"/>
      <c r="L291" s="32"/>
      <c r="M291" s="12"/>
      <c r="N291" s="37"/>
      <c r="O291" s="132"/>
      <c r="P291" s="496"/>
      <c r="Q291" s="496"/>
      <c r="R291" s="37"/>
      <c r="S291" s="37"/>
      <c r="T291" s="37"/>
      <c r="U291" s="171"/>
      <c r="V291" s="37"/>
      <c r="W291" s="173"/>
      <c r="X291" s="13"/>
      <c r="Y291" s="13"/>
      <c r="Z291" s="13"/>
      <c r="AA291" s="13"/>
      <c r="AB291" s="387"/>
      <c r="AC291" s="387"/>
      <c r="AD291" s="387"/>
      <c r="AE291" s="387"/>
      <c r="AF291" s="387"/>
      <c r="AG291" s="387"/>
      <c r="AH291" s="387"/>
      <c r="AI291" s="387"/>
      <c r="AJ291" s="171"/>
      <c r="AK291" s="37"/>
      <c r="AL291" s="12" t="s">
        <v>1696</v>
      </c>
      <c r="AM291" s="13"/>
      <c r="AN291" s="12" t="s">
        <v>1696</v>
      </c>
      <c r="AO291" s="13"/>
      <c r="AP291" s="13"/>
      <c r="AQ291" s="13"/>
      <c r="AR291" s="13"/>
      <c r="AS291" s="13"/>
      <c r="AT291" s="13"/>
      <c r="AU291" s="13"/>
      <c r="AV291" s="13"/>
      <c r="AW291" s="13"/>
      <c r="AX291" s="171"/>
      <c r="AY291" s="37"/>
      <c r="AZ291" s="12"/>
      <c r="BA291" s="13"/>
      <c r="BB291" s="13"/>
      <c r="BC291" s="12"/>
      <c r="BD291" s="13"/>
      <c r="BE291" s="13"/>
      <c r="BF291" s="13"/>
      <c r="BG291" s="13"/>
      <c r="BH291" s="13"/>
      <c r="BI291" s="13"/>
      <c r="BJ291" s="5">
        <f>COUNTIF(M291,"*")+COUNTIF(W291,"*")+COUNTIF(AL291,"*")+COUNTIF(AZ291,"*")</f>
        <v>1</v>
      </c>
    </row>
    <row r="292" spans="1:62" ht="27.6" hidden="1">
      <c r="A292" s="32"/>
      <c r="B292" s="32">
        <f t="shared" si="1"/>
        <v>62</v>
      </c>
      <c r="C292" s="253" t="s">
        <v>858</v>
      </c>
      <c r="D292" s="32"/>
      <c r="E292" s="32"/>
      <c r="F292" s="32" t="s">
        <v>1699</v>
      </c>
      <c r="G292" s="210"/>
      <c r="H292" s="210"/>
      <c r="I292" s="32"/>
      <c r="J292" s="32"/>
      <c r="K292" s="32"/>
      <c r="L292" s="32"/>
      <c r="M292" s="12"/>
      <c r="N292" s="37"/>
      <c r="O292" s="132"/>
      <c r="P292" s="496"/>
      <c r="Q292" s="496"/>
      <c r="R292" s="37"/>
      <c r="S292" s="37"/>
      <c r="T292" s="37"/>
      <c r="U292" s="171"/>
      <c r="V292" s="37"/>
      <c r="W292" s="173"/>
      <c r="X292" s="13"/>
      <c r="Y292" s="13"/>
      <c r="Z292" s="13"/>
      <c r="AA292" s="13"/>
      <c r="AB292" s="387"/>
      <c r="AC292" s="387"/>
      <c r="AD292" s="387"/>
      <c r="AE292" s="387"/>
      <c r="AF292" s="387"/>
      <c r="AG292" s="387"/>
      <c r="AH292" s="387"/>
      <c r="AI292" s="387"/>
      <c r="AJ292" s="171"/>
      <c r="AK292" s="37"/>
      <c r="AL292" s="12" t="s">
        <v>1698</v>
      </c>
      <c r="AM292" s="13"/>
      <c r="AN292" s="12" t="s">
        <v>1698</v>
      </c>
      <c r="AO292" s="13"/>
      <c r="AP292" s="13"/>
      <c r="AQ292" s="13"/>
      <c r="AR292" s="13"/>
      <c r="AS292" s="13"/>
      <c r="AT292" s="13"/>
      <c r="AU292" s="13"/>
      <c r="AV292" s="13"/>
      <c r="AW292" s="13"/>
      <c r="AX292" s="171"/>
      <c r="AY292" s="37"/>
      <c r="AZ292" s="12"/>
      <c r="BA292" s="13"/>
      <c r="BB292" s="13"/>
      <c r="BC292" s="12"/>
      <c r="BD292" s="13"/>
      <c r="BE292" s="13"/>
      <c r="BF292" s="13"/>
      <c r="BG292" s="13"/>
      <c r="BH292" s="13"/>
      <c r="BI292" s="13"/>
      <c r="BJ292" s="5">
        <f>COUNTIF(M292,"*")+COUNTIF(W292,"*")+COUNTIF(AL292,"*")+COUNTIF(AZ292,"*")</f>
        <v>1</v>
      </c>
    </row>
    <row r="293" spans="1:62" ht="32.4" hidden="1" customHeight="1">
      <c r="B293" s="32">
        <f t="shared" si="1"/>
        <v>63</v>
      </c>
      <c r="C293" s="253" t="s">
        <v>858</v>
      </c>
      <c r="D293" s="32"/>
      <c r="E293" s="32"/>
      <c r="F293" s="234" t="s">
        <v>2018</v>
      </c>
      <c r="G293" s="210"/>
      <c r="I293" s="32"/>
      <c r="J293" s="32"/>
      <c r="K293" s="32"/>
      <c r="L293" s="32"/>
      <c r="M293" s="12"/>
      <c r="X293" s="13"/>
      <c r="AL293" s="12" t="s">
        <v>1700</v>
      </c>
      <c r="AN293" s="12" t="s">
        <v>1700</v>
      </c>
      <c r="AZ293" s="12"/>
      <c r="BA293" s="13"/>
      <c r="BB293" s="13"/>
      <c r="BC293" s="12"/>
      <c r="BD293" s="13"/>
      <c r="BE293" s="13"/>
      <c r="BF293" s="13"/>
      <c r="BG293" s="13"/>
      <c r="BJ293" s="5">
        <f>COUNTIF(M293,"*")+COUNTIF(W293,"*")+COUNTIF(AL293,"*")+COUNTIF(AZ293,"*")</f>
        <v>1</v>
      </c>
    </row>
    <row r="294" spans="1:62" ht="13.8" hidden="1">
      <c r="A294" s="32">
        <v>14</v>
      </c>
      <c r="B294" s="32">
        <f t="shared" si="1"/>
        <v>64</v>
      </c>
      <c r="C294" s="253" t="s">
        <v>858</v>
      </c>
      <c r="D294" s="32"/>
      <c r="E294" s="32"/>
      <c r="F294" s="32" t="s">
        <v>1018</v>
      </c>
      <c r="G294" s="210" t="s">
        <v>1019</v>
      </c>
      <c r="H294" s="210"/>
      <c r="I294" s="32"/>
      <c r="J294" s="32" t="s">
        <v>1976</v>
      </c>
      <c r="K294" s="32"/>
      <c r="L294" s="32"/>
      <c r="M294" s="12" t="s">
        <v>1020</v>
      </c>
      <c r="N294" s="13"/>
      <c r="O294" s="13" t="s">
        <v>1021</v>
      </c>
      <c r="P294" s="13"/>
      <c r="Q294" s="13"/>
      <c r="R294" s="13"/>
      <c r="S294" s="13"/>
      <c r="T294" s="13"/>
      <c r="U294" s="167"/>
      <c r="V294" s="13"/>
      <c r="W294" s="173"/>
      <c r="X294" s="13"/>
      <c r="Y294" s="13"/>
      <c r="Z294" s="13"/>
      <c r="AA294" s="13"/>
      <c r="AB294" s="319"/>
      <c r="AC294" s="319"/>
      <c r="AD294" s="319"/>
      <c r="AE294" s="319"/>
      <c r="AF294" s="319"/>
      <c r="AG294" s="319"/>
      <c r="AH294" s="319"/>
      <c r="AI294" s="379"/>
      <c r="AJ294" s="167"/>
      <c r="AK294" s="13"/>
      <c r="AL294" s="12"/>
      <c r="AM294" s="13"/>
      <c r="AN294" s="12"/>
      <c r="AO294" s="13"/>
      <c r="AP294" s="13"/>
      <c r="AQ294" s="13"/>
      <c r="AR294" s="13"/>
      <c r="AS294" s="13"/>
      <c r="AT294" s="13"/>
      <c r="AU294" s="13"/>
      <c r="AV294" s="13"/>
      <c r="AW294" s="13"/>
      <c r="AX294" s="167"/>
      <c r="AY294" s="13"/>
      <c r="AZ294" s="12" t="s">
        <v>1018</v>
      </c>
      <c r="BA294" s="13" t="s">
        <v>1019</v>
      </c>
      <c r="BB294" s="13"/>
      <c r="BC294" s="12"/>
      <c r="BD294" s="13" t="s">
        <v>1022</v>
      </c>
      <c r="BE294" s="13" t="s">
        <v>80</v>
      </c>
      <c r="BF294" s="13"/>
      <c r="BG294" s="13"/>
      <c r="BH294" s="13"/>
      <c r="BI294" s="13"/>
      <c r="BJ294" s="5">
        <f>COUNTIF(M294,"*")+COUNTIF(W294,"*")+COUNTIF(AL294,"*")+COUNTIF(AZ294,"*")</f>
        <v>2</v>
      </c>
    </row>
    <row r="295" spans="1:62" ht="14.4" hidden="1">
      <c r="A295" s="32">
        <v>14</v>
      </c>
      <c r="B295" s="32">
        <f t="shared" si="1"/>
        <v>65</v>
      </c>
      <c r="C295" s="253" t="s">
        <v>858</v>
      </c>
      <c r="D295" s="32"/>
      <c r="E295" s="32"/>
      <c r="F295" s="32" t="s">
        <v>1023</v>
      </c>
      <c r="G295" s="210"/>
      <c r="H295" s="210"/>
      <c r="I295" s="32"/>
      <c r="J295" s="32"/>
      <c r="K295" s="32"/>
      <c r="L295" s="32"/>
      <c r="M295" s="12" t="s">
        <v>1024</v>
      </c>
      <c r="N295" s="261"/>
      <c r="O295" s="132" t="s">
        <v>1023</v>
      </c>
      <c r="P295" s="496"/>
      <c r="Q295" s="496"/>
      <c r="R295" s="37"/>
      <c r="S295" s="37"/>
      <c r="T295" s="37"/>
      <c r="U295" s="171"/>
      <c r="V295" s="37"/>
      <c r="W295" s="173"/>
      <c r="X295" s="13"/>
      <c r="Y295" s="13"/>
      <c r="Z295" s="13"/>
      <c r="AA295" s="13"/>
      <c r="AB295" s="154"/>
      <c r="AC295" s="154"/>
      <c r="AD295" s="154"/>
      <c r="AE295" s="154"/>
      <c r="AF295" s="154"/>
      <c r="AG295" s="154"/>
      <c r="AH295" s="154"/>
      <c r="AI295" s="379"/>
      <c r="AJ295" s="171"/>
      <c r="AK295" s="37"/>
      <c r="AL295" s="12"/>
      <c r="AM295" s="13"/>
      <c r="AN295" s="12"/>
      <c r="AO295" s="13"/>
      <c r="AP295" s="13"/>
      <c r="AQ295" s="13"/>
      <c r="AR295" s="13"/>
      <c r="AS295" s="13"/>
      <c r="AT295" s="13"/>
      <c r="AU295" s="13"/>
      <c r="AV295" s="13"/>
      <c r="AW295" s="13"/>
      <c r="AX295" s="171"/>
      <c r="AY295" s="37"/>
      <c r="AZ295" s="12"/>
      <c r="BA295" s="13"/>
      <c r="BB295" s="13"/>
      <c r="BC295" s="12"/>
      <c r="BD295" s="13"/>
      <c r="BE295" s="13"/>
      <c r="BF295" s="13"/>
      <c r="BG295" s="13"/>
      <c r="BH295" s="13"/>
      <c r="BI295" s="13"/>
      <c r="BJ295" s="5">
        <f>COUNTIF(M295,"*")+COUNTIF(W295,"*")+COUNTIF(AL295,"*")+COUNTIF(AZ295,"*")</f>
        <v>1</v>
      </c>
    </row>
    <row r="296" spans="1:62" ht="13.8" hidden="1">
      <c r="A296" s="32">
        <v>14</v>
      </c>
      <c r="B296" s="32">
        <f t="shared" si="1"/>
        <v>66</v>
      </c>
      <c r="C296" s="253" t="s">
        <v>858</v>
      </c>
      <c r="D296" s="253"/>
      <c r="E296" s="32"/>
      <c r="F296" s="32" t="s">
        <v>1025</v>
      </c>
      <c r="G296" s="210" t="s">
        <v>1026</v>
      </c>
      <c r="H296" s="210"/>
      <c r="I296" s="32"/>
      <c r="J296" s="32" t="s">
        <v>1976</v>
      </c>
      <c r="K296" s="32"/>
      <c r="L296" s="32"/>
      <c r="M296" s="12" t="s">
        <v>1027</v>
      </c>
      <c r="N296" s="13"/>
      <c r="O296" s="13" t="s">
        <v>1028</v>
      </c>
      <c r="P296" s="13"/>
      <c r="Q296" s="13"/>
      <c r="R296" s="13"/>
      <c r="S296" s="13"/>
      <c r="T296" s="13"/>
      <c r="U296" s="167"/>
      <c r="V296" s="13"/>
      <c r="W296" s="173"/>
      <c r="X296" s="13"/>
      <c r="Y296" s="13"/>
      <c r="Z296" s="13"/>
      <c r="AA296" s="13"/>
      <c r="AB296" s="154"/>
      <c r="AC296" s="154"/>
      <c r="AD296" s="154"/>
      <c r="AE296" s="154"/>
      <c r="AF296" s="154"/>
      <c r="AG296" s="154"/>
      <c r="AH296" s="154"/>
      <c r="AI296" s="379"/>
      <c r="AJ296" s="167"/>
      <c r="AK296" s="13"/>
      <c r="AL296" s="12"/>
      <c r="AM296" s="13"/>
      <c r="AN296" s="12"/>
      <c r="AO296" s="13"/>
      <c r="AP296" s="13"/>
      <c r="AQ296" s="13"/>
      <c r="AR296" s="13"/>
      <c r="AS296" s="13"/>
      <c r="AT296" s="13"/>
      <c r="AU296" s="13"/>
      <c r="AV296" s="13"/>
      <c r="AW296" s="13"/>
      <c r="AX296" s="167"/>
      <c r="AY296" s="13"/>
      <c r="AZ296" s="12" t="s">
        <v>1025</v>
      </c>
      <c r="BA296" s="13" t="s">
        <v>1026</v>
      </c>
      <c r="BB296" s="13"/>
      <c r="BC296" s="12"/>
      <c r="BD296" s="13" t="s">
        <v>1029</v>
      </c>
      <c r="BE296" s="13" t="s">
        <v>80</v>
      </c>
      <c r="BF296" s="13"/>
      <c r="BG296" s="13"/>
      <c r="BH296" s="13"/>
      <c r="BI296" s="13"/>
      <c r="BJ296" s="5">
        <f>COUNTIF(M296,"*")+COUNTIF(W296,"*")+COUNTIF(AL296,"*")+COUNTIF(AZ296,"*")</f>
        <v>2</v>
      </c>
    </row>
    <row r="297" spans="1:62" ht="14.4" hidden="1">
      <c r="A297" s="32">
        <v>14</v>
      </c>
      <c r="B297" s="32">
        <f t="shared" ref="B297:B323" si="2">B296+1</f>
        <v>67</v>
      </c>
      <c r="C297" s="253" t="s">
        <v>858</v>
      </c>
      <c r="D297" s="253"/>
      <c r="E297" s="32"/>
      <c r="F297" s="32" t="s">
        <v>1030</v>
      </c>
      <c r="G297" s="210"/>
      <c r="H297" s="210"/>
      <c r="I297" s="32"/>
      <c r="J297" s="32"/>
      <c r="K297" s="32"/>
      <c r="L297" s="32"/>
      <c r="M297" s="12" t="s">
        <v>1031</v>
      </c>
      <c r="N297" s="261"/>
      <c r="O297" s="132" t="s">
        <v>1030</v>
      </c>
      <c r="P297" s="496"/>
      <c r="Q297" s="496"/>
      <c r="R297" s="37"/>
      <c r="S297" s="37"/>
      <c r="T297" s="37"/>
      <c r="U297" s="171"/>
      <c r="V297" s="37"/>
      <c r="W297" s="173"/>
      <c r="X297" s="13"/>
      <c r="Y297" s="13"/>
      <c r="Z297" s="13"/>
      <c r="AA297" s="13"/>
      <c r="AB297" s="154"/>
      <c r="AC297" s="154"/>
      <c r="AD297" s="154"/>
      <c r="AE297" s="154"/>
      <c r="AF297" s="154"/>
      <c r="AG297" s="154"/>
      <c r="AH297" s="154"/>
      <c r="AI297" s="379"/>
      <c r="AJ297" s="171"/>
      <c r="AK297" s="37"/>
      <c r="AL297" s="12"/>
      <c r="AM297" s="13"/>
      <c r="AN297" s="12"/>
      <c r="AO297" s="13"/>
      <c r="AP297" s="13"/>
      <c r="AQ297" s="13"/>
      <c r="AR297" s="13"/>
      <c r="AS297" s="13"/>
      <c r="AT297" s="13"/>
      <c r="AU297" s="13"/>
      <c r="AV297" s="13"/>
      <c r="AW297" s="13"/>
      <c r="AX297" s="171"/>
      <c r="AY297" s="37"/>
      <c r="AZ297" s="12"/>
      <c r="BA297" s="13"/>
      <c r="BB297" s="13"/>
      <c r="BC297" s="12"/>
      <c r="BD297" s="13"/>
      <c r="BE297" s="13"/>
      <c r="BF297" s="13"/>
      <c r="BG297" s="13"/>
      <c r="BH297" s="13"/>
      <c r="BI297" s="13"/>
      <c r="BJ297" s="5">
        <f>COUNTIF(M297,"*")+COUNTIF(W297,"*")+COUNTIF(AL297,"*")+COUNTIF(AZ297,"*")</f>
        <v>1</v>
      </c>
    </row>
    <row r="298" spans="1:62" ht="14.4" hidden="1">
      <c r="A298" s="32">
        <v>14</v>
      </c>
      <c r="B298" s="32">
        <f t="shared" si="2"/>
        <v>68</v>
      </c>
      <c r="C298" s="253" t="s">
        <v>858</v>
      </c>
      <c r="D298" s="253"/>
      <c r="E298" s="32"/>
      <c r="F298" s="32" t="s">
        <v>1032</v>
      </c>
      <c r="G298" s="210"/>
      <c r="H298" s="210"/>
      <c r="I298" s="32"/>
      <c r="J298" s="32"/>
      <c r="K298" s="32"/>
      <c r="L298" s="32"/>
      <c r="M298" s="12" t="s">
        <v>1033</v>
      </c>
      <c r="N298" s="261"/>
      <c r="O298" s="132" t="s">
        <v>1034</v>
      </c>
      <c r="P298" s="496"/>
      <c r="Q298" s="496"/>
      <c r="R298" s="37"/>
      <c r="S298" s="37"/>
      <c r="T298" s="37"/>
      <c r="U298" s="171"/>
      <c r="V298" s="37"/>
      <c r="W298" s="173"/>
      <c r="X298" s="13"/>
      <c r="Y298" s="13"/>
      <c r="Z298" s="13"/>
      <c r="AA298" s="13"/>
      <c r="AB298" s="154"/>
      <c r="AC298" s="154"/>
      <c r="AD298" s="154"/>
      <c r="AE298" s="154"/>
      <c r="AF298" s="154"/>
      <c r="AG298" s="154"/>
      <c r="AH298" s="154"/>
      <c r="AI298" s="379"/>
      <c r="AJ298" s="171"/>
      <c r="AK298" s="37"/>
      <c r="AL298" s="12"/>
      <c r="AM298" s="13"/>
      <c r="AN298" s="12"/>
      <c r="AO298" s="13"/>
      <c r="AP298" s="13"/>
      <c r="AQ298" s="13"/>
      <c r="AR298" s="13"/>
      <c r="AS298" s="13"/>
      <c r="AT298" s="13"/>
      <c r="AU298" s="13"/>
      <c r="AV298" s="13"/>
      <c r="AW298" s="13"/>
      <c r="AX298" s="171"/>
      <c r="AY298" s="37"/>
      <c r="AZ298" s="12"/>
      <c r="BA298" s="13"/>
      <c r="BB298" s="13"/>
      <c r="BC298" s="12"/>
      <c r="BD298" s="13"/>
      <c r="BE298" s="13"/>
      <c r="BF298" s="13"/>
      <c r="BG298" s="13"/>
      <c r="BH298" s="13"/>
      <c r="BI298" s="13"/>
      <c r="BJ298" s="5">
        <f>COUNTIF(M298,"*")+COUNTIF(W298,"*")+COUNTIF(AL298,"*")+COUNTIF(AZ298,"*")</f>
        <v>1</v>
      </c>
    </row>
    <row r="299" spans="1:62" ht="14.4" hidden="1">
      <c r="A299" s="32">
        <v>14</v>
      </c>
      <c r="B299" s="32">
        <f t="shared" si="2"/>
        <v>69</v>
      </c>
      <c r="C299" s="253" t="s">
        <v>858</v>
      </c>
      <c r="D299" s="253"/>
      <c r="E299" s="32"/>
      <c r="F299" s="32" t="s">
        <v>1035</v>
      </c>
      <c r="G299" s="210"/>
      <c r="H299" s="210"/>
      <c r="I299" s="32"/>
      <c r="J299" s="32"/>
      <c r="K299" s="32"/>
      <c r="L299" s="32"/>
      <c r="M299" s="12" t="s">
        <v>1036</v>
      </c>
      <c r="N299" s="261"/>
      <c r="O299" s="132" t="s">
        <v>1035</v>
      </c>
      <c r="P299" s="496"/>
      <c r="Q299" s="496"/>
      <c r="R299" s="37"/>
      <c r="S299" s="37"/>
      <c r="T299" s="37"/>
      <c r="U299" s="171"/>
      <c r="V299" s="37"/>
      <c r="W299" s="173"/>
      <c r="X299" s="13"/>
      <c r="Y299" s="13"/>
      <c r="Z299" s="13"/>
      <c r="AA299" s="13"/>
      <c r="AB299" s="154"/>
      <c r="AC299" s="154"/>
      <c r="AD299" s="154"/>
      <c r="AE299" s="154"/>
      <c r="AF299" s="154"/>
      <c r="AG299" s="154"/>
      <c r="AH299" s="154"/>
      <c r="AI299" s="379"/>
      <c r="AJ299" s="171"/>
      <c r="AK299" s="37"/>
      <c r="AL299" s="12"/>
      <c r="AM299" s="13"/>
      <c r="AN299" s="12"/>
      <c r="AO299" s="13"/>
      <c r="AP299" s="13"/>
      <c r="AQ299" s="13"/>
      <c r="AR299" s="13"/>
      <c r="AS299" s="13"/>
      <c r="AT299" s="13"/>
      <c r="AU299" s="13"/>
      <c r="AV299" s="13"/>
      <c r="AW299" s="13"/>
      <c r="AX299" s="171"/>
      <c r="AY299" s="37"/>
      <c r="AZ299" s="12"/>
      <c r="BA299" s="13"/>
      <c r="BB299" s="13"/>
      <c r="BC299" s="12"/>
      <c r="BD299" s="13"/>
      <c r="BE299" s="13"/>
      <c r="BF299" s="13"/>
      <c r="BG299" s="13"/>
      <c r="BH299" s="13"/>
      <c r="BI299" s="13"/>
      <c r="BJ299" s="5">
        <f>COUNTIF(M299,"*")+COUNTIF(W299,"*")+COUNTIF(AL299,"*")+COUNTIF(AZ299,"*")</f>
        <v>1</v>
      </c>
    </row>
    <row r="300" spans="1:62" ht="14.4" hidden="1">
      <c r="A300" s="32">
        <v>14</v>
      </c>
      <c r="B300" s="32">
        <f t="shared" si="2"/>
        <v>70</v>
      </c>
      <c r="C300" s="253" t="s">
        <v>858</v>
      </c>
      <c r="D300" s="253"/>
      <c r="E300" s="32"/>
      <c r="F300" s="32" t="s">
        <v>1037</v>
      </c>
      <c r="G300" s="210"/>
      <c r="H300" s="210"/>
      <c r="I300" s="32"/>
      <c r="J300" s="32"/>
      <c r="K300" s="32"/>
      <c r="L300" s="32"/>
      <c r="M300" s="12" t="s">
        <v>1038</v>
      </c>
      <c r="N300" s="261"/>
      <c r="O300" s="132" t="s">
        <v>1039</v>
      </c>
      <c r="P300" s="496"/>
      <c r="Q300" s="496"/>
      <c r="R300" s="37"/>
      <c r="S300" s="37"/>
      <c r="T300" s="37"/>
      <c r="U300" s="171"/>
      <c r="V300" s="37"/>
      <c r="W300" s="173"/>
      <c r="X300" s="13"/>
      <c r="Y300" s="13"/>
      <c r="Z300" s="13"/>
      <c r="AA300" s="13"/>
      <c r="AB300" s="154"/>
      <c r="AC300" s="154"/>
      <c r="AD300" s="154"/>
      <c r="AE300" s="154"/>
      <c r="AF300" s="154"/>
      <c r="AG300" s="154"/>
      <c r="AH300" s="154"/>
      <c r="AI300" s="379"/>
      <c r="AJ300" s="171"/>
      <c r="AK300" s="37"/>
      <c r="AL300" s="12"/>
      <c r="AM300" s="13"/>
      <c r="AN300" s="12"/>
      <c r="AO300" s="13"/>
      <c r="AP300" s="13"/>
      <c r="AQ300" s="13"/>
      <c r="AR300" s="13"/>
      <c r="AS300" s="13"/>
      <c r="AT300" s="13"/>
      <c r="AU300" s="13"/>
      <c r="AV300" s="13"/>
      <c r="AW300" s="13"/>
      <c r="AX300" s="171"/>
      <c r="AY300" s="37"/>
      <c r="AZ300" s="12"/>
      <c r="BA300" s="13"/>
      <c r="BB300" s="13"/>
      <c r="BC300" s="12"/>
      <c r="BD300" s="13"/>
      <c r="BE300" s="13"/>
      <c r="BF300" s="13"/>
      <c r="BG300" s="13"/>
      <c r="BH300" s="13"/>
      <c r="BI300" s="13"/>
      <c r="BJ300" s="5">
        <f>COUNTIF(M300,"*")+COUNTIF(W300,"*")+COUNTIF(AL300,"*")+COUNTIF(AZ300,"*")</f>
        <v>1</v>
      </c>
    </row>
    <row r="301" spans="1:62" ht="14.4" hidden="1">
      <c r="A301" s="32">
        <v>14</v>
      </c>
      <c r="B301" s="32">
        <f t="shared" si="2"/>
        <v>71</v>
      </c>
      <c r="C301" s="253" t="s">
        <v>858</v>
      </c>
      <c r="D301" s="253"/>
      <c r="E301" s="32"/>
      <c r="F301" s="32" t="s">
        <v>1040</v>
      </c>
      <c r="G301" s="210"/>
      <c r="H301" s="210"/>
      <c r="I301" s="32"/>
      <c r="J301" s="32"/>
      <c r="K301" s="32"/>
      <c r="L301" s="32"/>
      <c r="M301" s="12" t="s">
        <v>1041</v>
      </c>
      <c r="N301" s="261"/>
      <c r="O301" s="132" t="s">
        <v>1040</v>
      </c>
      <c r="P301" s="496"/>
      <c r="Q301" s="496"/>
      <c r="R301" s="37"/>
      <c r="S301" s="37"/>
      <c r="T301" s="37"/>
      <c r="U301" s="171"/>
      <c r="V301" s="37"/>
      <c r="W301" s="173"/>
      <c r="X301" s="13"/>
      <c r="Y301" s="13"/>
      <c r="Z301" s="13"/>
      <c r="AA301" s="13"/>
      <c r="AB301" s="154"/>
      <c r="AC301" s="154"/>
      <c r="AD301" s="154"/>
      <c r="AE301" s="154"/>
      <c r="AF301" s="154"/>
      <c r="AG301" s="154"/>
      <c r="AH301" s="154"/>
      <c r="AI301" s="379"/>
      <c r="AJ301" s="171"/>
      <c r="AK301" s="37"/>
      <c r="AL301" s="12"/>
      <c r="AM301" s="13"/>
      <c r="AN301" s="12"/>
      <c r="AO301" s="13"/>
      <c r="AP301" s="13"/>
      <c r="AQ301" s="13"/>
      <c r="AR301" s="13"/>
      <c r="AS301" s="13"/>
      <c r="AT301" s="13"/>
      <c r="AU301" s="13"/>
      <c r="AV301" s="13"/>
      <c r="AW301" s="13"/>
      <c r="AX301" s="171"/>
      <c r="AY301" s="37"/>
      <c r="AZ301" s="12"/>
      <c r="BA301" s="13"/>
      <c r="BB301" s="13"/>
      <c r="BC301" s="12"/>
      <c r="BD301" s="13"/>
      <c r="BE301" s="13"/>
      <c r="BF301" s="13"/>
      <c r="BG301" s="13"/>
      <c r="BH301" s="13"/>
      <c r="BI301" s="13"/>
      <c r="BJ301" s="5">
        <f>COUNTIF(M301,"*")+COUNTIF(W301,"*")+COUNTIF(AL301,"*")+COUNTIF(AZ301,"*")</f>
        <v>1</v>
      </c>
    </row>
    <row r="302" spans="1:62" ht="14.4" hidden="1">
      <c r="A302" s="32">
        <v>14</v>
      </c>
      <c r="B302" s="32">
        <f t="shared" si="2"/>
        <v>72</v>
      </c>
      <c r="C302" s="253" t="s">
        <v>858</v>
      </c>
      <c r="D302" s="253"/>
      <c r="E302" s="32"/>
      <c r="F302" s="32" t="s">
        <v>1042</v>
      </c>
      <c r="G302" s="210"/>
      <c r="H302" s="210"/>
      <c r="I302" s="32"/>
      <c r="J302" s="32"/>
      <c r="K302" s="32"/>
      <c r="L302" s="32"/>
      <c r="M302" s="12" t="s">
        <v>1043</v>
      </c>
      <c r="N302" s="261"/>
      <c r="O302" s="132" t="s">
        <v>1044</v>
      </c>
      <c r="P302" s="496"/>
      <c r="Q302" s="496"/>
      <c r="R302" s="37"/>
      <c r="S302" s="37"/>
      <c r="T302" s="37"/>
      <c r="U302" s="171"/>
      <c r="V302" s="37"/>
      <c r="W302" s="173"/>
      <c r="X302" s="13"/>
      <c r="Y302" s="13"/>
      <c r="Z302" s="13"/>
      <c r="AA302" s="13"/>
      <c r="AB302" s="154"/>
      <c r="AC302" s="154"/>
      <c r="AD302" s="154"/>
      <c r="AE302" s="154"/>
      <c r="AF302" s="154"/>
      <c r="AG302" s="154"/>
      <c r="AH302" s="154"/>
      <c r="AI302" s="379"/>
      <c r="AJ302" s="171"/>
      <c r="AK302" s="37"/>
      <c r="AL302" s="12"/>
      <c r="AM302" s="13"/>
      <c r="AN302" s="12"/>
      <c r="AO302" s="13"/>
      <c r="AP302" s="13"/>
      <c r="AQ302" s="13"/>
      <c r="AR302" s="13"/>
      <c r="AS302" s="13"/>
      <c r="AT302" s="13"/>
      <c r="AU302" s="13"/>
      <c r="AV302" s="13"/>
      <c r="AW302" s="13"/>
      <c r="AX302" s="171"/>
      <c r="AY302" s="37"/>
      <c r="AZ302" s="12"/>
      <c r="BA302" s="13"/>
      <c r="BB302" s="13"/>
      <c r="BC302" s="12"/>
      <c r="BD302" s="13"/>
      <c r="BE302" s="13"/>
      <c r="BF302" s="13"/>
      <c r="BG302" s="13"/>
      <c r="BH302" s="13"/>
      <c r="BI302" s="13"/>
      <c r="BJ302" s="5">
        <f>COUNTIF(M302,"*")+COUNTIF(W302,"*")+COUNTIF(AL302,"*")+COUNTIF(AZ302,"*")</f>
        <v>1</v>
      </c>
    </row>
    <row r="303" spans="1:62" ht="14.4" hidden="1">
      <c r="A303" s="32">
        <v>14</v>
      </c>
      <c r="B303" s="32">
        <f t="shared" si="2"/>
        <v>73</v>
      </c>
      <c r="C303" s="253" t="s">
        <v>858</v>
      </c>
      <c r="D303" s="253"/>
      <c r="E303" s="32"/>
      <c r="F303" s="32" t="s">
        <v>1045</v>
      </c>
      <c r="G303" s="210"/>
      <c r="H303" s="210"/>
      <c r="I303" s="32"/>
      <c r="J303" s="32"/>
      <c r="K303" s="32"/>
      <c r="L303" s="32"/>
      <c r="M303" s="12" t="s">
        <v>1046</v>
      </c>
      <c r="N303" s="261"/>
      <c r="O303" s="132" t="s">
        <v>1045</v>
      </c>
      <c r="P303" s="496"/>
      <c r="Q303" s="496"/>
      <c r="R303" s="37"/>
      <c r="S303" s="37"/>
      <c r="T303" s="37"/>
      <c r="U303" s="171"/>
      <c r="V303" s="37"/>
      <c r="W303" s="173"/>
      <c r="X303" s="13"/>
      <c r="Y303" s="13"/>
      <c r="Z303" s="13"/>
      <c r="AA303" s="13"/>
      <c r="AB303" s="154"/>
      <c r="AC303" s="154"/>
      <c r="AD303" s="154"/>
      <c r="AE303" s="154"/>
      <c r="AF303" s="154"/>
      <c r="AG303" s="154"/>
      <c r="AH303" s="154"/>
      <c r="AI303" s="379"/>
      <c r="AJ303" s="171"/>
      <c r="AK303" s="37"/>
      <c r="AL303" s="12"/>
      <c r="AM303" s="13"/>
      <c r="AN303" s="12"/>
      <c r="AO303" s="13"/>
      <c r="AP303" s="13"/>
      <c r="AQ303" s="13"/>
      <c r="AR303" s="13"/>
      <c r="AS303" s="13"/>
      <c r="AT303" s="13"/>
      <c r="AU303" s="13"/>
      <c r="AV303" s="13"/>
      <c r="AW303" s="13"/>
      <c r="AX303" s="171"/>
      <c r="AY303" s="37"/>
      <c r="AZ303" s="12"/>
      <c r="BA303" s="13"/>
      <c r="BB303" s="13"/>
      <c r="BC303" s="12"/>
      <c r="BD303" s="13"/>
      <c r="BE303" s="13"/>
      <c r="BF303" s="13"/>
      <c r="BG303" s="13"/>
      <c r="BH303" s="13"/>
      <c r="BI303" s="13"/>
      <c r="BJ303" s="5">
        <f>COUNTIF(M303,"*")+COUNTIF(W303,"*")+COUNTIF(AL303,"*")+COUNTIF(AZ303,"*")</f>
        <v>1</v>
      </c>
    </row>
    <row r="304" spans="1:62" ht="14.4" hidden="1">
      <c r="A304" s="32">
        <v>14</v>
      </c>
      <c r="B304" s="32">
        <f t="shared" si="2"/>
        <v>74</v>
      </c>
      <c r="C304" s="253" t="s">
        <v>858</v>
      </c>
      <c r="D304" s="253"/>
      <c r="E304" s="32"/>
      <c r="F304" s="32" t="s">
        <v>1047</v>
      </c>
      <c r="G304" s="210"/>
      <c r="H304" s="210"/>
      <c r="I304" s="32"/>
      <c r="J304" s="32"/>
      <c r="K304" s="32"/>
      <c r="L304" s="32"/>
      <c r="M304" s="12" t="s">
        <v>1048</v>
      </c>
      <c r="N304" s="261"/>
      <c r="O304" s="132" t="s">
        <v>1049</v>
      </c>
      <c r="P304" s="496"/>
      <c r="Q304" s="496"/>
      <c r="R304" s="37"/>
      <c r="S304" s="37"/>
      <c r="T304" s="37"/>
      <c r="U304" s="171"/>
      <c r="V304" s="37"/>
      <c r="W304" s="173"/>
      <c r="X304" s="13"/>
      <c r="Y304" s="13"/>
      <c r="Z304" s="13"/>
      <c r="AA304" s="13"/>
      <c r="AB304" s="154"/>
      <c r="AC304" s="154"/>
      <c r="AD304" s="154"/>
      <c r="AE304" s="154"/>
      <c r="AF304" s="154"/>
      <c r="AG304" s="154"/>
      <c r="AH304" s="154"/>
      <c r="AI304" s="379"/>
      <c r="AJ304" s="171"/>
      <c r="AK304" s="37"/>
      <c r="AL304" s="12"/>
      <c r="AM304" s="13"/>
      <c r="AN304" s="12"/>
      <c r="AO304" s="13"/>
      <c r="AP304" s="13"/>
      <c r="AQ304" s="13"/>
      <c r="AR304" s="13"/>
      <c r="AS304" s="13"/>
      <c r="AT304" s="13"/>
      <c r="AU304" s="13"/>
      <c r="AV304" s="13"/>
      <c r="AW304" s="13"/>
      <c r="AX304" s="171"/>
      <c r="AY304" s="37"/>
      <c r="AZ304" s="12"/>
      <c r="BA304" s="13"/>
      <c r="BB304" s="13"/>
      <c r="BC304" s="12"/>
      <c r="BD304" s="13"/>
      <c r="BE304" s="13"/>
      <c r="BF304" s="13"/>
      <c r="BG304" s="13"/>
      <c r="BH304" s="13"/>
      <c r="BI304" s="13"/>
      <c r="BJ304" s="5">
        <f>COUNTIF(M304,"*")+COUNTIF(W304,"*")+COUNTIF(AL304,"*")+COUNTIF(AZ304,"*")</f>
        <v>1</v>
      </c>
    </row>
    <row r="305" spans="1:62" ht="14.4" hidden="1">
      <c r="A305" s="32">
        <v>14</v>
      </c>
      <c r="B305" s="32">
        <f t="shared" si="2"/>
        <v>75</v>
      </c>
      <c r="C305" s="253" t="s">
        <v>858</v>
      </c>
      <c r="D305" s="253"/>
      <c r="E305" s="32"/>
      <c r="F305" s="32" t="s">
        <v>1050</v>
      </c>
      <c r="G305" s="210"/>
      <c r="H305" s="210"/>
      <c r="I305" s="32"/>
      <c r="J305" s="32"/>
      <c r="K305" s="32"/>
      <c r="L305" s="32"/>
      <c r="M305" s="12" t="s">
        <v>1051</v>
      </c>
      <c r="N305" s="261"/>
      <c r="O305" s="132" t="s">
        <v>1050</v>
      </c>
      <c r="P305" s="496"/>
      <c r="Q305" s="496"/>
      <c r="R305" s="37"/>
      <c r="S305" s="37"/>
      <c r="T305" s="37"/>
      <c r="U305" s="171"/>
      <c r="V305" s="37"/>
      <c r="W305" s="173"/>
      <c r="X305" s="13"/>
      <c r="Y305" s="13"/>
      <c r="Z305" s="13"/>
      <c r="AA305" s="13"/>
      <c r="AB305" s="154"/>
      <c r="AC305" s="154"/>
      <c r="AD305" s="154"/>
      <c r="AE305" s="154"/>
      <c r="AF305" s="154"/>
      <c r="AG305" s="154"/>
      <c r="AH305" s="154"/>
      <c r="AI305" s="379"/>
      <c r="AJ305" s="171"/>
      <c r="AK305" s="37"/>
      <c r="AL305" s="12"/>
      <c r="AM305" s="13"/>
      <c r="AN305" s="12"/>
      <c r="AO305" s="13"/>
      <c r="AP305" s="13"/>
      <c r="AQ305" s="13"/>
      <c r="AR305" s="13"/>
      <c r="AS305" s="13"/>
      <c r="AT305" s="13"/>
      <c r="AU305" s="13"/>
      <c r="AV305" s="13"/>
      <c r="AW305" s="13"/>
      <c r="AX305" s="171"/>
      <c r="AY305" s="37"/>
      <c r="AZ305" s="12"/>
      <c r="BA305" s="13"/>
      <c r="BB305" s="13"/>
      <c r="BC305" s="12"/>
      <c r="BD305" s="13"/>
      <c r="BE305" s="13"/>
      <c r="BF305" s="13"/>
      <c r="BG305" s="13"/>
      <c r="BH305" s="13"/>
      <c r="BI305" s="13"/>
      <c r="BJ305" s="5">
        <f>COUNTIF(M305,"*")+COUNTIF(W305,"*")+COUNTIF(AL305,"*")+COUNTIF(AZ305,"*")</f>
        <v>1</v>
      </c>
    </row>
    <row r="306" spans="1:62" ht="14.4" hidden="1">
      <c r="A306" s="32">
        <v>14</v>
      </c>
      <c r="B306" s="32">
        <f t="shared" si="2"/>
        <v>76</v>
      </c>
      <c r="C306" s="253" t="s">
        <v>858</v>
      </c>
      <c r="D306" s="253"/>
      <c r="E306" s="32"/>
      <c r="F306" s="32" t="s">
        <v>1052</v>
      </c>
      <c r="G306" s="210"/>
      <c r="H306" s="210"/>
      <c r="I306" s="32"/>
      <c r="J306" s="32"/>
      <c r="K306" s="32"/>
      <c r="L306" s="32"/>
      <c r="M306" s="12" t="s">
        <v>1053</v>
      </c>
      <c r="N306" s="261"/>
      <c r="O306" s="132" t="s">
        <v>1054</v>
      </c>
      <c r="P306" s="496"/>
      <c r="Q306" s="496"/>
      <c r="R306" s="37"/>
      <c r="S306" s="37"/>
      <c r="T306" s="37"/>
      <c r="U306" s="171"/>
      <c r="V306" s="37"/>
      <c r="W306" s="173"/>
      <c r="X306" s="13"/>
      <c r="Y306" s="13"/>
      <c r="Z306" s="13"/>
      <c r="AA306" s="13"/>
      <c r="AB306" s="154"/>
      <c r="AC306" s="154"/>
      <c r="AD306" s="154"/>
      <c r="AE306" s="154"/>
      <c r="AF306" s="154"/>
      <c r="AG306" s="154"/>
      <c r="AH306" s="154"/>
      <c r="AI306" s="379"/>
      <c r="AJ306" s="171"/>
      <c r="AK306" s="37"/>
      <c r="AL306" s="12"/>
      <c r="AM306" s="13"/>
      <c r="AN306" s="12"/>
      <c r="AO306" s="13"/>
      <c r="AP306" s="13"/>
      <c r="AQ306" s="13"/>
      <c r="AR306" s="13"/>
      <c r="AS306" s="13"/>
      <c r="AT306" s="13"/>
      <c r="AU306" s="13"/>
      <c r="AV306" s="13"/>
      <c r="AW306" s="13"/>
      <c r="AX306" s="171"/>
      <c r="AY306" s="37"/>
      <c r="AZ306" s="12"/>
      <c r="BA306" s="13"/>
      <c r="BB306" s="13"/>
      <c r="BC306" s="12"/>
      <c r="BD306" s="13"/>
      <c r="BE306" s="13"/>
      <c r="BF306" s="13"/>
      <c r="BG306" s="13"/>
      <c r="BH306" s="13"/>
      <c r="BI306" s="13"/>
      <c r="BJ306" s="5">
        <f>COUNTIF(M306,"*")+COUNTIF(W306,"*")+COUNTIF(AL306,"*")+COUNTIF(AZ306,"*")</f>
        <v>1</v>
      </c>
    </row>
    <row r="307" spans="1:62" ht="14.4" hidden="1">
      <c r="A307" s="32"/>
      <c r="B307" s="32">
        <f t="shared" si="2"/>
        <v>77</v>
      </c>
      <c r="C307" s="253" t="s">
        <v>858</v>
      </c>
      <c r="D307" s="253"/>
      <c r="E307" s="32"/>
      <c r="F307" s="32" t="s">
        <v>2019</v>
      </c>
      <c r="G307" s="210"/>
      <c r="H307" s="210"/>
      <c r="I307" s="32"/>
      <c r="J307" s="32"/>
      <c r="K307" s="32"/>
      <c r="L307" s="32"/>
      <c r="M307" s="12"/>
      <c r="N307" s="261"/>
      <c r="O307" s="132"/>
      <c r="P307" s="496"/>
      <c r="Q307" s="496"/>
      <c r="R307" s="37"/>
      <c r="S307" s="37"/>
      <c r="T307" s="37"/>
      <c r="U307" s="171"/>
      <c r="V307" s="37"/>
      <c r="W307" s="173"/>
      <c r="X307" s="13"/>
      <c r="Y307" s="13"/>
      <c r="Z307" s="13"/>
      <c r="AA307" s="13"/>
      <c r="AB307" s="387"/>
      <c r="AC307" s="387"/>
      <c r="AD307" s="387"/>
      <c r="AE307" s="387"/>
      <c r="AF307" s="387"/>
      <c r="AG307" s="387"/>
      <c r="AH307" s="387"/>
      <c r="AI307" s="387"/>
      <c r="AJ307" s="171"/>
      <c r="AK307" s="37"/>
      <c r="AL307" s="12" t="s">
        <v>1680</v>
      </c>
      <c r="AM307" s="13"/>
      <c r="AN307" s="12" t="s">
        <v>1680</v>
      </c>
      <c r="AO307" s="13"/>
      <c r="AP307" s="13"/>
      <c r="AQ307" s="13"/>
      <c r="AR307" s="13"/>
      <c r="AS307" s="13"/>
      <c r="AT307" s="13"/>
      <c r="AU307" s="13"/>
      <c r="AV307" s="13"/>
      <c r="AW307" s="13"/>
      <c r="AX307" s="171"/>
      <c r="AY307" s="37"/>
      <c r="AZ307" s="12"/>
      <c r="BA307" s="13"/>
      <c r="BB307" s="13"/>
      <c r="BC307" s="13"/>
      <c r="BD307" s="13"/>
      <c r="BE307" s="13"/>
      <c r="BF307" s="13"/>
      <c r="BG307" s="13"/>
      <c r="BH307" s="13"/>
      <c r="BI307" s="13"/>
      <c r="BJ307" s="5">
        <f>COUNTIF(M307,"*")+COUNTIF(W307,"*")+COUNTIF(AL307,"*")+COUNTIF(AZ307,"*")</f>
        <v>1</v>
      </c>
    </row>
    <row r="308" spans="1:62" ht="14.4" hidden="1">
      <c r="A308" s="32">
        <v>14</v>
      </c>
      <c r="B308" s="32">
        <f t="shared" si="2"/>
        <v>78</v>
      </c>
      <c r="C308" s="253" t="s">
        <v>858</v>
      </c>
      <c r="D308" s="253"/>
      <c r="E308" s="32"/>
      <c r="F308" s="32" t="s">
        <v>1055</v>
      </c>
      <c r="G308" s="210"/>
      <c r="H308" s="210"/>
      <c r="I308" s="32"/>
      <c r="J308" s="32"/>
      <c r="K308" s="32"/>
      <c r="L308" s="32"/>
      <c r="M308" s="12" t="s">
        <v>1056</v>
      </c>
      <c r="N308" s="261"/>
      <c r="O308" s="132" t="s">
        <v>1055</v>
      </c>
      <c r="P308" s="496"/>
      <c r="Q308" s="496"/>
      <c r="R308" s="37"/>
      <c r="S308" s="37"/>
      <c r="T308" s="37"/>
      <c r="U308" s="171"/>
      <c r="V308" s="37"/>
      <c r="W308" s="173"/>
      <c r="X308" s="13"/>
      <c r="Y308" s="13"/>
      <c r="Z308" s="13"/>
      <c r="AA308" s="13"/>
      <c r="AB308" s="154"/>
      <c r="AC308" s="154"/>
      <c r="AD308" s="154"/>
      <c r="AE308" s="154"/>
      <c r="AF308" s="154"/>
      <c r="AG308" s="154"/>
      <c r="AH308" s="154"/>
      <c r="AI308" s="379"/>
      <c r="AJ308" s="171"/>
      <c r="AK308" s="37"/>
      <c r="AL308" s="12"/>
      <c r="AM308" s="13"/>
      <c r="AN308" s="12"/>
      <c r="AO308" s="13"/>
      <c r="AP308" s="13"/>
      <c r="AQ308" s="13"/>
      <c r="AR308" s="13"/>
      <c r="AS308" s="13"/>
      <c r="AT308" s="13"/>
      <c r="AU308" s="13"/>
      <c r="AV308" s="13"/>
      <c r="AW308" s="13"/>
      <c r="AX308" s="171"/>
      <c r="AY308" s="37"/>
      <c r="AZ308" s="12"/>
      <c r="BA308" s="13"/>
      <c r="BB308" s="13"/>
      <c r="BC308" s="13"/>
      <c r="BD308" s="13"/>
      <c r="BE308" s="13"/>
      <c r="BF308" s="13"/>
      <c r="BG308" s="13"/>
      <c r="BH308" s="13"/>
      <c r="BI308" s="13"/>
      <c r="BJ308" s="5">
        <f>COUNTIF(M308,"*")+COUNTIF(W308,"*")+COUNTIF(AL308,"*")+COUNTIF(AZ308,"*")</f>
        <v>1</v>
      </c>
    </row>
    <row r="309" spans="1:62" ht="14.4" hidden="1">
      <c r="A309" s="32">
        <v>14</v>
      </c>
      <c r="B309" s="32">
        <f t="shared" si="2"/>
        <v>79</v>
      </c>
      <c r="C309" s="253" t="s">
        <v>858</v>
      </c>
      <c r="D309" s="253"/>
      <c r="E309" s="32"/>
      <c r="F309" s="32" t="s">
        <v>1057</v>
      </c>
      <c r="G309" s="210"/>
      <c r="H309" s="210"/>
      <c r="I309" s="32"/>
      <c r="J309" s="32"/>
      <c r="K309" s="32"/>
      <c r="L309" s="32"/>
      <c r="M309" s="12" t="s">
        <v>1058</v>
      </c>
      <c r="N309" s="261"/>
      <c r="O309" s="132" t="s">
        <v>1059</v>
      </c>
      <c r="P309" s="496"/>
      <c r="Q309" s="496"/>
      <c r="R309" s="37"/>
      <c r="S309" s="37"/>
      <c r="T309" s="37"/>
      <c r="U309" s="171"/>
      <c r="V309" s="37"/>
      <c r="W309" s="173"/>
      <c r="X309" s="13"/>
      <c r="Y309" s="13"/>
      <c r="Z309" s="13"/>
      <c r="AA309" s="13"/>
      <c r="AB309" s="154"/>
      <c r="AC309" s="154"/>
      <c r="AD309" s="154"/>
      <c r="AE309" s="154"/>
      <c r="AF309" s="154"/>
      <c r="AG309" s="154"/>
      <c r="AH309" s="154"/>
      <c r="AI309" s="379"/>
      <c r="AJ309" s="171"/>
      <c r="AK309" s="37"/>
      <c r="AL309" s="12"/>
      <c r="AM309" s="13"/>
      <c r="AN309" s="12"/>
      <c r="AO309" s="13"/>
      <c r="AP309" s="13"/>
      <c r="AQ309" s="13"/>
      <c r="AR309" s="13"/>
      <c r="AS309" s="13"/>
      <c r="AT309" s="13"/>
      <c r="AU309" s="13"/>
      <c r="AV309" s="13"/>
      <c r="AW309" s="13"/>
      <c r="AX309" s="171"/>
      <c r="AY309" s="37"/>
      <c r="AZ309" s="12"/>
      <c r="BA309" s="13"/>
      <c r="BB309" s="13"/>
      <c r="BC309" s="13"/>
      <c r="BD309" s="13"/>
      <c r="BE309" s="13"/>
      <c r="BF309" s="13"/>
      <c r="BG309" s="13"/>
      <c r="BH309" s="13"/>
      <c r="BI309" s="13"/>
      <c r="BJ309" s="5">
        <f>COUNTIF(M309,"*")+COUNTIF(W309,"*")+COUNTIF(AL309,"*")+COUNTIF(AZ309,"*")</f>
        <v>1</v>
      </c>
    </row>
    <row r="310" spans="1:62" ht="14.4" hidden="1">
      <c r="A310" s="32">
        <v>14</v>
      </c>
      <c r="B310" s="32">
        <f t="shared" si="2"/>
        <v>80</v>
      </c>
      <c r="C310" s="253" t="s">
        <v>858</v>
      </c>
      <c r="D310" s="253"/>
      <c r="E310" s="32"/>
      <c r="F310" s="32" t="s">
        <v>1060</v>
      </c>
      <c r="G310" s="210"/>
      <c r="H310" s="210"/>
      <c r="I310" s="32"/>
      <c r="J310" s="32"/>
      <c r="K310" s="32"/>
      <c r="L310" s="32"/>
      <c r="M310" s="12" t="s">
        <v>1061</v>
      </c>
      <c r="N310" s="261"/>
      <c r="O310" s="132" t="s">
        <v>1060</v>
      </c>
      <c r="P310" s="496"/>
      <c r="Q310" s="496"/>
      <c r="R310" s="37"/>
      <c r="S310" s="37"/>
      <c r="T310" s="37"/>
      <c r="U310" s="171"/>
      <c r="V310" s="37"/>
      <c r="W310" s="173"/>
      <c r="X310" s="13"/>
      <c r="Y310" s="13"/>
      <c r="Z310" s="13"/>
      <c r="AA310" s="13"/>
      <c r="AB310" s="154"/>
      <c r="AC310" s="154"/>
      <c r="AD310" s="154"/>
      <c r="AE310" s="154"/>
      <c r="AF310" s="154"/>
      <c r="AG310" s="154"/>
      <c r="AH310" s="154"/>
      <c r="AI310" s="379"/>
      <c r="AJ310" s="171"/>
      <c r="AK310" s="37"/>
      <c r="AL310" s="12"/>
      <c r="AM310" s="13"/>
      <c r="AN310" s="12"/>
      <c r="AO310" s="13"/>
      <c r="AP310" s="13"/>
      <c r="AQ310" s="13"/>
      <c r="AR310" s="13"/>
      <c r="AS310" s="13"/>
      <c r="AT310" s="13"/>
      <c r="AU310" s="13"/>
      <c r="AV310" s="13"/>
      <c r="AW310" s="13"/>
      <c r="AX310" s="171"/>
      <c r="AY310" s="37"/>
      <c r="AZ310" s="12"/>
      <c r="BA310" s="13"/>
      <c r="BB310" s="13"/>
      <c r="BC310" s="13"/>
      <c r="BD310" s="13"/>
      <c r="BE310" s="13"/>
      <c r="BF310" s="13"/>
      <c r="BG310" s="13"/>
      <c r="BH310" s="13"/>
      <c r="BI310" s="13"/>
      <c r="BJ310" s="5">
        <f>COUNTIF(M310,"*")+COUNTIF(W310,"*")+COUNTIF(AL310,"*")+COUNTIF(AZ310,"*")</f>
        <v>1</v>
      </c>
    </row>
    <row r="311" spans="1:62" ht="14.4" hidden="1">
      <c r="A311" s="32">
        <v>14</v>
      </c>
      <c r="B311" s="32">
        <f t="shared" si="2"/>
        <v>81</v>
      </c>
      <c r="C311" s="253" t="s">
        <v>858</v>
      </c>
      <c r="D311" s="253"/>
      <c r="E311" s="32"/>
      <c r="F311" s="32" t="s">
        <v>1062</v>
      </c>
      <c r="G311" s="210"/>
      <c r="H311" s="210"/>
      <c r="I311" s="32"/>
      <c r="J311" s="32"/>
      <c r="K311" s="32"/>
      <c r="L311" s="32"/>
      <c r="M311" s="12" t="s">
        <v>1063</v>
      </c>
      <c r="N311" s="261"/>
      <c r="O311" s="132" t="s">
        <v>1064</v>
      </c>
      <c r="P311" s="496"/>
      <c r="Q311" s="496"/>
      <c r="R311" s="37"/>
      <c r="S311" s="37"/>
      <c r="T311" s="37"/>
      <c r="U311" s="171"/>
      <c r="V311" s="37"/>
      <c r="W311" s="173"/>
      <c r="X311" s="13"/>
      <c r="Y311" s="13"/>
      <c r="Z311" s="13"/>
      <c r="AA311" s="13"/>
      <c r="AB311" s="154"/>
      <c r="AC311" s="154"/>
      <c r="AD311" s="154"/>
      <c r="AE311" s="154"/>
      <c r="AF311" s="154"/>
      <c r="AG311" s="154"/>
      <c r="AH311" s="154"/>
      <c r="AI311" s="379"/>
      <c r="AJ311" s="171"/>
      <c r="AK311" s="37"/>
      <c r="AL311" s="12"/>
      <c r="AM311" s="13"/>
      <c r="AN311" s="12"/>
      <c r="AO311" s="13"/>
      <c r="AP311" s="13"/>
      <c r="AQ311" s="13"/>
      <c r="AR311" s="13"/>
      <c r="AS311" s="13"/>
      <c r="AT311" s="13"/>
      <c r="AU311" s="13"/>
      <c r="AV311" s="13"/>
      <c r="AW311" s="13"/>
      <c r="AX311" s="171"/>
      <c r="AY311" s="37"/>
      <c r="AZ311" s="12"/>
      <c r="BA311" s="13"/>
      <c r="BB311" s="13"/>
      <c r="BC311" s="13"/>
      <c r="BD311" s="13"/>
      <c r="BE311" s="13"/>
      <c r="BF311" s="13"/>
      <c r="BG311" s="13"/>
      <c r="BH311" s="13"/>
      <c r="BI311" s="13"/>
      <c r="BJ311" s="5">
        <f>COUNTIF(M311,"*")+COUNTIF(W311,"*")+COUNTIF(AL311,"*")+COUNTIF(AZ311,"*")</f>
        <v>1</v>
      </c>
    </row>
    <row r="312" spans="1:62" ht="27.6" hidden="1">
      <c r="A312" s="32"/>
      <c r="B312" s="32">
        <f t="shared" si="2"/>
        <v>82</v>
      </c>
      <c r="C312" s="253" t="s">
        <v>858</v>
      </c>
      <c r="D312" s="253"/>
      <c r="E312" s="32"/>
      <c r="F312" s="32" t="s">
        <v>1679</v>
      </c>
      <c r="G312" s="210"/>
      <c r="H312" s="210"/>
      <c r="I312" s="32"/>
      <c r="J312" s="32"/>
      <c r="K312" s="32"/>
      <c r="L312" s="32"/>
      <c r="M312" s="12"/>
      <c r="N312" s="261"/>
      <c r="O312" s="132"/>
      <c r="P312" s="496"/>
      <c r="Q312" s="496"/>
      <c r="R312" s="37"/>
      <c r="S312" s="37"/>
      <c r="T312" s="37"/>
      <c r="U312" s="171"/>
      <c r="V312" s="37"/>
      <c r="W312" s="173"/>
      <c r="X312" s="13"/>
      <c r="Y312" s="13"/>
      <c r="Z312" s="13"/>
      <c r="AA312" s="13"/>
      <c r="AB312" s="387"/>
      <c r="AC312" s="387"/>
      <c r="AD312" s="387"/>
      <c r="AE312" s="387"/>
      <c r="AF312" s="387"/>
      <c r="AG312" s="387"/>
      <c r="AH312" s="387"/>
      <c r="AI312" s="387"/>
      <c r="AJ312" s="171"/>
      <c r="AK312" s="37"/>
      <c r="AL312" s="12" t="s">
        <v>1678</v>
      </c>
      <c r="AM312" s="13"/>
      <c r="AN312" s="12" t="s">
        <v>1678</v>
      </c>
      <c r="AO312" s="13"/>
      <c r="AP312" s="13"/>
      <c r="AQ312" s="13"/>
      <c r="AR312" s="13"/>
      <c r="AS312" s="13" t="s">
        <v>1679</v>
      </c>
      <c r="AT312" s="13"/>
      <c r="AU312" s="13"/>
      <c r="AV312" s="13"/>
      <c r="AW312" s="13"/>
      <c r="AX312" s="171"/>
      <c r="AY312" s="37"/>
      <c r="AZ312" s="12"/>
      <c r="BA312" s="13"/>
      <c r="BB312" s="13"/>
      <c r="BC312" s="13"/>
      <c r="BD312" s="13"/>
      <c r="BE312" s="13"/>
      <c r="BF312" s="13"/>
      <c r="BG312" s="13"/>
      <c r="BH312" s="13"/>
      <c r="BI312" s="13"/>
      <c r="BJ312" s="5">
        <f>COUNTIF(M312,"*")+COUNTIF(W312,"*")+COUNTIF(AL312,"*")+COUNTIF(AZ312,"*")</f>
        <v>1</v>
      </c>
    </row>
    <row r="313" spans="1:62" ht="14.4" hidden="1">
      <c r="A313" s="32">
        <v>14</v>
      </c>
      <c r="B313" s="32">
        <f t="shared" si="2"/>
        <v>83</v>
      </c>
      <c r="C313" s="253" t="s">
        <v>858</v>
      </c>
      <c r="D313" s="253"/>
      <c r="E313" s="32"/>
      <c r="F313" s="32" t="s">
        <v>1065</v>
      </c>
      <c r="G313" s="210"/>
      <c r="H313" s="210"/>
      <c r="I313" s="32"/>
      <c r="J313" s="32"/>
      <c r="K313" s="32"/>
      <c r="L313" s="32"/>
      <c r="M313" s="12" t="s">
        <v>1066</v>
      </c>
      <c r="N313" s="261"/>
      <c r="O313" s="132" t="s">
        <v>1065</v>
      </c>
      <c r="P313" s="496"/>
      <c r="Q313" s="496"/>
      <c r="R313" s="37"/>
      <c r="S313" s="37"/>
      <c r="T313" s="37"/>
      <c r="U313" s="171"/>
      <c r="V313" s="37"/>
      <c r="W313" s="173"/>
      <c r="X313" s="13"/>
      <c r="Y313" s="13"/>
      <c r="Z313" s="13"/>
      <c r="AA313" s="13"/>
      <c r="AB313" s="387"/>
      <c r="AC313" s="387"/>
      <c r="AD313" s="387"/>
      <c r="AE313" s="387"/>
      <c r="AF313" s="387"/>
      <c r="AG313" s="387"/>
      <c r="AH313" s="387"/>
      <c r="AI313" s="387"/>
      <c r="AJ313" s="171"/>
      <c r="AK313" s="37"/>
      <c r="AL313" s="12"/>
      <c r="AM313" s="13"/>
      <c r="AN313" s="12"/>
      <c r="AO313" s="13"/>
      <c r="AP313" s="13"/>
      <c r="AQ313" s="13"/>
      <c r="AR313" s="13"/>
      <c r="AS313" s="13"/>
      <c r="AT313" s="13"/>
      <c r="AU313" s="13"/>
      <c r="AV313" s="13"/>
      <c r="AW313" s="13"/>
      <c r="AX313" s="171"/>
      <c r="AY313" s="37"/>
      <c r="AZ313" s="12"/>
      <c r="BA313" s="13"/>
      <c r="BB313" s="13"/>
      <c r="BC313" s="13"/>
      <c r="BD313" s="13"/>
      <c r="BE313" s="13"/>
      <c r="BF313" s="13"/>
      <c r="BG313" s="13"/>
      <c r="BH313" s="13"/>
      <c r="BI313" s="13"/>
      <c r="BJ313" s="5">
        <f>COUNTIF(M313,"*")+COUNTIF(W313,"*")+COUNTIF(AL313,"*")+COUNTIF(AZ313,"*")</f>
        <v>1</v>
      </c>
    </row>
    <row r="314" spans="1:62" ht="14.4" hidden="1">
      <c r="A314" s="32">
        <v>14</v>
      </c>
      <c r="B314" s="32">
        <f t="shared" si="2"/>
        <v>84</v>
      </c>
      <c r="C314" s="253" t="s">
        <v>858</v>
      </c>
      <c r="D314" s="253"/>
      <c r="E314" s="32"/>
      <c r="F314" s="32" t="s">
        <v>1067</v>
      </c>
      <c r="G314" s="210"/>
      <c r="H314" s="210"/>
      <c r="I314" s="32"/>
      <c r="J314" s="32"/>
      <c r="K314" s="32"/>
      <c r="L314" s="32"/>
      <c r="M314" s="12" t="s">
        <v>1068</v>
      </c>
      <c r="N314" s="261"/>
      <c r="O314" s="132" t="s">
        <v>1069</v>
      </c>
      <c r="P314" s="496"/>
      <c r="Q314" s="496"/>
      <c r="R314" s="37"/>
      <c r="S314" s="37"/>
      <c r="T314" s="37"/>
      <c r="U314" s="171"/>
      <c r="V314" s="37"/>
      <c r="W314" s="173"/>
      <c r="X314" s="13"/>
      <c r="Y314" s="13"/>
      <c r="Z314" s="13"/>
      <c r="AA314" s="13"/>
      <c r="AB314" s="154"/>
      <c r="AC314" s="154"/>
      <c r="AD314" s="154"/>
      <c r="AE314" s="154"/>
      <c r="AF314" s="154"/>
      <c r="AG314" s="154"/>
      <c r="AH314" s="154"/>
      <c r="AI314" s="379"/>
      <c r="AJ314" s="171"/>
      <c r="AK314" s="37"/>
      <c r="AL314" s="12"/>
      <c r="AM314" s="13"/>
      <c r="AN314" s="12"/>
      <c r="AO314" s="13"/>
      <c r="AP314" s="13"/>
      <c r="AQ314" s="13"/>
      <c r="AR314" s="13"/>
      <c r="AS314" s="13"/>
      <c r="AT314" s="13"/>
      <c r="AU314" s="13"/>
      <c r="AV314" s="13"/>
      <c r="AW314" s="13"/>
      <c r="AX314" s="171"/>
      <c r="AY314" s="37"/>
      <c r="AZ314" s="12"/>
      <c r="BA314" s="13"/>
      <c r="BB314" s="13"/>
      <c r="BC314" s="13"/>
      <c r="BD314" s="13"/>
      <c r="BE314" s="13"/>
      <c r="BF314" s="13"/>
      <c r="BG314" s="13"/>
      <c r="BH314" s="13"/>
      <c r="BI314" s="13"/>
      <c r="BJ314" s="5">
        <f>COUNTIF(M314,"*")+COUNTIF(W314,"*")+COUNTIF(AL314,"*")+COUNTIF(AZ314,"*")</f>
        <v>1</v>
      </c>
    </row>
    <row r="315" spans="1:62" ht="14.4" hidden="1">
      <c r="A315" s="32">
        <v>14</v>
      </c>
      <c r="B315" s="32">
        <f t="shared" si="2"/>
        <v>85</v>
      </c>
      <c r="C315" s="253" t="s">
        <v>858</v>
      </c>
      <c r="D315" s="253"/>
      <c r="E315" s="32"/>
      <c r="F315" s="32" t="s">
        <v>1070</v>
      </c>
      <c r="G315" s="210"/>
      <c r="H315" s="210"/>
      <c r="I315" s="32"/>
      <c r="J315" s="32"/>
      <c r="K315" s="32"/>
      <c r="L315" s="32"/>
      <c r="M315" s="12" t="s">
        <v>1071</v>
      </c>
      <c r="N315" s="261"/>
      <c r="O315" s="132" t="s">
        <v>1070</v>
      </c>
      <c r="P315" s="496"/>
      <c r="Q315" s="496"/>
      <c r="R315" s="37"/>
      <c r="S315" s="37"/>
      <c r="T315" s="37"/>
      <c r="U315" s="171"/>
      <c r="V315" s="37"/>
      <c r="W315" s="173"/>
      <c r="X315" s="13"/>
      <c r="Y315" s="13"/>
      <c r="Z315" s="13"/>
      <c r="AA315" s="13"/>
      <c r="AB315" s="154"/>
      <c r="AC315" s="154"/>
      <c r="AD315" s="154"/>
      <c r="AE315" s="154"/>
      <c r="AF315" s="154"/>
      <c r="AG315" s="154"/>
      <c r="AH315" s="154"/>
      <c r="AI315" s="379"/>
      <c r="AJ315" s="171"/>
      <c r="AK315" s="37"/>
      <c r="AL315" s="12"/>
      <c r="AM315" s="13"/>
      <c r="AN315" s="12"/>
      <c r="AO315" s="13"/>
      <c r="AP315" s="13"/>
      <c r="AQ315" s="13"/>
      <c r="AR315" s="13"/>
      <c r="AS315" s="13"/>
      <c r="AT315" s="13"/>
      <c r="AU315" s="13"/>
      <c r="AV315" s="13"/>
      <c r="AW315" s="13"/>
      <c r="AX315" s="171"/>
      <c r="AY315" s="37"/>
      <c r="AZ315" s="12"/>
      <c r="BA315" s="13"/>
      <c r="BB315" s="13"/>
      <c r="BC315" s="13"/>
      <c r="BD315" s="13"/>
      <c r="BE315" s="13"/>
      <c r="BF315" s="13"/>
      <c r="BG315" s="13"/>
      <c r="BH315" s="13"/>
      <c r="BI315" s="13"/>
      <c r="BJ315" s="5">
        <f>COUNTIF(M315,"*")+COUNTIF(W315,"*")+COUNTIF(AL315,"*")+COUNTIF(AZ315,"*")</f>
        <v>1</v>
      </c>
    </row>
    <row r="316" spans="1:62" ht="14.4" hidden="1">
      <c r="A316" s="32">
        <v>14</v>
      </c>
      <c r="B316" s="32">
        <f t="shared" si="2"/>
        <v>86</v>
      </c>
      <c r="C316" s="253" t="s">
        <v>858</v>
      </c>
      <c r="D316" s="253"/>
      <c r="E316" s="32"/>
      <c r="F316" s="32" t="s">
        <v>1072</v>
      </c>
      <c r="G316" s="210"/>
      <c r="H316" s="210"/>
      <c r="I316" s="32"/>
      <c r="J316" s="32"/>
      <c r="K316" s="32"/>
      <c r="L316" s="32"/>
      <c r="M316" s="12" t="s">
        <v>1073</v>
      </c>
      <c r="N316" s="261"/>
      <c r="O316" s="132" t="s">
        <v>1074</v>
      </c>
      <c r="P316" s="496"/>
      <c r="Q316" s="496"/>
      <c r="R316" s="37"/>
      <c r="S316" s="37"/>
      <c r="T316" s="37"/>
      <c r="U316" s="171"/>
      <c r="V316" s="37"/>
      <c r="W316" s="173"/>
      <c r="X316" s="13"/>
      <c r="Y316" s="13"/>
      <c r="Z316" s="13"/>
      <c r="AA316" s="13"/>
      <c r="AB316" s="154"/>
      <c r="AC316" s="154"/>
      <c r="AD316" s="154"/>
      <c r="AE316" s="154"/>
      <c r="AF316" s="154"/>
      <c r="AG316" s="154"/>
      <c r="AH316" s="154"/>
      <c r="AI316" s="379"/>
      <c r="AJ316" s="171"/>
      <c r="AK316" s="37"/>
      <c r="AL316" s="12"/>
      <c r="AM316" s="13"/>
      <c r="AN316" s="12"/>
      <c r="AO316" s="13"/>
      <c r="AP316" s="13"/>
      <c r="AQ316" s="13"/>
      <c r="AR316" s="13"/>
      <c r="AS316" s="13"/>
      <c r="AT316" s="13"/>
      <c r="AU316" s="13"/>
      <c r="AV316" s="13"/>
      <c r="AW316" s="13"/>
      <c r="AX316" s="171"/>
      <c r="AY316" s="37"/>
      <c r="AZ316" s="12"/>
      <c r="BA316" s="13"/>
      <c r="BB316" s="13"/>
      <c r="BC316" s="13"/>
      <c r="BD316" s="13"/>
      <c r="BE316" s="13"/>
      <c r="BF316" s="13"/>
      <c r="BG316" s="13"/>
      <c r="BH316" s="13"/>
      <c r="BI316" s="13"/>
      <c r="BJ316" s="5">
        <f>COUNTIF(M316,"*")+COUNTIF(W316,"*")+COUNTIF(AL316,"*")+COUNTIF(AZ316,"*")</f>
        <v>1</v>
      </c>
    </row>
    <row r="317" spans="1:62" ht="14.4" hidden="1">
      <c r="A317" s="32">
        <v>14</v>
      </c>
      <c r="B317" s="32">
        <f t="shared" si="2"/>
        <v>87</v>
      </c>
      <c r="C317" s="253" t="s">
        <v>858</v>
      </c>
      <c r="D317" s="253"/>
      <c r="E317" s="32"/>
      <c r="F317" s="32" t="s">
        <v>1075</v>
      </c>
      <c r="G317" s="210"/>
      <c r="H317" s="210"/>
      <c r="I317" s="32"/>
      <c r="J317" s="32"/>
      <c r="K317" s="32"/>
      <c r="L317" s="32"/>
      <c r="M317" s="12" t="s">
        <v>1076</v>
      </c>
      <c r="N317" s="261"/>
      <c r="O317" s="132" t="s">
        <v>1075</v>
      </c>
      <c r="P317" s="496"/>
      <c r="Q317" s="496"/>
      <c r="R317" s="37"/>
      <c r="S317" s="37"/>
      <c r="T317" s="37"/>
      <c r="U317" s="171"/>
      <c r="V317" s="37"/>
      <c r="W317" s="173"/>
      <c r="X317" s="13"/>
      <c r="Y317" s="13"/>
      <c r="Z317" s="13"/>
      <c r="AA317" s="13"/>
      <c r="AB317" s="154"/>
      <c r="AC317" s="154"/>
      <c r="AD317" s="154"/>
      <c r="AE317" s="154"/>
      <c r="AF317" s="154"/>
      <c r="AG317" s="154"/>
      <c r="AH317" s="154"/>
      <c r="AI317" s="379"/>
      <c r="AJ317" s="171"/>
      <c r="AK317" s="37"/>
      <c r="AL317" s="12"/>
      <c r="AM317" s="13"/>
      <c r="AN317" s="12"/>
      <c r="AO317" s="13"/>
      <c r="AP317" s="13"/>
      <c r="AQ317" s="13"/>
      <c r="AR317" s="13"/>
      <c r="AS317" s="13"/>
      <c r="AT317" s="13"/>
      <c r="AU317" s="13"/>
      <c r="AV317" s="13"/>
      <c r="AW317" s="13"/>
      <c r="AX317" s="171"/>
      <c r="AY317" s="37"/>
      <c r="AZ317" s="12"/>
      <c r="BA317" s="13"/>
      <c r="BB317" s="13"/>
      <c r="BC317" s="13"/>
      <c r="BD317" s="13"/>
      <c r="BE317" s="13"/>
      <c r="BF317" s="13"/>
      <c r="BG317" s="13"/>
      <c r="BH317" s="13"/>
      <c r="BI317" s="13"/>
      <c r="BJ317" s="5">
        <f>COUNTIF(M317,"*")+COUNTIF(W317,"*")+COUNTIF(AL317,"*")+COUNTIF(AZ317,"*")</f>
        <v>1</v>
      </c>
    </row>
    <row r="318" spans="1:62" ht="14.4" hidden="1">
      <c r="A318" s="32">
        <v>14</v>
      </c>
      <c r="B318" s="32">
        <f t="shared" si="2"/>
        <v>88</v>
      </c>
      <c r="C318" s="253" t="s">
        <v>858</v>
      </c>
      <c r="D318" s="253"/>
      <c r="E318" s="32"/>
      <c r="F318" s="32" t="s">
        <v>1077</v>
      </c>
      <c r="G318" s="210"/>
      <c r="H318" s="210"/>
      <c r="I318" s="32"/>
      <c r="J318" s="32"/>
      <c r="K318" s="32"/>
      <c r="L318" s="32"/>
      <c r="M318" s="12" t="s">
        <v>1078</v>
      </c>
      <c r="N318" s="261"/>
      <c r="O318" s="132" t="s">
        <v>1079</v>
      </c>
      <c r="P318" s="496"/>
      <c r="Q318" s="496"/>
      <c r="R318" s="37"/>
      <c r="S318" s="37"/>
      <c r="T318" s="37"/>
      <c r="U318" s="171"/>
      <c r="V318" s="37"/>
      <c r="W318" s="173"/>
      <c r="X318" s="13"/>
      <c r="Y318" s="13"/>
      <c r="Z318" s="13"/>
      <c r="AA318" s="13"/>
      <c r="AB318" s="154"/>
      <c r="AC318" s="154"/>
      <c r="AD318" s="154"/>
      <c r="AE318" s="154"/>
      <c r="AF318" s="154"/>
      <c r="AG318" s="154"/>
      <c r="AH318" s="154"/>
      <c r="AI318" s="379"/>
      <c r="AJ318" s="171"/>
      <c r="AK318" s="37"/>
      <c r="AL318" s="12"/>
      <c r="AM318" s="13"/>
      <c r="AN318" s="12"/>
      <c r="AO318" s="13"/>
      <c r="AP318" s="13"/>
      <c r="AQ318" s="13"/>
      <c r="AR318" s="13"/>
      <c r="AS318" s="13"/>
      <c r="AT318" s="13"/>
      <c r="AU318" s="13"/>
      <c r="AV318" s="13"/>
      <c r="AW318" s="13"/>
      <c r="AX318" s="171"/>
      <c r="AY318" s="37"/>
      <c r="AZ318" s="12"/>
      <c r="BA318" s="13"/>
      <c r="BB318" s="13"/>
      <c r="BC318" s="13"/>
      <c r="BD318" s="13"/>
      <c r="BE318" s="13"/>
      <c r="BF318" s="13"/>
      <c r="BG318" s="13"/>
      <c r="BH318" s="13"/>
      <c r="BI318" s="13"/>
      <c r="BJ318" s="5">
        <f>COUNTIF(M318,"*")+COUNTIF(W318,"*")+COUNTIF(AL318,"*")+COUNTIF(AZ318,"*")</f>
        <v>1</v>
      </c>
    </row>
    <row r="319" spans="1:62" ht="14.4" hidden="1">
      <c r="A319" s="32">
        <v>14</v>
      </c>
      <c r="B319" s="32">
        <f t="shared" si="2"/>
        <v>89</v>
      </c>
      <c r="C319" s="253" t="s">
        <v>858</v>
      </c>
      <c r="D319" s="253"/>
      <c r="E319" s="32"/>
      <c r="F319" s="32" t="s">
        <v>1080</v>
      </c>
      <c r="G319" s="210"/>
      <c r="H319" s="210"/>
      <c r="I319" s="32"/>
      <c r="J319" s="32"/>
      <c r="K319" s="32"/>
      <c r="L319" s="32"/>
      <c r="M319" s="12" t="s">
        <v>1081</v>
      </c>
      <c r="N319" s="261"/>
      <c r="O319" s="132" t="s">
        <v>1080</v>
      </c>
      <c r="P319" s="496"/>
      <c r="Q319" s="496"/>
      <c r="R319" s="37"/>
      <c r="S319" s="37"/>
      <c r="T319" s="37"/>
      <c r="U319" s="171"/>
      <c r="V319" s="37"/>
      <c r="W319" s="173"/>
      <c r="X319" s="13"/>
      <c r="Y319" s="13"/>
      <c r="Z319" s="13"/>
      <c r="AA319" s="13"/>
      <c r="AB319" s="154"/>
      <c r="AC319" s="154"/>
      <c r="AD319" s="154"/>
      <c r="AE319" s="154"/>
      <c r="AF319" s="154"/>
      <c r="AG319" s="154"/>
      <c r="AH319" s="154"/>
      <c r="AI319" s="379"/>
      <c r="AJ319" s="171"/>
      <c r="AK319" s="37"/>
      <c r="AL319" s="12"/>
      <c r="AM319" s="13"/>
      <c r="AN319" s="12"/>
      <c r="AO319" s="13"/>
      <c r="AP319" s="13"/>
      <c r="AQ319" s="13"/>
      <c r="AR319" s="13"/>
      <c r="AS319" s="13"/>
      <c r="AT319" s="13"/>
      <c r="AU319" s="13"/>
      <c r="AV319" s="13"/>
      <c r="AW319" s="13"/>
      <c r="AX319" s="171"/>
      <c r="AY319" s="37"/>
      <c r="AZ319" s="12"/>
      <c r="BA319" s="13"/>
      <c r="BB319" s="13"/>
      <c r="BC319" s="13"/>
      <c r="BD319" s="13"/>
      <c r="BE319" s="13"/>
      <c r="BF319" s="13"/>
      <c r="BG319" s="13"/>
      <c r="BH319" s="13"/>
      <c r="BI319" s="13"/>
      <c r="BJ319" s="5">
        <f>COUNTIF(M319,"*")+COUNTIF(W319,"*")+COUNTIF(AL319,"*")+COUNTIF(AZ319,"*")</f>
        <v>1</v>
      </c>
    </row>
    <row r="320" spans="1:62" ht="14.4" hidden="1">
      <c r="A320" s="32"/>
      <c r="B320" s="32">
        <f t="shared" si="2"/>
        <v>90</v>
      </c>
      <c r="C320" s="253" t="s">
        <v>858</v>
      </c>
      <c r="D320" s="253"/>
      <c r="E320" s="32"/>
      <c r="F320" s="32" t="s">
        <v>1712</v>
      </c>
      <c r="G320" s="210"/>
      <c r="H320" s="210"/>
      <c r="I320" s="32"/>
      <c r="J320" s="32"/>
      <c r="K320" s="32"/>
      <c r="L320" s="32"/>
      <c r="M320" s="12"/>
      <c r="N320" s="261"/>
      <c r="O320" s="132"/>
      <c r="P320" s="496"/>
      <c r="Q320" s="496"/>
      <c r="R320" s="37"/>
      <c r="S320" s="37"/>
      <c r="T320" s="37"/>
      <c r="U320" s="171"/>
      <c r="V320" s="37"/>
      <c r="W320" s="173"/>
      <c r="X320" s="13"/>
      <c r="Y320" s="13"/>
      <c r="Z320" s="13"/>
      <c r="AA320" s="13"/>
      <c r="AB320" s="154"/>
      <c r="AC320" s="154"/>
      <c r="AD320" s="154"/>
      <c r="AE320" s="154"/>
      <c r="AF320" s="154"/>
      <c r="AG320" s="154"/>
      <c r="AH320" s="154"/>
      <c r="AI320" s="379"/>
      <c r="AJ320" s="171"/>
      <c r="AK320" s="37"/>
      <c r="AL320" s="12" t="s">
        <v>1711</v>
      </c>
      <c r="AM320" s="13"/>
      <c r="AN320" s="12" t="s">
        <v>1711</v>
      </c>
      <c r="AO320" s="13"/>
      <c r="AP320" s="13"/>
      <c r="AQ320" s="13"/>
      <c r="AR320" s="13"/>
      <c r="AS320" s="13" t="s">
        <v>1712</v>
      </c>
      <c r="AT320" s="13"/>
      <c r="AU320" s="13"/>
      <c r="AV320" s="13"/>
      <c r="AW320" s="13"/>
      <c r="AX320" s="171"/>
      <c r="AY320" s="37"/>
      <c r="AZ320" s="12"/>
      <c r="BA320" s="13"/>
      <c r="BB320" s="13"/>
      <c r="BC320" s="13"/>
      <c r="BD320" s="13"/>
      <c r="BE320" s="13"/>
      <c r="BF320" s="13"/>
      <c r="BG320" s="13"/>
      <c r="BH320" s="13"/>
      <c r="BI320" s="13"/>
      <c r="BJ320" s="5">
        <f>COUNTIF(M320,"*")+COUNTIF(W320,"*")+COUNTIF(AL320,"*")+COUNTIF(AZ320,"*")</f>
        <v>1</v>
      </c>
    </row>
    <row r="321" spans="1:62" ht="55.2" hidden="1">
      <c r="A321" s="32">
        <v>14</v>
      </c>
      <c r="B321" s="32">
        <f t="shared" si="2"/>
        <v>91</v>
      </c>
      <c r="C321" s="253" t="s">
        <v>858</v>
      </c>
      <c r="D321" s="253"/>
      <c r="E321" s="32"/>
      <c r="F321" s="32" t="s">
        <v>1082</v>
      </c>
      <c r="G321" s="210" t="s">
        <v>1083</v>
      </c>
      <c r="H321" s="210"/>
      <c r="I321" s="32"/>
      <c r="J321" s="32" t="s">
        <v>1976</v>
      </c>
      <c r="K321" s="32"/>
      <c r="L321" s="32"/>
      <c r="M321" s="12" t="s">
        <v>1084</v>
      </c>
      <c r="N321" s="13"/>
      <c r="O321" s="13"/>
      <c r="P321" s="13"/>
      <c r="Q321" s="13"/>
      <c r="R321" s="13"/>
      <c r="S321" s="13"/>
      <c r="T321" s="13"/>
      <c r="U321" s="167"/>
      <c r="V321" s="13"/>
      <c r="W321" s="173"/>
      <c r="X321" s="13"/>
      <c r="Y321" s="13"/>
      <c r="Z321" s="13"/>
      <c r="AA321" s="13"/>
      <c r="AB321" s="387"/>
      <c r="AC321" s="387"/>
      <c r="AD321" s="387"/>
      <c r="AE321" s="387"/>
      <c r="AF321" s="387"/>
      <c r="AG321" s="387"/>
      <c r="AH321" s="387"/>
      <c r="AI321" s="387"/>
      <c r="AJ321" s="167"/>
      <c r="AK321" s="13"/>
      <c r="AL321" s="12" t="s">
        <v>1708</v>
      </c>
      <c r="AM321" s="493" t="s">
        <v>1709</v>
      </c>
      <c r="AN321" s="12" t="s">
        <v>1708</v>
      </c>
      <c r="AO321" s="13"/>
      <c r="AP321" s="13"/>
      <c r="AQ321" s="13"/>
      <c r="AR321" s="13"/>
      <c r="AS321" s="13" t="s">
        <v>1709</v>
      </c>
      <c r="AT321" s="13"/>
      <c r="AU321" s="13"/>
      <c r="AV321" s="13"/>
      <c r="AW321" s="13"/>
      <c r="AX321" s="167"/>
      <c r="AY321" s="13"/>
      <c r="AZ321" s="12" t="s">
        <v>1082</v>
      </c>
      <c r="BA321" s="13" t="s">
        <v>1083</v>
      </c>
      <c r="BB321" s="13"/>
      <c r="BC321" s="13"/>
      <c r="BD321" s="13" t="s">
        <v>1085</v>
      </c>
      <c r="BE321" s="13" t="s">
        <v>80</v>
      </c>
      <c r="BF321" s="13"/>
      <c r="BG321" s="13"/>
      <c r="BH321" s="13"/>
      <c r="BI321" s="13"/>
      <c r="BJ321" s="5">
        <f>COUNTIF(M321,"*")+COUNTIF(W321,"*")+COUNTIF(AL321,"*")+COUNTIF(AZ321,"*")</f>
        <v>3</v>
      </c>
    </row>
    <row r="322" spans="1:62" ht="14.4" hidden="1">
      <c r="A322" s="32"/>
      <c r="B322" s="32">
        <f t="shared" si="2"/>
        <v>92</v>
      </c>
      <c r="C322" s="253" t="s">
        <v>858</v>
      </c>
      <c r="D322" s="253"/>
      <c r="E322" s="32"/>
      <c r="F322" s="32" t="s">
        <v>1691</v>
      </c>
      <c r="G322" s="210"/>
      <c r="H322" s="210"/>
      <c r="I322" s="32"/>
      <c r="J322" s="32"/>
      <c r="K322" s="32"/>
      <c r="L322" s="32"/>
      <c r="M322" s="12"/>
      <c r="N322" s="261"/>
      <c r="O322" s="132"/>
      <c r="P322" s="496"/>
      <c r="Q322" s="496"/>
      <c r="R322" s="37"/>
      <c r="S322" s="37"/>
      <c r="T322" s="37"/>
      <c r="U322" s="171"/>
      <c r="V322" s="37"/>
      <c r="W322" s="173"/>
      <c r="X322" s="13"/>
      <c r="Y322" s="13"/>
      <c r="Z322" s="13"/>
      <c r="AA322" s="13"/>
      <c r="AB322" s="319"/>
      <c r="AC322" s="319"/>
      <c r="AD322" s="319"/>
      <c r="AE322" s="319"/>
      <c r="AF322" s="319"/>
      <c r="AG322" s="319"/>
      <c r="AH322" s="319"/>
      <c r="AI322" s="379"/>
      <c r="AJ322" s="171"/>
      <c r="AK322" s="37"/>
      <c r="AL322" s="12" t="s">
        <v>1690</v>
      </c>
      <c r="AM322" s="153"/>
      <c r="AN322" s="12" t="s">
        <v>1690</v>
      </c>
      <c r="AO322" s="13"/>
      <c r="AP322" s="13"/>
      <c r="AQ322" s="13"/>
      <c r="AR322" s="13"/>
      <c r="AS322" s="13" t="s">
        <v>1691</v>
      </c>
      <c r="AT322" s="13"/>
      <c r="AU322" s="13"/>
      <c r="AV322" s="13"/>
      <c r="AW322" s="13"/>
      <c r="AX322" s="171"/>
      <c r="AY322" s="37"/>
      <c r="AZ322" s="12"/>
      <c r="BA322" s="13"/>
      <c r="BB322" s="13"/>
      <c r="BC322" s="13"/>
      <c r="BD322" s="13"/>
      <c r="BE322" s="13"/>
      <c r="BF322" s="13"/>
      <c r="BG322" s="13"/>
      <c r="BH322" s="13"/>
      <c r="BI322" s="13"/>
      <c r="BJ322" s="5">
        <f>COUNTIF(M322,"*")+COUNTIF(W322,"*")+COUNTIF(AL322,"*")+COUNTIF(AZ322,"*")</f>
        <v>1</v>
      </c>
    </row>
    <row r="323" spans="1:62" ht="82.8" hidden="1">
      <c r="A323" s="32">
        <v>14</v>
      </c>
      <c r="B323" s="32">
        <f t="shared" si="2"/>
        <v>93</v>
      </c>
      <c r="C323" s="253" t="s">
        <v>858</v>
      </c>
      <c r="D323" s="253"/>
      <c r="E323" s="32"/>
      <c r="F323" s="32" t="s">
        <v>1086</v>
      </c>
      <c r="G323" s="210"/>
      <c r="H323" s="210"/>
      <c r="I323" s="32"/>
      <c r="J323" s="32"/>
      <c r="K323" s="32"/>
      <c r="L323" s="32"/>
      <c r="M323" s="12"/>
      <c r="N323" s="13"/>
      <c r="O323" s="13"/>
      <c r="P323" s="13"/>
      <c r="Q323" s="13"/>
      <c r="R323" s="13"/>
      <c r="S323" s="13"/>
      <c r="T323" s="13"/>
      <c r="U323" s="167"/>
      <c r="V323" s="13"/>
      <c r="W323" s="173"/>
      <c r="X323" s="13"/>
      <c r="Y323" s="13"/>
      <c r="Z323" s="13"/>
      <c r="AA323" s="13"/>
      <c r="AB323" s="319"/>
      <c r="AC323" s="319"/>
      <c r="AD323" s="319"/>
      <c r="AE323" s="319"/>
      <c r="AF323" s="319"/>
      <c r="AG323" s="319"/>
      <c r="AH323" s="319"/>
      <c r="AI323" s="379"/>
      <c r="AJ323" s="167"/>
      <c r="AK323" s="13"/>
      <c r="AL323" s="12"/>
      <c r="AM323" s="13"/>
      <c r="AN323" s="12"/>
      <c r="AO323" s="13"/>
      <c r="AP323" s="13"/>
      <c r="AQ323" s="13"/>
      <c r="AR323" s="13"/>
      <c r="AS323" s="13"/>
      <c r="AT323" s="13"/>
      <c r="AU323" s="13"/>
      <c r="AV323" s="13"/>
      <c r="AW323" s="13"/>
      <c r="AX323" s="167"/>
      <c r="AY323" s="13"/>
      <c r="AZ323" s="12" t="s">
        <v>1086</v>
      </c>
      <c r="BA323" s="13" t="s">
        <v>1087</v>
      </c>
      <c r="BB323" s="13"/>
      <c r="BC323" s="13"/>
      <c r="BD323" s="13" t="s">
        <v>1088</v>
      </c>
      <c r="BE323" s="13" t="s">
        <v>80</v>
      </c>
      <c r="BF323" s="13"/>
      <c r="BG323" s="13"/>
      <c r="BH323" s="13"/>
      <c r="BI323" s="13"/>
      <c r="BJ323" s="5">
        <f>COUNTIF(M323,"*")+COUNTIF(W323,"*")+COUNTIF(AL323,"*")+COUNTIF(AZ323,"*")</f>
        <v>1</v>
      </c>
    </row>
    <row r="324" spans="1:62" ht="27.6" hidden="1">
      <c r="A324" s="39">
        <v>16</v>
      </c>
      <c r="B324" s="39">
        <v>1</v>
      </c>
      <c r="C324" s="256" t="s">
        <v>1089</v>
      </c>
      <c r="D324" s="256"/>
      <c r="E324" s="39"/>
      <c r="F324" s="39" t="s">
        <v>1090</v>
      </c>
      <c r="G324" s="299"/>
      <c r="H324" s="299"/>
      <c r="I324" s="39"/>
      <c r="J324" s="39"/>
      <c r="K324" s="39"/>
      <c r="L324" s="39"/>
      <c r="M324" s="12"/>
      <c r="N324" s="13"/>
      <c r="O324" s="13"/>
      <c r="P324" s="13"/>
      <c r="Q324" s="13"/>
      <c r="R324" s="13"/>
      <c r="S324" s="13"/>
      <c r="T324" s="13"/>
      <c r="U324" s="167"/>
      <c r="V324" s="13"/>
      <c r="W324" s="13" t="s">
        <v>1091</v>
      </c>
      <c r="X324" s="13" t="s">
        <v>1091</v>
      </c>
      <c r="Y324" s="13"/>
      <c r="Z324" s="13"/>
      <c r="AA324" s="13" t="s">
        <v>1092</v>
      </c>
      <c r="AB324" s="319" t="s">
        <v>371</v>
      </c>
      <c r="AC324" s="319" t="s">
        <v>279</v>
      </c>
      <c r="AD324" s="319">
        <v>0</v>
      </c>
      <c r="AE324" s="319">
        <v>100</v>
      </c>
      <c r="AF324" s="319" t="s">
        <v>80</v>
      </c>
      <c r="AG324" s="319"/>
      <c r="AH324" s="319"/>
      <c r="AI324" s="379"/>
      <c r="AJ324" s="167"/>
      <c r="AK324" s="13"/>
      <c r="AL324" s="12"/>
      <c r="AM324" s="13"/>
      <c r="AN324" s="13"/>
      <c r="AO324" s="13"/>
      <c r="AP324" s="13"/>
      <c r="AQ324" s="13"/>
      <c r="AR324" s="13"/>
      <c r="AS324" s="13"/>
      <c r="AT324" s="13"/>
      <c r="AU324" s="13"/>
      <c r="AV324" s="13"/>
      <c r="AW324" s="13"/>
      <c r="AX324" s="167"/>
      <c r="AY324" s="13"/>
      <c r="AZ324" s="12"/>
      <c r="BA324" s="13"/>
      <c r="BB324" s="13"/>
      <c r="BC324" s="13"/>
      <c r="BD324" s="13"/>
      <c r="BE324" s="13"/>
      <c r="BF324" s="13"/>
      <c r="BG324" s="13"/>
      <c r="BH324" s="13"/>
      <c r="BI324" s="13"/>
      <c r="BJ324" s="5">
        <f>COUNTIF(M324,"*")+COUNTIF(W324,"*")+COUNTIF(AL324,"*")+COUNTIF(AZ324,"*")</f>
        <v>1</v>
      </c>
    </row>
    <row r="325" spans="1:62" ht="41.4" hidden="1">
      <c r="A325" s="39">
        <v>16</v>
      </c>
      <c r="B325" s="39">
        <v>2</v>
      </c>
      <c r="C325" s="256" t="s">
        <v>1089</v>
      </c>
      <c r="D325" s="256"/>
      <c r="E325" s="39"/>
      <c r="F325" s="39" t="s">
        <v>1093</v>
      </c>
      <c r="G325" s="299"/>
      <c r="H325" s="299"/>
      <c r="I325" s="39"/>
      <c r="J325" s="39"/>
      <c r="K325" s="39"/>
      <c r="L325" s="39"/>
      <c r="M325" s="12"/>
      <c r="N325" s="13"/>
      <c r="O325" s="13"/>
      <c r="P325" s="13"/>
      <c r="Q325" s="13"/>
      <c r="R325" s="13"/>
      <c r="S325" s="13"/>
      <c r="T325" s="13"/>
      <c r="U325" s="167"/>
      <c r="V325" s="13"/>
      <c r="W325" s="13" t="s">
        <v>1094</v>
      </c>
      <c r="X325" s="13" t="s">
        <v>1094</v>
      </c>
      <c r="Y325" s="13"/>
      <c r="Z325" s="13"/>
      <c r="AA325" s="13" t="s">
        <v>1095</v>
      </c>
      <c r="AB325" s="319" t="s">
        <v>371</v>
      </c>
      <c r="AC325" s="319" t="s">
        <v>279</v>
      </c>
      <c r="AD325" s="319">
        <v>0</v>
      </c>
      <c r="AE325" s="319">
        <v>100</v>
      </c>
      <c r="AF325" s="319" t="s">
        <v>80</v>
      </c>
      <c r="AG325" s="319"/>
      <c r="AH325" s="319"/>
      <c r="AI325" s="379"/>
      <c r="AJ325" s="167"/>
      <c r="AK325" s="13"/>
      <c r="AL325" s="12"/>
      <c r="AM325" s="13"/>
      <c r="AN325" s="13"/>
      <c r="AO325" s="13"/>
      <c r="AP325" s="13"/>
      <c r="AQ325" s="13"/>
      <c r="AR325" s="13"/>
      <c r="AS325" s="13"/>
      <c r="AT325" s="13"/>
      <c r="AU325" s="13"/>
      <c r="AV325" s="13"/>
      <c r="AW325" s="13"/>
      <c r="AX325" s="167"/>
      <c r="AY325" s="13"/>
      <c r="AZ325" s="12"/>
      <c r="BA325" s="13"/>
      <c r="BB325" s="13"/>
      <c r="BC325" s="13"/>
      <c r="BD325" s="13"/>
      <c r="BE325" s="13"/>
      <c r="BF325" s="13"/>
      <c r="BG325" s="13"/>
      <c r="BH325" s="13"/>
      <c r="BI325" s="13"/>
      <c r="BJ325" s="5">
        <f>COUNTIF(M325,"*")+COUNTIF(W325,"*")+COUNTIF(AL325,"*")+COUNTIF(AZ325,"*")</f>
        <v>1</v>
      </c>
    </row>
    <row r="326" spans="1:62" ht="13.8" hidden="1">
      <c r="A326" s="39">
        <v>16</v>
      </c>
      <c r="B326" s="39">
        <v>3</v>
      </c>
      <c r="C326" s="256" t="s">
        <v>1089</v>
      </c>
      <c r="D326" s="256"/>
      <c r="E326" s="39"/>
      <c r="F326" s="39" t="s">
        <v>1096</v>
      </c>
      <c r="G326" s="299"/>
      <c r="H326" s="299"/>
      <c r="I326" s="39"/>
      <c r="J326" s="39"/>
      <c r="K326" s="39"/>
      <c r="L326" s="39"/>
      <c r="M326" s="12"/>
      <c r="N326" s="13"/>
      <c r="O326" s="13"/>
      <c r="P326" s="13"/>
      <c r="Q326" s="13"/>
      <c r="R326" s="13"/>
      <c r="S326" s="13"/>
      <c r="T326" s="13"/>
      <c r="U326" s="167"/>
      <c r="V326" s="13"/>
      <c r="W326" s="13"/>
      <c r="X326" s="13"/>
      <c r="Y326" s="13"/>
      <c r="Z326" s="13"/>
      <c r="AA326" s="13"/>
      <c r="AB326" s="319"/>
      <c r="AC326" s="319"/>
      <c r="AD326" s="319"/>
      <c r="AE326" s="319"/>
      <c r="AF326" s="319"/>
      <c r="AG326" s="319"/>
      <c r="AH326" s="319"/>
      <c r="AI326" s="379"/>
      <c r="AJ326" s="167"/>
      <c r="AK326" s="13"/>
      <c r="AL326" s="17" t="s">
        <v>1097</v>
      </c>
      <c r="AM326" s="374"/>
      <c r="AN326" s="319"/>
      <c r="AO326" s="374"/>
      <c r="AP326" s="319"/>
      <c r="AQ326" s="319" t="s">
        <v>1098</v>
      </c>
      <c r="AR326" s="319" t="s">
        <v>1099</v>
      </c>
      <c r="AS326" s="319" t="s">
        <v>1099</v>
      </c>
      <c r="AT326" s="319" t="s">
        <v>1100</v>
      </c>
      <c r="AU326" s="319"/>
      <c r="AV326" s="319"/>
      <c r="AW326" s="379"/>
      <c r="AX326" s="167"/>
      <c r="AY326" s="13"/>
      <c r="AZ326" s="12"/>
      <c r="BA326" s="13"/>
      <c r="BB326" s="13"/>
      <c r="BC326" s="13"/>
      <c r="BD326" s="13"/>
      <c r="BE326" s="13"/>
      <c r="BF326" s="13"/>
      <c r="BG326" s="13"/>
      <c r="BH326" s="13"/>
      <c r="BI326" s="13"/>
      <c r="BJ326" s="5">
        <f>COUNTIF(M326,"*")+COUNTIF(W326,"*")+COUNTIF(AL326,"*")+COUNTIF(AZ326,"*")</f>
        <v>1</v>
      </c>
    </row>
    <row r="327" spans="1:62" ht="27.6" hidden="1">
      <c r="A327" s="39">
        <v>16</v>
      </c>
      <c r="B327" s="39">
        <v>4</v>
      </c>
      <c r="C327" s="256" t="s">
        <v>1089</v>
      </c>
      <c r="D327" s="256"/>
      <c r="E327" s="39"/>
      <c r="F327" s="39" t="s">
        <v>1101</v>
      </c>
      <c r="G327" s="299"/>
      <c r="H327" s="299"/>
      <c r="I327" s="39"/>
      <c r="J327" s="39"/>
      <c r="K327" s="39"/>
      <c r="L327" s="39"/>
      <c r="M327" s="12"/>
      <c r="N327" s="13"/>
      <c r="O327" s="13"/>
      <c r="P327" s="13"/>
      <c r="Q327" s="13"/>
      <c r="R327" s="13"/>
      <c r="S327" s="13"/>
      <c r="T327" s="13"/>
      <c r="U327" s="167"/>
      <c r="V327" s="13"/>
      <c r="W327" s="13"/>
      <c r="X327" s="13"/>
      <c r="Y327" s="13"/>
      <c r="Z327" s="13"/>
      <c r="AA327" s="13"/>
      <c r="AB327" s="319"/>
      <c r="AC327" s="319"/>
      <c r="AD327" s="319"/>
      <c r="AE327" s="319"/>
      <c r="AF327" s="319"/>
      <c r="AG327" s="319"/>
      <c r="AH327" s="319"/>
      <c r="AI327" s="379"/>
      <c r="AJ327" s="167"/>
      <c r="AK327" s="13"/>
      <c r="AL327" s="17" t="s">
        <v>1102</v>
      </c>
      <c r="AM327" s="374"/>
      <c r="AN327" s="319"/>
      <c r="AO327" s="374"/>
      <c r="AP327" s="319"/>
      <c r="AQ327" s="319" t="s">
        <v>1098</v>
      </c>
      <c r="AR327" s="319" t="s">
        <v>1103</v>
      </c>
      <c r="AS327" s="319" t="s">
        <v>1103</v>
      </c>
      <c r="AT327" s="319" t="s">
        <v>1100</v>
      </c>
      <c r="AU327" s="319"/>
      <c r="AV327" s="319"/>
      <c r="AW327" s="379"/>
      <c r="AX327" s="167"/>
      <c r="AY327" s="13"/>
      <c r="AZ327" s="12"/>
      <c r="BA327" s="13"/>
      <c r="BB327" s="13"/>
      <c r="BC327" s="13"/>
      <c r="BD327" s="13"/>
      <c r="BE327" s="13"/>
      <c r="BF327" s="13"/>
      <c r="BG327" s="13"/>
      <c r="BH327" s="13"/>
      <c r="BI327" s="13"/>
      <c r="BJ327" s="5">
        <f>COUNTIF(M327,"*")+COUNTIF(W327,"*")+COUNTIF(AL327,"*")+COUNTIF(AZ327,"*")</f>
        <v>1</v>
      </c>
    </row>
    <row r="328" spans="1:62" ht="27.6" hidden="1">
      <c r="A328" s="40">
        <v>17</v>
      </c>
      <c r="B328" s="40">
        <v>1</v>
      </c>
      <c r="C328" s="257" t="s">
        <v>1598</v>
      </c>
      <c r="D328" s="257"/>
      <c r="E328" s="41"/>
      <c r="F328" s="41" t="s">
        <v>1105</v>
      </c>
      <c r="G328" s="300"/>
      <c r="H328" s="300"/>
      <c r="I328" s="41"/>
      <c r="J328" s="41"/>
      <c r="K328" s="41"/>
      <c r="L328" s="41"/>
      <c r="M328" s="12"/>
      <c r="N328" s="13"/>
      <c r="O328" s="13"/>
      <c r="P328" s="13"/>
      <c r="Q328" s="13"/>
      <c r="R328" s="13"/>
      <c r="S328" s="13"/>
      <c r="T328" s="13"/>
      <c r="U328" s="167"/>
      <c r="V328" s="13"/>
      <c r="W328" s="13"/>
      <c r="X328" s="13"/>
      <c r="Y328" s="13"/>
      <c r="Z328" s="13"/>
      <c r="AA328" s="13"/>
      <c r="AB328" s="13"/>
      <c r="AC328" s="13"/>
      <c r="AD328" s="13"/>
      <c r="AE328" s="13"/>
      <c r="AF328" s="13"/>
      <c r="AG328" s="13"/>
      <c r="AH328" s="13"/>
      <c r="AI328" s="13"/>
      <c r="AJ328" s="167"/>
      <c r="AK328" s="13"/>
      <c r="AL328" s="17" t="s">
        <v>1106</v>
      </c>
      <c r="AM328" s="374"/>
      <c r="AN328" s="319"/>
      <c r="AO328" s="374"/>
      <c r="AP328" s="319"/>
      <c r="AQ328" s="319" t="s">
        <v>1104</v>
      </c>
      <c r="AR328" s="319" t="s">
        <v>1107</v>
      </c>
      <c r="AS328" s="319" t="s">
        <v>1107</v>
      </c>
      <c r="AT328" s="319"/>
      <c r="AU328" s="319"/>
      <c r="AV328" s="319"/>
      <c r="AW328" s="379"/>
      <c r="AX328" s="167"/>
      <c r="AY328" s="13"/>
      <c r="AZ328" s="12"/>
      <c r="BA328" s="13"/>
      <c r="BB328" s="13"/>
      <c r="BC328" s="13"/>
      <c r="BD328" s="13"/>
      <c r="BE328" s="13"/>
      <c r="BF328" s="13"/>
      <c r="BG328" s="13"/>
      <c r="BH328" s="13"/>
      <c r="BI328" s="13"/>
      <c r="BJ328" s="5">
        <f>COUNTIF(M328,"*")+COUNTIF(W328,"*")+COUNTIF(AL328,"*")+COUNTIF(AZ328,"*")</f>
        <v>1</v>
      </c>
    </row>
    <row r="329" spans="1:62" ht="27.6" hidden="1">
      <c r="A329" s="40">
        <v>17</v>
      </c>
      <c r="B329" s="40">
        <v>2</v>
      </c>
      <c r="C329" s="257" t="s">
        <v>1598</v>
      </c>
      <c r="D329" s="257"/>
      <c r="E329" s="40"/>
      <c r="F329" s="40" t="s">
        <v>1108</v>
      </c>
      <c r="G329" s="301"/>
      <c r="H329" s="301"/>
      <c r="I329" s="40"/>
      <c r="J329" s="40"/>
      <c r="K329" s="40"/>
      <c r="L329" s="40"/>
      <c r="M329" s="12"/>
      <c r="N329" s="13"/>
      <c r="O329" s="13"/>
      <c r="P329" s="13"/>
      <c r="Q329" s="13"/>
      <c r="R329" s="13"/>
      <c r="S329" s="13"/>
      <c r="T329" s="13"/>
      <c r="U329" s="167"/>
      <c r="V329" s="13"/>
      <c r="W329" s="13"/>
      <c r="X329" s="13"/>
      <c r="Y329" s="13"/>
      <c r="Z329" s="13"/>
      <c r="AA329" s="13"/>
      <c r="AB329" s="13"/>
      <c r="AC329" s="13"/>
      <c r="AD329" s="13"/>
      <c r="AE329" s="13"/>
      <c r="AF329" s="13"/>
      <c r="AG329" s="13"/>
      <c r="AH329" s="13"/>
      <c r="AI329" s="13"/>
      <c r="AJ329" s="167"/>
      <c r="AK329" s="13"/>
      <c r="AL329" s="17" t="s">
        <v>1109</v>
      </c>
      <c r="AM329" s="374"/>
      <c r="AN329" s="319"/>
      <c r="AO329" s="374"/>
      <c r="AP329" s="319"/>
      <c r="AQ329" s="319" t="s">
        <v>1104</v>
      </c>
      <c r="AR329" s="319" t="s">
        <v>1110</v>
      </c>
      <c r="AS329" s="319" t="s">
        <v>1110</v>
      </c>
      <c r="AT329" s="319"/>
      <c r="AU329" s="319"/>
      <c r="AV329" s="319"/>
      <c r="AW329" s="379"/>
      <c r="AX329" s="167"/>
      <c r="AY329" s="13"/>
      <c r="AZ329" s="12"/>
      <c r="BA329" s="13"/>
      <c r="BB329" s="13"/>
      <c r="BC329" s="13"/>
      <c r="BD329" s="13"/>
      <c r="BE329" s="13"/>
      <c r="BF329" s="13"/>
      <c r="BG329" s="13"/>
      <c r="BH329" s="13"/>
      <c r="BI329" s="13"/>
      <c r="BJ329" s="5">
        <f>COUNTIF(M329,"*")+COUNTIF(W329,"*")+COUNTIF(AL329,"*")+COUNTIF(AZ329,"*")</f>
        <v>1</v>
      </c>
    </row>
    <row r="330" spans="1:62" ht="41.4" hidden="1">
      <c r="A330" s="40">
        <v>17</v>
      </c>
      <c r="B330" s="40">
        <v>3</v>
      </c>
      <c r="C330" s="257" t="s">
        <v>1598</v>
      </c>
      <c r="D330" s="257"/>
      <c r="E330" s="40"/>
      <c r="F330" s="40" t="s">
        <v>1111</v>
      </c>
      <c r="G330" s="301"/>
      <c r="H330" s="301"/>
      <c r="I330" s="40"/>
      <c r="J330" s="40"/>
      <c r="K330" s="40"/>
      <c r="L330" s="40"/>
      <c r="M330" s="12"/>
      <c r="N330" s="13"/>
      <c r="O330" s="13"/>
      <c r="P330" s="13"/>
      <c r="Q330" s="13"/>
      <c r="R330" s="13"/>
      <c r="S330" s="13"/>
      <c r="T330" s="13"/>
      <c r="U330" s="167"/>
      <c r="V330" s="13"/>
      <c r="W330" s="13"/>
      <c r="X330" s="13"/>
      <c r="Y330" s="13"/>
      <c r="Z330" s="13"/>
      <c r="AA330" s="13"/>
      <c r="AB330" s="13"/>
      <c r="AC330" s="13"/>
      <c r="AD330" s="13"/>
      <c r="AE330" s="13"/>
      <c r="AF330" s="13"/>
      <c r="AG330" s="13"/>
      <c r="AH330" s="13"/>
      <c r="AI330" s="13"/>
      <c r="AJ330" s="167"/>
      <c r="AK330" s="13"/>
      <c r="AL330" s="17" t="s">
        <v>1112</v>
      </c>
      <c r="AM330" s="374"/>
      <c r="AN330" s="319"/>
      <c r="AO330" s="374"/>
      <c r="AP330" s="319"/>
      <c r="AQ330" s="319" t="s">
        <v>1104</v>
      </c>
      <c r="AR330" s="319" t="s">
        <v>1113</v>
      </c>
      <c r="AS330" s="319" t="s">
        <v>1113</v>
      </c>
      <c r="AT330" s="319"/>
      <c r="AU330" s="319"/>
      <c r="AV330" s="319"/>
      <c r="AW330" s="379"/>
      <c r="AX330" s="167"/>
      <c r="AY330" s="13"/>
      <c r="AZ330" s="12"/>
      <c r="BA330" s="13"/>
      <c r="BB330" s="13"/>
      <c r="BC330" s="13"/>
      <c r="BD330" s="13"/>
      <c r="BE330" s="13"/>
      <c r="BF330" s="13"/>
      <c r="BG330" s="13"/>
      <c r="BH330" s="13"/>
      <c r="BI330" s="13"/>
      <c r="BJ330" s="5">
        <f>COUNTIF(M330,"*")+COUNTIF(W330,"*")+COUNTIF(AL330,"*")+COUNTIF(AZ330,"*")</f>
        <v>1</v>
      </c>
    </row>
    <row r="331" spans="1:62" ht="13.8" hidden="1">
      <c r="A331" s="40">
        <v>17</v>
      </c>
      <c r="B331" s="40">
        <v>4</v>
      </c>
      <c r="C331" s="257" t="s">
        <v>1598</v>
      </c>
      <c r="D331" s="257"/>
      <c r="E331" s="40"/>
      <c r="F331" s="40" t="s">
        <v>1114</v>
      </c>
      <c r="G331" s="301"/>
      <c r="H331" s="301"/>
      <c r="I331" s="40"/>
      <c r="J331" s="40"/>
      <c r="K331" s="40"/>
      <c r="L331" s="40"/>
      <c r="M331" s="12"/>
      <c r="N331" s="13"/>
      <c r="O331" s="13"/>
      <c r="P331" s="13"/>
      <c r="Q331" s="13"/>
      <c r="R331" s="13"/>
      <c r="S331" s="13"/>
      <c r="T331" s="13"/>
      <c r="U331" s="167"/>
      <c r="V331" s="13"/>
      <c r="W331" s="13"/>
      <c r="X331" s="13"/>
      <c r="Y331" s="13"/>
      <c r="Z331" s="13"/>
      <c r="AA331" s="13"/>
      <c r="AB331" s="13"/>
      <c r="AC331" s="13"/>
      <c r="AD331" s="13"/>
      <c r="AE331" s="13"/>
      <c r="AF331" s="13"/>
      <c r="AG331" s="13"/>
      <c r="AH331" s="13"/>
      <c r="AI331" s="13"/>
      <c r="AJ331" s="167"/>
      <c r="AK331" s="13"/>
      <c r="AL331" s="17" t="s">
        <v>1115</v>
      </c>
      <c r="AM331" s="374"/>
      <c r="AN331" s="319"/>
      <c r="AO331" s="374"/>
      <c r="AP331" s="319"/>
      <c r="AQ331" s="319" t="s">
        <v>1104</v>
      </c>
      <c r="AR331" s="319" t="s">
        <v>1116</v>
      </c>
      <c r="AS331" s="319" t="s">
        <v>1116</v>
      </c>
      <c r="AT331" s="319"/>
      <c r="AU331" s="319"/>
      <c r="AV331" s="319"/>
      <c r="AW331" s="379"/>
      <c r="AX331" s="167"/>
      <c r="AY331" s="13"/>
      <c r="AZ331" s="12"/>
      <c r="BA331" s="13"/>
      <c r="BB331" s="13"/>
      <c r="BC331" s="13"/>
      <c r="BD331" s="13"/>
      <c r="BE331" s="13"/>
      <c r="BF331" s="13"/>
      <c r="BG331" s="13"/>
      <c r="BH331" s="13"/>
      <c r="BI331" s="13"/>
      <c r="BJ331" s="5">
        <f>COUNTIF(M331,"*")+COUNTIF(W331,"*")+COUNTIF(AL331,"*")+COUNTIF(AZ331,"*")</f>
        <v>1</v>
      </c>
    </row>
    <row r="332" spans="1:62" ht="27.6" hidden="1">
      <c r="A332" s="40">
        <v>17</v>
      </c>
      <c r="B332" s="40">
        <v>5</v>
      </c>
      <c r="C332" s="257" t="s">
        <v>1598</v>
      </c>
      <c r="D332" s="257"/>
      <c r="E332" s="40"/>
      <c r="F332" s="40" t="s">
        <v>1117</v>
      </c>
      <c r="G332" s="301"/>
      <c r="H332" s="301"/>
      <c r="I332" s="40"/>
      <c r="J332" s="40"/>
      <c r="K332" s="40"/>
      <c r="L332" s="40"/>
      <c r="M332" s="12"/>
      <c r="N332" s="13"/>
      <c r="O332" s="13"/>
      <c r="P332" s="13"/>
      <c r="Q332" s="13"/>
      <c r="R332" s="13"/>
      <c r="S332" s="13"/>
      <c r="T332" s="13"/>
      <c r="U332" s="167"/>
      <c r="V332" s="13"/>
      <c r="W332" s="13"/>
      <c r="X332" s="13"/>
      <c r="Y332" s="13"/>
      <c r="Z332" s="13"/>
      <c r="AA332" s="13"/>
      <c r="AB332" s="13"/>
      <c r="AC332" s="13"/>
      <c r="AD332" s="13"/>
      <c r="AE332" s="13"/>
      <c r="AF332" s="13"/>
      <c r="AG332" s="13"/>
      <c r="AH332" s="13"/>
      <c r="AI332" s="13"/>
      <c r="AJ332" s="167"/>
      <c r="AK332" s="13"/>
      <c r="AL332" s="17" t="s">
        <v>1118</v>
      </c>
      <c r="AM332" s="374"/>
      <c r="AN332" s="319"/>
      <c r="AO332" s="374"/>
      <c r="AP332" s="319"/>
      <c r="AQ332" s="319" t="s">
        <v>1104</v>
      </c>
      <c r="AR332" s="319" t="s">
        <v>1119</v>
      </c>
      <c r="AS332" s="319" t="s">
        <v>1119</v>
      </c>
      <c r="AT332" s="319"/>
      <c r="AU332" s="319"/>
      <c r="AV332" s="319"/>
      <c r="AW332" s="379"/>
      <c r="AX332" s="167"/>
      <c r="AY332" s="13"/>
      <c r="AZ332" s="12"/>
      <c r="BA332" s="13"/>
      <c r="BB332" s="13"/>
      <c r="BC332" s="13"/>
      <c r="BD332" s="13"/>
      <c r="BE332" s="13"/>
      <c r="BF332" s="13"/>
      <c r="BG332" s="13"/>
      <c r="BH332" s="13"/>
      <c r="BI332" s="13"/>
      <c r="BJ332" s="5">
        <f>COUNTIF(M332,"*")+COUNTIF(W332,"*")+COUNTIF(AL332,"*")+COUNTIF(AZ332,"*")</f>
        <v>1</v>
      </c>
    </row>
    <row r="333" spans="1:62" ht="13.8" hidden="1">
      <c r="A333" s="40">
        <v>17</v>
      </c>
      <c r="B333" s="40">
        <v>6</v>
      </c>
      <c r="C333" s="257" t="s">
        <v>1598</v>
      </c>
      <c r="D333" s="257"/>
      <c r="E333" s="40"/>
      <c r="F333" s="40" t="s">
        <v>1120</v>
      </c>
      <c r="G333" s="301"/>
      <c r="H333" s="301"/>
      <c r="I333" s="40"/>
      <c r="J333" s="40"/>
      <c r="K333" s="40"/>
      <c r="L333" s="40"/>
      <c r="M333" s="12"/>
      <c r="N333" s="13"/>
      <c r="O333" s="13"/>
      <c r="P333" s="13"/>
      <c r="Q333" s="13"/>
      <c r="R333" s="13"/>
      <c r="S333" s="13"/>
      <c r="T333" s="13"/>
      <c r="U333" s="167"/>
      <c r="V333" s="13"/>
      <c r="W333" s="13"/>
      <c r="X333" s="13"/>
      <c r="Y333" s="13"/>
      <c r="Z333" s="13"/>
      <c r="AA333" s="13"/>
      <c r="AB333" s="13"/>
      <c r="AC333" s="13"/>
      <c r="AD333" s="13"/>
      <c r="AE333" s="13"/>
      <c r="AF333" s="13"/>
      <c r="AG333" s="13"/>
      <c r="AH333" s="13"/>
      <c r="AI333" s="13"/>
      <c r="AJ333" s="167"/>
      <c r="AK333" s="13"/>
      <c r="AL333" s="17" t="s">
        <v>1121</v>
      </c>
      <c r="AM333" s="374"/>
      <c r="AN333" s="319"/>
      <c r="AO333" s="374"/>
      <c r="AP333" s="319"/>
      <c r="AQ333" s="319" t="s">
        <v>1104</v>
      </c>
      <c r="AR333" s="319" t="s">
        <v>1122</v>
      </c>
      <c r="AS333" s="319" t="s">
        <v>1122</v>
      </c>
      <c r="AT333" s="319"/>
      <c r="AU333" s="319"/>
      <c r="AV333" s="319"/>
      <c r="AW333" s="379"/>
      <c r="AX333" s="167"/>
      <c r="AY333" s="13"/>
      <c r="AZ333" s="12"/>
      <c r="BA333" s="13"/>
      <c r="BB333" s="13"/>
      <c r="BC333" s="13"/>
      <c r="BD333" s="13"/>
      <c r="BE333" s="13"/>
      <c r="BF333" s="13"/>
      <c r="BG333" s="13"/>
      <c r="BH333" s="13"/>
      <c r="BI333" s="13"/>
      <c r="BJ333" s="5">
        <f>COUNTIF(M333,"*")+COUNTIF(W333,"*")+COUNTIF(AL333,"*")+COUNTIF(AZ333,"*")</f>
        <v>1</v>
      </c>
    </row>
    <row r="334" spans="1:62" ht="13.8" hidden="1">
      <c r="A334" s="40">
        <v>17</v>
      </c>
      <c r="B334" s="40">
        <v>7</v>
      </c>
      <c r="C334" s="257" t="s">
        <v>1598</v>
      </c>
      <c r="D334" s="257"/>
      <c r="E334" s="41"/>
      <c r="F334" s="41" t="s">
        <v>1123</v>
      </c>
      <c r="G334" s="300"/>
      <c r="H334" s="300"/>
      <c r="I334" s="41"/>
      <c r="J334" s="41"/>
      <c r="K334" s="41"/>
      <c r="L334" s="41"/>
      <c r="M334" s="12"/>
      <c r="N334" s="13"/>
      <c r="O334" s="13"/>
      <c r="P334" s="13"/>
      <c r="Q334" s="13"/>
      <c r="R334" s="13"/>
      <c r="S334" s="13"/>
      <c r="T334" s="13"/>
      <c r="U334" s="167"/>
      <c r="V334" s="13"/>
      <c r="W334" s="13"/>
      <c r="X334" s="13"/>
      <c r="Y334" s="13"/>
      <c r="Z334" s="13"/>
      <c r="AA334" s="13"/>
      <c r="AB334" s="13"/>
      <c r="AC334" s="13"/>
      <c r="AD334" s="13"/>
      <c r="AE334" s="13"/>
      <c r="AF334" s="13"/>
      <c r="AG334" s="13"/>
      <c r="AH334" s="13"/>
      <c r="AI334" s="13"/>
      <c r="AJ334" s="167"/>
      <c r="AK334" s="13"/>
      <c r="AL334" s="17" t="s">
        <v>1124</v>
      </c>
      <c r="AM334" s="374"/>
      <c r="AN334" s="319"/>
      <c r="AO334" s="374"/>
      <c r="AP334" s="319"/>
      <c r="AQ334" s="319" t="s">
        <v>1104</v>
      </c>
      <c r="AR334" s="319" t="s">
        <v>1125</v>
      </c>
      <c r="AS334" s="319" t="s">
        <v>1125</v>
      </c>
      <c r="AT334" s="319"/>
      <c r="AU334" s="319"/>
      <c r="AV334" s="319"/>
      <c r="AW334" s="379"/>
      <c r="AX334" s="167"/>
      <c r="AY334" s="13"/>
      <c r="AZ334" s="12"/>
      <c r="BA334" s="13"/>
      <c r="BB334" s="13"/>
      <c r="BC334" s="13"/>
      <c r="BD334" s="13"/>
      <c r="BE334" s="13"/>
      <c r="BF334" s="13"/>
      <c r="BG334" s="13"/>
      <c r="BH334" s="13"/>
      <c r="BI334" s="13"/>
      <c r="BJ334" s="5">
        <f>COUNTIF(M334,"*")+COUNTIF(W334,"*")+COUNTIF(AL334,"*")+COUNTIF(AZ334,"*")</f>
        <v>1</v>
      </c>
    </row>
    <row r="335" spans="1:62" ht="13.8" hidden="1">
      <c r="A335" s="40">
        <v>17</v>
      </c>
      <c r="B335" s="40">
        <v>8</v>
      </c>
      <c r="C335" s="257" t="s">
        <v>1598</v>
      </c>
      <c r="D335" s="257"/>
      <c r="E335" s="41"/>
      <c r="F335" s="41" t="s">
        <v>1126</v>
      </c>
      <c r="G335" s="300"/>
      <c r="H335" s="300"/>
      <c r="I335" s="41"/>
      <c r="J335" s="41"/>
      <c r="K335" s="41"/>
      <c r="L335" s="41"/>
      <c r="M335" s="12"/>
      <c r="N335" s="13"/>
      <c r="O335" s="13"/>
      <c r="P335" s="13"/>
      <c r="Q335" s="13"/>
      <c r="R335" s="13"/>
      <c r="S335" s="13"/>
      <c r="T335" s="13"/>
      <c r="U335" s="167"/>
      <c r="V335" s="13"/>
      <c r="W335" s="13"/>
      <c r="X335" s="13"/>
      <c r="Y335" s="13"/>
      <c r="Z335" s="13"/>
      <c r="AA335" s="13"/>
      <c r="AB335" s="13"/>
      <c r="AC335" s="13"/>
      <c r="AD335" s="13"/>
      <c r="AE335" s="13"/>
      <c r="AF335" s="13"/>
      <c r="AG335" s="13"/>
      <c r="AH335" s="13"/>
      <c r="AI335" s="13"/>
      <c r="AJ335" s="167"/>
      <c r="AK335" s="13"/>
      <c r="AL335" s="17" t="s">
        <v>1127</v>
      </c>
      <c r="AM335" s="374"/>
      <c r="AN335" s="319"/>
      <c r="AO335" s="374"/>
      <c r="AP335" s="319"/>
      <c r="AQ335" s="319" t="s">
        <v>1104</v>
      </c>
      <c r="AR335" s="319" t="s">
        <v>1128</v>
      </c>
      <c r="AS335" s="319" t="s">
        <v>1128</v>
      </c>
      <c r="AT335" s="319"/>
      <c r="AU335" s="319"/>
      <c r="AV335" s="319"/>
      <c r="AW335" s="379"/>
      <c r="AX335" s="167"/>
      <c r="AY335" s="13"/>
      <c r="AZ335" s="12"/>
      <c r="BA335" s="13"/>
      <c r="BB335" s="13"/>
      <c r="BC335" s="13"/>
      <c r="BD335" s="13"/>
      <c r="BE335" s="13"/>
      <c r="BF335" s="13"/>
      <c r="BG335" s="13"/>
      <c r="BH335" s="13"/>
      <c r="BI335" s="13"/>
      <c r="BJ335" s="5">
        <f>COUNTIF(M335,"*")+COUNTIF(W335,"*")+COUNTIF(AL335,"*")+COUNTIF(AZ335,"*")</f>
        <v>1</v>
      </c>
    </row>
    <row r="336" spans="1:62" ht="13.8" hidden="1">
      <c r="A336" s="40">
        <v>17</v>
      </c>
      <c r="B336" s="40">
        <v>9</v>
      </c>
      <c r="C336" s="257" t="s">
        <v>1598</v>
      </c>
      <c r="D336" s="257"/>
      <c r="E336" s="41"/>
      <c r="F336" s="41" t="s">
        <v>1129</v>
      </c>
      <c r="G336" s="300"/>
      <c r="H336" s="300"/>
      <c r="I336" s="41"/>
      <c r="J336" s="41"/>
      <c r="K336" s="41"/>
      <c r="L336" s="41"/>
      <c r="M336" s="12"/>
      <c r="N336" s="13"/>
      <c r="O336" s="13"/>
      <c r="P336" s="13"/>
      <c r="Q336" s="13"/>
      <c r="R336" s="13"/>
      <c r="S336" s="13"/>
      <c r="T336" s="13"/>
      <c r="U336" s="167"/>
      <c r="V336" s="13"/>
      <c r="W336" s="13"/>
      <c r="X336" s="13"/>
      <c r="Y336" s="13"/>
      <c r="Z336" s="13"/>
      <c r="AA336" s="13"/>
      <c r="AB336" s="13"/>
      <c r="AC336" s="13"/>
      <c r="AD336" s="13"/>
      <c r="AE336" s="13"/>
      <c r="AF336" s="13"/>
      <c r="AG336" s="13"/>
      <c r="AH336" s="13"/>
      <c r="AI336" s="13"/>
      <c r="AJ336" s="167"/>
      <c r="AK336" s="13"/>
      <c r="AL336" s="17" t="s">
        <v>1130</v>
      </c>
      <c r="AM336" s="374"/>
      <c r="AN336" s="319"/>
      <c r="AO336" s="374"/>
      <c r="AP336" s="319"/>
      <c r="AQ336" s="319" t="s">
        <v>1104</v>
      </c>
      <c r="AR336" s="319" t="s">
        <v>1131</v>
      </c>
      <c r="AS336" s="319" t="s">
        <v>1131</v>
      </c>
      <c r="AT336" s="319"/>
      <c r="AU336" s="319"/>
      <c r="AV336" s="319"/>
      <c r="AW336" s="379"/>
      <c r="AX336" s="167"/>
      <c r="AY336" s="13"/>
      <c r="AZ336" s="12"/>
      <c r="BA336" s="13"/>
      <c r="BB336" s="13"/>
      <c r="BC336" s="13"/>
      <c r="BD336" s="13"/>
      <c r="BE336" s="13"/>
      <c r="BF336" s="13"/>
      <c r="BG336" s="13"/>
      <c r="BH336" s="13"/>
      <c r="BI336" s="13"/>
      <c r="BJ336" s="5">
        <f>COUNTIF(M336,"*")+COUNTIF(W336,"*")+COUNTIF(AL336,"*")+COUNTIF(AZ336,"*")</f>
        <v>1</v>
      </c>
    </row>
    <row r="337" spans="1:62" ht="13.8" hidden="1">
      <c r="A337" s="40">
        <v>17</v>
      </c>
      <c r="B337" s="40">
        <v>10</v>
      </c>
      <c r="C337" s="257" t="s">
        <v>1598</v>
      </c>
      <c r="D337" s="257"/>
      <c r="E337" s="41"/>
      <c r="F337" s="41" t="s">
        <v>1132</v>
      </c>
      <c r="G337" s="300"/>
      <c r="H337" s="300"/>
      <c r="I337" s="41"/>
      <c r="J337" s="41"/>
      <c r="K337" s="41"/>
      <c r="L337" s="41"/>
      <c r="M337" s="12"/>
      <c r="N337" s="13"/>
      <c r="O337" s="13"/>
      <c r="P337" s="13"/>
      <c r="Q337" s="13"/>
      <c r="R337" s="13"/>
      <c r="S337" s="13"/>
      <c r="T337" s="13"/>
      <c r="U337" s="167"/>
      <c r="V337" s="13"/>
      <c r="W337" s="13"/>
      <c r="X337" s="13"/>
      <c r="Y337" s="13"/>
      <c r="Z337" s="13"/>
      <c r="AA337" s="13"/>
      <c r="AB337" s="13"/>
      <c r="AC337" s="13"/>
      <c r="AD337" s="13"/>
      <c r="AE337" s="13"/>
      <c r="AF337" s="13"/>
      <c r="AG337" s="13"/>
      <c r="AH337" s="13"/>
      <c r="AI337" s="13"/>
      <c r="AJ337" s="167"/>
      <c r="AK337" s="13"/>
      <c r="AL337" s="17" t="s">
        <v>1133</v>
      </c>
      <c r="AM337" s="374"/>
      <c r="AN337" s="319"/>
      <c r="AO337" s="374"/>
      <c r="AP337" s="319"/>
      <c r="AQ337" s="319" t="s">
        <v>1104</v>
      </c>
      <c r="AR337" s="319" t="s">
        <v>1134</v>
      </c>
      <c r="AS337" s="319" t="s">
        <v>1134</v>
      </c>
      <c r="AT337" s="319"/>
      <c r="AU337" s="319"/>
      <c r="AV337" s="319"/>
      <c r="AW337" s="379"/>
      <c r="AX337" s="167"/>
      <c r="AY337" s="13"/>
      <c r="AZ337" s="12"/>
      <c r="BA337" s="13"/>
      <c r="BB337" s="13"/>
      <c r="BC337" s="13"/>
      <c r="BD337" s="13"/>
      <c r="BE337" s="13"/>
      <c r="BF337" s="13"/>
      <c r="BG337" s="13"/>
      <c r="BH337" s="13"/>
      <c r="BI337" s="13"/>
      <c r="BJ337" s="5">
        <f>COUNTIF(M337,"*")+COUNTIF(W337,"*")+COUNTIF(AL337,"*")+COUNTIF(AZ337,"*")</f>
        <v>1</v>
      </c>
    </row>
    <row r="338" spans="1:62" ht="13.8" hidden="1">
      <c r="A338" s="40">
        <v>17</v>
      </c>
      <c r="B338" s="40">
        <v>11</v>
      </c>
      <c r="C338" s="257" t="s">
        <v>1598</v>
      </c>
      <c r="D338" s="257"/>
      <c r="E338" s="41"/>
      <c r="F338" s="41" t="s">
        <v>1135</v>
      </c>
      <c r="G338" s="300"/>
      <c r="H338" s="300"/>
      <c r="I338" s="41"/>
      <c r="J338" s="41"/>
      <c r="K338" s="41"/>
      <c r="L338" s="41"/>
      <c r="M338" s="12"/>
      <c r="N338" s="13"/>
      <c r="O338" s="13"/>
      <c r="P338" s="13"/>
      <c r="Q338" s="13"/>
      <c r="R338" s="13"/>
      <c r="S338" s="13"/>
      <c r="T338" s="13"/>
      <c r="U338" s="167"/>
      <c r="V338" s="13"/>
      <c r="W338" s="13"/>
      <c r="X338" s="13"/>
      <c r="Y338" s="13"/>
      <c r="Z338" s="13"/>
      <c r="AA338" s="13"/>
      <c r="AB338" s="13"/>
      <c r="AC338" s="13"/>
      <c r="AD338" s="13"/>
      <c r="AE338" s="13"/>
      <c r="AF338" s="13"/>
      <c r="AG338" s="13"/>
      <c r="AH338" s="13"/>
      <c r="AI338" s="13"/>
      <c r="AJ338" s="167"/>
      <c r="AK338" s="13"/>
      <c r="AL338" s="17" t="s">
        <v>1136</v>
      </c>
      <c r="AM338" s="374"/>
      <c r="AN338" s="319"/>
      <c r="AO338" s="374"/>
      <c r="AP338" s="319"/>
      <c r="AQ338" s="319" t="s">
        <v>1104</v>
      </c>
      <c r="AR338" s="319" t="s">
        <v>1137</v>
      </c>
      <c r="AS338" s="319" t="s">
        <v>1137</v>
      </c>
      <c r="AT338" s="319"/>
      <c r="AU338" s="319"/>
      <c r="AV338" s="319"/>
      <c r="AW338" s="379"/>
      <c r="AX338" s="167"/>
      <c r="AY338" s="13"/>
      <c r="AZ338" s="12"/>
      <c r="BA338" s="13"/>
      <c r="BB338" s="13"/>
      <c r="BC338" s="13"/>
      <c r="BD338" s="13"/>
      <c r="BE338" s="13"/>
      <c r="BF338" s="13"/>
      <c r="BG338" s="13"/>
      <c r="BH338" s="13"/>
      <c r="BI338" s="13"/>
      <c r="BJ338" s="5">
        <f>COUNTIF(M338,"*")+COUNTIF(W338,"*")+COUNTIF(AL338,"*")+COUNTIF(AZ338,"*")</f>
        <v>1</v>
      </c>
    </row>
    <row r="339" spans="1:62" ht="13.8" hidden="1">
      <c r="A339" s="40">
        <v>17</v>
      </c>
      <c r="B339" s="40">
        <v>12</v>
      </c>
      <c r="C339" s="257" t="s">
        <v>1598</v>
      </c>
      <c r="D339" s="257"/>
      <c r="E339" s="41"/>
      <c r="F339" s="41" t="s">
        <v>1138</v>
      </c>
      <c r="G339" s="300"/>
      <c r="H339" s="300"/>
      <c r="I339" s="41"/>
      <c r="J339" s="41"/>
      <c r="K339" s="41"/>
      <c r="L339" s="41"/>
      <c r="M339" s="12"/>
      <c r="N339" s="13"/>
      <c r="O339" s="13"/>
      <c r="P339" s="13"/>
      <c r="Q339" s="13"/>
      <c r="R339" s="13"/>
      <c r="S339" s="13"/>
      <c r="T339" s="13"/>
      <c r="U339" s="167"/>
      <c r="V339" s="13"/>
      <c r="W339" s="13"/>
      <c r="X339" s="13"/>
      <c r="Y339" s="13"/>
      <c r="Z339" s="13"/>
      <c r="AA339" s="13"/>
      <c r="AB339" s="13"/>
      <c r="AC339" s="13"/>
      <c r="AD339" s="13"/>
      <c r="AE339" s="13"/>
      <c r="AF339" s="13"/>
      <c r="AG339" s="13"/>
      <c r="AH339" s="13"/>
      <c r="AI339" s="13"/>
      <c r="AJ339" s="167"/>
      <c r="AK339" s="13"/>
      <c r="AL339" s="17" t="s">
        <v>1139</v>
      </c>
      <c r="AM339" s="374"/>
      <c r="AN339" s="319"/>
      <c r="AO339" s="374"/>
      <c r="AP339" s="319"/>
      <c r="AQ339" s="319" t="s">
        <v>1104</v>
      </c>
      <c r="AR339" s="319" t="s">
        <v>1140</v>
      </c>
      <c r="AS339" s="319" t="s">
        <v>1140</v>
      </c>
      <c r="AT339" s="319"/>
      <c r="AU339" s="319"/>
      <c r="AV339" s="319"/>
      <c r="AW339" s="379"/>
      <c r="AX339" s="167"/>
      <c r="AY339" s="13"/>
      <c r="AZ339" s="12"/>
      <c r="BA339" s="13"/>
      <c r="BB339" s="13"/>
      <c r="BC339" s="13"/>
      <c r="BD339" s="13"/>
      <c r="BE339" s="13"/>
      <c r="BF339" s="13"/>
      <c r="BG339" s="13"/>
      <c r="BH339" s="13"/>
      <c r="BI339" s="13"/>
      <c r="BJ339" s="5">
        <f>COUNTIF(M339,"*")+COUNTIF(W339,"*")+COUNTIF(AL339,"*")+COUNTIF(AZ339,"*")</f>
        <v>1</v>
      </c>
    </row>
    <row r="340" spans="1:62" ht="13.8" hidden="1">
      <c r="A340" s="40">
        <v>17</v>
      </c>
      <c r="B340" s="40">
        <v>13</v>
      </c>
      <c r="C340" s="257" t="s">
        <v>1598</v>
      </c>
      <c r="D340" s="257"/>
      <c r="E340" s="41"/>
      <c r="F340" s="41" t="s">
        <v>1141</v>
      </c>
      <c r="G340" s="300"/>
      <c r="H340" s="300"/>
      <c r="I340" s="41"/>
      <c r="J340" s="41"/>
      <c r="K340" s="41"/>
      <c r="L340" s="41"/>
      <c r="M340" s="12"/>
      <c r="N340" s="13"/>
      <c r="O340" s="13"/>
      <c r="P340" s="13"/>
      <c r="Q340" s="13"/>
      <c r="R340" s="13"/>
      <c r="S340" s="13"/>
      <c r="T340" s="13"/>
      <c r="U340" s="167"/>
      <c r="V340" s="13"/>
      <c r="W340" s="13"/>
      <c r="X340" s="13"/>
      <c r="Y340" s="13"/>
      <c r="Z340" s="13"/>
      <c r="AA340" s="13"/>
      <c r="AB340" s="13"/>
      <c r="AC340" s="13"/>
      <c r="AD340" s="13"/>
      <c r="AE340" s="13"/>
      <c r="AF340" s="13"/>
      <c r="AG340" s="13"/>
      <c r="AH340" s="13"/>
      <c r="AI340" s="13"/>
      <c r="AJ340" s="167"/>
      <c r="AK340" s="13"/>
      <c r="AL340" s="17" t="s">
        <v>1142</v>
      </c>
      <c r="AM340" s="374"/>
      <c r="AN340" s="319"/>
      <c r="AO340" s="374"/>
      <c r="AP340" s="319"/>
      <c r="AQ340" s="319" t="s">
        <v>1104</v>
      </c>
      <c r="AR340" s="319" t="s">
        <v>1143</v>
      </c>
      <c r="AS340" s="319" t="s">
        <v>1143</v>
      </c>
      <c r="AT340" s="319"/>
      <c r="AU340" s="319"/>
      <c r="AV340" s="319"/>
      <c r="AW340" s="379"/>
      <c r="AX340" s="167"/>
      <c r="AY340" s="13"/>
      <c r="AZ340" s="12"/>
      <c r="BA340" s="13"/>
      <c r="BB340" s="13"/>
      <c r="BC340" s="13"/>
      <c r="BD340" s="13"/>
      <c r="BE340" s="13"/>
      <c r="BF340" s="13"/>
      <c r="BG340" s="13"/>
      <c r="BH340" s="13"/>
      <c r="BI340" s="13"/>
      <c r="BJ340" s="5">
        <f>COUNTIF(M340,"*")+COUNTIF(W340,"*")+COUNTIF(AL340,"*")+COUNTIF(AZ340,"*")</f>
        <v>1</v>
      </c>
    </row>
    <row r="341" spans="1:62" ht="41.4" hidden="1">
      <c r="A341" s="40">
        <v>17</v>
      </c>
      <c r="B341" s="40">
        <v>14</v>
      </c>
      <c r="C341" s="257" t="s">
        <v>1598</v>
      </c>
      <c r="D341" s="257"/>
      <c r="E341" s="41"/>
      <c r="F341" s="41" t="s">
        <v>1117</v>
      </c>
      <c r="G341" s="300"/>
      <c r="H341" s="300"/>
      <c r="I341" s="41"/>
      <c r="J341" s="41"/>
      <c r="K341" s="41"/>
      <c r="L341" s="41"/>
      <c r="M341" s="12"/>
      <c r="N341" s="13"/>
      <c r="O341" s="13"/>
      <c r="P341" s="13"/>
      <c r="Q341" s="13"/>
      <c r="R341" s="13"/>
      <c r="S341" s="13"/>
      <c r="T341" s="13"/>
      <c r="U341" s="167"/>
      <c r="V341" s="13"/>
      <c r="W341" s="13"/>
      <c r="X341" s="13"/>
      <c r="Y341" s="13"/>
      <c r="Z341" s="13"/>
      <c r="AA341" s="13"/>
      <c r="AB341" s="13"/>
      <c r="AC341" s="13"/>
      <c r="AD341" s="13"/>
      <c r="AE341" s="13"/>
      <c r="AF341" s="13"/>
      <c r="AG341" s="13"/>
      <c r="AH341" s="13"/>
      <c r="AI341" s="13"/>
      <c r="AJ341" s="167"/>
      <c r="AK341" s="13"/>
      <c r="AL341" s="17" t="s">
        <v>1144</v>
      </c>
      <c r="AM341" s="374"/>
      <c r="AN341" s="319"/>
      <c r="AO341" s="374"/>
      <c r="AP341" s="319"/>
      <c r="AQ341" s="319" t="s">
        <v>1104</v>
      </c>
      <c r="AR341" s="319" t="s">
        <v>1145</v>
      </c>
      <c r="AS341" s="319" t="s">
        <v>1145</v>
      </c>
      <c r="AT341" s="319"/>
      <c r="AU341" s="319"/>
      <c r="AV341" s="319"/>
      <c r="AW341" s="379"/>
      <c r="AX341" s="167"/>
      <c r="AY341" s="13"/>
      <c r="AZ341" s="12"/>
      <c r="BA341" s="13"/>
      <c r="BB341" s="13"/>
      <c r="BC341" s="13"/>
      <c r="BD341" s="13"/>
      <c r="BE341" s="13"/>
      <c r="BF341" s="13"/>
      <c r="BG341" s="13"/>
      <c r="BH341" s="13"/>
      <c r="BI341" s="13"/>
      <c r="BJ341" s="5">
        <f>COUNTIF(M341,"*")+COUNTIF(W341,"*")+COUNTIF(AL341,"*")+COUNTIF(AZ341,"*")</f>
        <v>1</v>
      </c>
    </row>
    <row r="342" spans="1:62" ht="13.8" hidden="1">
      <c r="A342" s="1">
        <v>19</v>
      </c>
      <c r="B342" s="1">
        <v>1</v>
      </c>
      <c r="C342" s="247" t="s">
        <v>1146</v>
      </c>
      <c r="D342" s="247"/>
      <c r="E342" s="1"/>
      <c r="F342" s="1" t="s">
        <v>1147</v>
      </c>
      <c r="G342" s="208"/>
      <c r="H342" s="208"/>
      <c r="I342" s="1"/>
      <c r="J342" s="1"/>
      <c r="K342" s="1"/>
      <c r="L342" s="1"/>
      <c r="M342" s="12"/>
      <c r="N342" s="13"/>
      <c r="O342" s="13"/>
      <c r="P342" s="13"/>
      <c r="Q342" s="13"/>
      <c r="R342" s="13"/>
      <c r="S342" s="13"/>
      <c r="T342" s="13"/>
      <c r="U342" s="167"/>
      <c r="V342" s="13"/>
      <c r="W342" s="13"/>
      <c r="X342" s="13"/>
      <c r="Y342" s="13"/>
      <c r="Z342" s="13"/>
      <c r="AA342" s="13"/>
      <c r="AB342" s="13"/>
      <c r="AC342" s="13"/>
      <c r="AD342" s="13"/>
      <c r="AE342" s="13"/>
      <c r="AF342" s="13"/>
      <c r="AG342" s="13"/>
      <c r="AH342" s="13"/>
      <c r="AI342" s="13"/>
      <c r="AJ342" s="167"/>
      <c r="AK342" s="13"/>
      <c r="AL342" s="12"/>
      <c r="AM342" s="13"/>
      <c r="AN342" s="13"/>
      <c r="AO342" s="13"/>
      <c r="AP342" s="13"/>
      <c r="AQ342" s="13"/>
      <c r="AR342" s="13"/>
      <c r="AS342" s="13"/>
      <c r="AT342" s="13"/>
      <c r="AU342" s="13"/>
      <c r="AV342" s="13"/>
      <c r="AW342" s="13"/>
      <c r="AX342" s="167"/>
      <c r="AY342" s="13"/>
      <c r="AZ342" s="12" t="s">
        <v>1147</v>
      </c>
      <c r="BA342" s="13" t="s">
        <v>1148</v>
      </c>
      <c r="BB342" s="13"/>
      <c r="BC342" s="13"/>
      <c r="BD342" s="13" t="s">
        <v>1149</v>
      </c>
      <c r="BE342" s="13" t="s">
        <v>285</v>
      </c>
      <c r="BF342" s="13"/>
      <c r="BG342" s="13"/>
      <c r="BH342" s="13"/>
      <c r="BI342" s="13"/>
      <c r="BJ342" s="5">
        <f>COUNTIF(M342,"*")+COUNTIF(W342,"*")+COUNTIF(AL342,"*")+COUNTIF(AZ342,"*")</f>
        <v>1</v>
      </c>
    </row>
    <row r="343" spans="1:62" ht="55.2" hidden="1">
      <c r="A343" s="1">
        <v>19</v>
      </c>
      <c r="B343" s="1">
        <v>2</v>
      </c>
      <c r="C343" s="247" t="s">
        <v>1146</v>
      </c>
      <c r="D343" s="247"/>
      <c r="E343" s="1"/>
      <c r="F343" s="1" t="s">
        <v>1150</v>
      </c>
      <c r="G343" s="208"/>
      <c r="H343" s="208"/>
      <c r="I343" s="1"/>
      <c r="J343" s="1"/>
      <c r="K343" s="1"/>
      <c r="L343" s="1"/>
      <c r="M343" s="12"/>
      <c r="N343" s="13"/>
      <c r="O343" s="13"/>
      <c r="P343" s="13"/>
      <c r="Q343" s="13"/>
      <c r="R343" s="13"/>
      <c r="S343" s="13"/>
      <c r="T343" s="13"/>
      <c r="U343" s="167"/>
      <c r="V343" s="36"/>
      <c r="W343" s="36"/>
      <c r="X343" s="13"/>
      <c r="Y343" s="13"/>
      <c r="Z343" s="13"/>
      <c r="AA343" s="13"/>
      <c r="AB343" s="13"/>
      <c r="AC343" s="13"/>
      <c r="AD343" s="13"/>
      <c r="AE343" s="13"/>
      <c r="AF343" s="13"/>
      <c r="AG343" s="13"/>
      <c r="AH343" s="13"/>
      <c r="AI343" s="13"/>
      <c r="AJ343" s="167"/>
      <c r="AK343" s="13"/>
      <c r="AL343" s="12"/>
      <c r="AM343" s="13"/>
      <c r="AN343" s="13"/>
      <c r="AO343" s="13"/>
      <c r="AP343" s="13"/>
      <c r="AQ343" s="13"/>
      <c r="AR343" s="13"/>
      <c r="AS343" s="13"/>
      <c r="AT343" s="13"/>
      <c r="AU343" s="13"/>
      <c r="AV343" s="13"/>
      <c r="AW343" s="13"/>
      <c r="AX343" s="167"/>
      <c r="AY343" s="13"/>
      <c r="AZ343" s="12" t="s">
        <v>1150</v>
      </c>
      <c r="BA343" s="13" t="s">
        <v>1151</v>
      </c>
      <c r="BB343" s="13"/>
      <c r="BC343" s="13"/>
      <c r="BD343" s="13" t="s">
        <v>1152</v>
      </c>
      <c r="BE343" s="13" t="s">
        <v>1153</v>
      </c>
      <c r="BF343" s="13"/>
      <c r="BG343" s="13"/>
      <c r="BH343" s="13"/>
      <c r="BI343" s="13"/>
      <c r="BJ343" s="5">
        <f>COUNTIF(M343,"*")+COUNTIF(W343,"*")+COUNTIF(AL343,"*")+COUNTIF(AZ343,"*")</f>
        <v>1</v>
      </c>
    </row>
    <row r="344" spans="1:62" ht="13.8" hidden="1">
      <c r="A344" s="357">
        <v>20</v>
      </c>
      <c r="B344" s="357">
        <v>1</v>
      </c>
      <c r="C344" s="359" t="s">
        <v>1154</v>
      </c>
      <c r="D344" s="359"/>
      <c r="E344" s="357"/>
      <c r="F344" s="357" t="s">
        <v>1155</v>
      </c>
      <c r="G344" s="361"/>
      <c r="H344" s="361"/>
      <c r="I344" s="357"/>
      <c r="J344" s="357"/>
      <c r="K344" s="357"/>
      <c r="L344" s="357"/>
      <c r="M344" s="195"/>
      <c r="N344" s="36"/>
      <c r="O344" s="36"/>
      <c r="P344" s="36"/>
      <c r="Q344" s="36"/>
      <c r="R344" s="36"/>
      <c r="S344" s="36"/>
      <c r="T344" s="36"/>
      <c r="U344" s="350"/>
      <c r="V344" s="153"/>
      <c r="W344" s="313" t="s">
        <v>1156</v>
      </c>
      <c r="X344" s="36" t="s">
        <v>1156</v>
      </c>
      <c r="Y344" s="36"/>
      <c r="Z344" s="36"/>
      <c r="AA344" s="36" t="s">
        <v>1157</v>
      </c>
      <c r="AB344" s="302" t="s">
        <v>80</v>
      </c>
      <c r="AC344" s="302" t="s">
        <v>112</v>
      </c>
      <c r="AD344" s="302" t="s">
        <v>80</v>
      </c>
      <c r="AE344" s="302" t="s">
        <v>80</v>
      </c>
      <c r="AF344" s="302" t="s">
        <v>80</v>
      </c>
      <c r="AG344" s="302"/>
      <c r="AH344" s="302"/>
      <c r="AI344" s="302"/>
      <c r="AJ344" s="350"/>
      <c r="AK344" s="36"/>
      <c r="AL344" s="195"/>
      <c r="AM344" s="36"/>
      <c r="AN344" s="36"/>
      <c r="AO344" s="36"/>
      <c r="AP344" s="36"/>
      <c r="AQ344" s="36"/>
      <c r="AR344" s="36"/>
      <c r="AS344" s="36"/>
      <c r="AT344" s="36"/>
      <c r="AU344" s="36"/>
      <c r="AV344" s="36"/>
      <c r="AW344" s="36"/>
      <c r="AX344" s="350"/>
      <c r="AY344" s="36"/>
      <c r="AZ344" s="195"/>
      <c r="BA344" s="36"/>
      <c r="BB344" s="36"/>
      <c r="BC344" s="36"/>
      <c r="BD344" s="36"/>
      <c r="BE344" s="36"/>
      <c r="BF344" s="36"/>
      <c r="BG344" s="36"/>
      <c r="BH344" s="36"/>
      <c r="BI344" s="36"/>
      <c r="BJ344" s="351">
        <f>COUNTIF(M344,"*")+COUNTIF(W344,"*")+COUNTIF(AL344,"*")+COUNTIF(AZ344,"*")</f>
        <v>1</v>
      </c>
    </row>
    <row r="345" spans="1:62" ht="32.4" hidden="1" customHeight="1">
      <c r="A345" s="354">
        <v>20</v>
      </c>
      <c r="B345" s="354">
        <v>2</v>
      </c>
      <c r="C345" s="358" t="s">
        <v>1154</v>
      </c>
      <c r="D345" s="358"/>
      <c r="E345" s="354"/>
      <c r="F345" s="354" t="s">
        <v>1158</v>
      </c>
      <c r="G345" s="360"/>
      <c r="H345" s="360"/>
      <c r="I345" s="354"/>
      <c r="J345" s="354"/>
      <c r="K345" s="354"/>
      <c r="L345" s="354"/>
      <c r="M345" s="153"/>
      <c r="N345" s="153"/>
      <c r="O345" s="153"/>
      <c r="P345" s="153"/>
      <c r="Q345" s="153"/>
      <c r="R345" s="153"/>
      <c r="S345" s="153"/>
      <c r="T345" s="153"/>
      <c r="U345" s="153"/>
      <c r="V345" s="153"/>
      <c r="W345" s="153" t="s">
        <v>1159</v>
      </c>
      <c r="X345" s="153" t="s">
        <v>1159</v>
      </c>
      <c r="Y345" s="153"/>
      <c r="Z345" s="153"/>
      <c r="AA345" s="153" t="s">
        <v>1160</v>
      </c>
      <c r="AB345" s="237" t="s">
        <v>80</v>
      </c>
      <c r="AC345" s="237" t="s">
        <v>80</v>
      </c>
      <c r="AD345" s="237" t="s">
        <v>80</v>
      </c>
      <c r="AE345" s="237" t="s">
        <v>80</v>
      </c>
      <c r="AF345" s="237" t="s">
        <v>80</v>
      </c>
      <c r="AG345" s="237"/>
      <c r="AH345" s="237"/>
      <c r="AI345" s="237"/>
      <c r="AJ345" s="153"/>
      <c r="AK345" s="153"/>
      <c r="AL345" s="153"/>
      <c r="AM345" s="153"/>
      <c r="AN345" s="153"/>
      <c r="AO345" s="153"/>
      <c r="AP345" s="153"/>
      <c r="AQ345" s="153"/>
      <c r="AR345" s="153"/>
      <c r="AS345" s="153"/>
      <c r="AT345" s="153"/>
      <c r="AU345" s="153"/>
      <c r="AV345" s="153"/>
      <c r="AW345" s="153"/>
      <c r="AX345" s="153"/>
      <c r="AY345" s="153"/>
      <c r="AZ345" s="153"/>
      <c r="BA345" s="153"/>
      <c r="BB345" s="153"/>
      <c r="BC345" s="153"/>
      <c r="BD345" s="153"/>
      <c r="BE345" s="153"/>
      <c r="BF345" s="153"/>
      <c r="BG345" s="153"/>
      <c r="BH345" s="153"/>
      <c r="BI345" s="153"/>
      <c r="BJ345" s="153">
        <f>COUNTIF(M345,"*")+COUNTIF(W345,"*")+COUNTIF(AL345,"*")+COUNTIF(AZ345,"*")</f>
        <v>1</v>
      </c>
    </row>
  </sheetData>
  <autoFilter ref="A1:BK345" xr:uid="{5E43E6D0-A5A3-416B-B50E-C4B1709ACFEE}">
    <filterColumn colId="2">
      <filters>
        <filter val="Substrate"/>
      </filters>
    </filterColumn>
    <sortState xmlns:xlrd2="http://schemas.microsoft.com/office/spreadsheetml/2017/richdata2" ref="A139:BK169">
      <sortCondition descending="1" ref="BJ1:BJ345"/>
    </sortState>
  </autoFilter>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F006D-FF38-48E9-955F-F39429B7AA73}">
  <dimension ref="A1:D55"/>
  <sheetViews>
    <sheetView workbookViewId="0">
      <selection activeCell="B10" sqref="B6:I10"/>
    </sheetView>
  </sheetViews>
  <sheetFormatPr defaultRowHeight="13.2"/>
  <cols>
    <col min="1" max="1" width="72.44140625" style="331" customWidth="1"/>
    <col min="2" max="2" width="75.6640625" style="188" customWidth="1"/>
    <col min="3" max="3" width="28" customWidth="1"/>
  </cols>
  <sheetData>
    <row r="1" spans="1:4" s="318" customFormat="1" ht="41.4">
      <c r="A1" s="352" t="s">
        <v>1946</v>
      </c>
      <c r="B1" s="352" t="s">
        <v>1907</v>
      </c>
      <c r="C1" s="352" t="s">
        <v>1997</v>
      </c>
      <c r="D1" s="372" t="s">
        <v>1996</v>
      </c>
    </row>
    <row r="2" spans="1:4" ht="13.8">
      <c r="A2" s="320" t="s">
        <v>53</v>
      </c>
      <c r="B2" s="188" t="s">
        <v>1956</v>
      </c>
      <c r="D2" t="s">
        <v>1624</v>
      </c>
    </row>
    <row r="3" spans="1:4" ht="13.8">
      <c r="A3" s="320" t="s">
        <v>1905</v>
      </c>
      <c r="B3" s="188" t="s">
        <v>1947</v>
      </c>
      <c r="D3" t="s">
        <v>1624</v>
      </c>
    </row>
    <row r="4" spans="1:4" ht="13.8">
      <c r="A4" s="320" t="s">
        <v>53</v>
      </c>
      <c r="B4" s="188" t="s">
        <v>1948</v>
      </c>
      <c r="D4" t="s">
        <v>1624</v>
      </c>
    </row>
    <row r="5" spans="1:4" ht="13.8">
      <c r="A5" s="320" t="s">
        <v>1931</v>
      </c>
      <c r="B5" s="188" t="s">
        <v>1932</v>
      </c>
      <c r="D5" t="s">
        <v>1624</v>
      </c>
    </row>
    <row r="6" spans="1:4" ht="13.8">
      <c r="A6" s="320" t="s">
        <v>1915</v>
      </c>
      <c r="B6" s="188" t="s">
        <v>1958</v>
      </c>
      <c r="D6" t="s">
        <v>1624</v>
      </c>
    </row>
    <row r="7" spans="1:4" ht="13.8">
      <c r="A7" s="320" t="s">
        <v>1835</v>
      </c>
      <c r="D7" t="s">
        <v>1624</v>
      </c>
    </row>
    <row r="8" spans="1:4" ht="26.4">
      <c r="A8" s="320" t="s">
        <v>1906</v>
      </c>
      <c r="B8" s="188" t="s">
        <v>1959</v>
      </c>
      <c r="C8" t="s">
        <v>1933</v>
      </c>
      <c r="D8" t="s">
        <v>1624</v>
      </c>
    </row>
    <row r="9" spans="1:4" ht="13.8">
      <c r="A9" s="320" t="s">
        <v>1893</v>
      </c>
      <c r="B9" s="188" t="s">
        <v>1934</v>
      </c>
    </row>
    <row r="10" spans="1:4" ht="52.8">
      <c r="A10" s="320" t="s">
        <v>1907</v>
      </c>
      <c r="B10" s="188" t="s">
        <v>1960</v>
      </c>
      <c r="D10" t="s">
        <v>1624</v>
      </c>
    </row>
    <row r="11" spans="1:4" ht="26.4">
      <c r="A11" s="320" t="s">
        <v>1908</v>
      </c>
      <c r="B11" s="188" t="s">
        <v>1961</v>
      </c>
      <c r="C11" t="s">
        <v>1935</v>
      </c>
      <c r="D11" t="s">
        <v>1624</v>
      </c>
    </row>
    <row r="12" spans="1:4" ht="13.8">
      <c r="A12" s="320" t="s">
        <v>1916</v>
      </c>
      <c r="B12" s="188" t="s">
        <v>1936</v>
      </c>
      <c r="D12" t="s">
        <v>1624</v>
      </c>
    </row>
    <row r="13" spans="1:4" ht="13.8">
      <c r="A13" s="320" t="s">
        <v>1909</v>
      </c>
      <c r="B13" s="188" t="s">
        <v>1957</v>
      </c>
    </row>
    <row r="14" spans="1:4" ht="13.8">
      <c r="A14" s="321" t="s">
        <v>1899</v>
      </c>
      <c r="B14" s="188" t="s">
        <v>1962</v>
      </c>
      <c r="D14" t="s">
        <v>1624</v>
      </c>
    </row>
    <row r="15" spans="1:4" s="373" customFormat="1" ht="13.8">
      <c r="A15" s="321" t="s">
        <v>1998</v>
      </c>
      <c r="B15" s="188" t="s">
        <v>2003</v>
      </c>
      <c r="D15" s="373" t="s">
        <v>1624</v>
      </c>
    </row>
    <row r="16" spans="1:4" ht="13.8">
      <c r="A16" s="321" t="s">
        <v>1557</v>
      </c>
      <c r="B16" s="188" t="s">
        <v>1937</v>
      </c>
    </row>
    <row r="17" spans="1:4" ht="13.8">
      <c r="A17" s="321" t="s">
        <v>1917</v>
      </c>
      <c r="B17" s="188" t="s">
        <v>1942</v>
      </c>
      <c r="D17" t="s">
        <v>1624</v>
      </c>
    </row>
    <row r="18" spans="1:4" ht="13.8">
      <c r="A18" s="321" t="s">
        <v>1910</v>
      </c>
      <c r="B18" s="188" t="s">
        <v>1938</v>
      </c>
      <c r="D18" t="s">
        <v>1624</v>
      </c>
    </row>
    <row r="19" spans="1:4" ht="13.8">
      <c r="A19" s="321" t="s">
        <v>1925</v>
      </c>
      <c r="B19" s="188" t="s">
        <v>1939</v>
      </c>
      <c r="D19" t="s">
        <v>1624</v>
      </c>
    </row>
    <row r="20" spans="1:4" ht="13.8">
      <c r="A20" s="322" t="s">
        <v>1926</v>
      </c>
      <c r="B20" s="188" t="s">
        <v>1940</v>
      </c>
      <c r="D20" t="s">
        <v>1624</v>
      </c>
    </row>
    <row r="21" spans="1:4" ht="13.8">
      <c r="A21" s="323" t="s">
        <v>1918</v>
      </c>
      <c r="B21" s="188" t="s">
        <v>1941</v>
      </c>
      <c r="D21" t="s">
        <v>1624</v>
      </c>
    </row>
    <row r="22" spans="1:4" ht="26.4">
      <c r="A22" s="323" t="s">
        <v>1900</v>
      </c>
      <c r="B22" s="188" t="s">
        <v>1963</v>
      </c>
      <c r="D22" t="s">
        <v>1624</v>
      </c>
    </row>
    <row r="23" spans="1:4" s="373" customFormat="1" ht="13.8">
      <c r="A23" s="323" t="s">
        <v>1999</v>
      </c>
      <c r="B23" s="188" t="s">
        <v>2003</v>
      </c>
      <c r="D23" s="373" t="s">
        <v>1624</v>
      </c>
    </row>
    <row r="24" spans="1:4" ht="13.8">
      <c r="A24" s="323" t="s">
        <v>1911</v>
      </c>
      <c r="B24" s="188" t="s">
        <v>1942</v>
      </c>
      <c r="D24" t="s">
        <v>1624</v>
      </c>
    </row>
    <row r="25" spans="1:4" ht="13.8">
      <c r="A25" s="323" t="s">
        <v>1560</v>
      </c>
      <c r="B25" s="188" t="s">
        <v>1943</v>
      </c>
    </row>
    <row r="26" spans="1:4" ht="13.8">
      <c r="A26" s="324" t="s">
        <v>61</v>
      </c>
      <c r="B26" s="188" t="s">
        <v>1964</v>
      </c>
    </row>
    <row r="27" spans="1:4" ht="13.8">
      <c r="A27" s="324" t="s">
        <v>1664</v>
      </c>
      <c r="B27" s="188" t="s">
        <v>1965</v>
      </c>
      <c r="D27" t="s">
        <v>1624</v>
      </c>
    </row>
    <row r="28" spans="1:4" ht="13.8">
      <c r="A28" s="324" t="s">
        <v>62</v>
      </c>
      <c r="B28" s="188" t="s">
        <v>1966</v>
      </c>
    </row>
    <row r="29" spans="1:4" ht="13.8">
      <c r="A29" s="324" t="s">
        <v>63</v>
      </c>
      <c r="B29" s="188" t="s">
        <v>1967</v>
      </c>
    </row>
    <row r="30" spans="1:4" ht="13.8">
      <c r="A30" s="324" t="s">
        <v>1912</v>
      </c>
      <c r="B30" s="188" t="s">
        <v>1944</v>
      </c>
    </row>
    <row r="31" spans="1:4" ht="13.8">
      <c r="A31" s="325" t="s">
        <v>1913</v>
      </c>
      <c r="B31" s="188" t="s">
        <v>1945</v>
      </c>
    </row>
    <row r="32" spans="1:4" ht="13.8">
      <c r="A32" s="325" t="s">
        <v>1919</v>
      </c>
      <c r="B32" s="188" t="s">
        <v>1939</v>
      </c>
      <c r="D32" t="s">
        <v>1624</v>
      </c>
    </row>
    <row r="33" spans="1:4" ht="13.8">
      <c r="A33" s="325" t="s">
        <v>1920</v>
      </c>
      <c r="B33" s="188" t="s">
        <v>1940</v>
      </c>
      <c r="D33" t="s">
        <v>1624</v>
      </c>
    </row>
    <row r="34" spans="1:4" ht="13.8">
      <c r="A34" s="326" t="s">
        <v>1901</v>
      </c>
      <c r="B34" s="188" t="s">
        <v>1968</v>
      </c>
      <c r="D34" t="s">
        <v>1624</v>
      </c>
    </row>
    <row r="35" spans="1:4" s="373" customFormat="1" ht="13.8">
      <c r="A35" s="326" t="s">
        <v>2001</v>
      </c>
      <c r="B35" s="188" t="s">
        <v>2003</v>
      </c>
      <c r="D35" s="373" t="s">
        <v>1624</v>
      </c>
    </row>
    <row r="36" spans="1:4" ht="14.4" customHeight="1">
      <c r="A36" s="326" t="s">
        <v>1902</v>
      </c>
      <c r="B36" s="188" t="s">
        <v>1969</v>
      </c>
      <c r="D36" t="s">
        <v>1624</v>
      </c>
    </row>
    <row r="37" spans="1:4" s="373" customFormat="1" ht="13.8">
      <c r="A37" s="326" t="s">
        <v>2000</v>
      </c>
      <c r="B37" s="188" t="s">
        <v>2003</v>
      </c>
      <c r="D37" s="373" t="s">
        <v>1624</v>
      </c>
    </row>
    <row r="38" spans="1:4" ht="13.8">
      <c r="A38" s="326" t="s">
        <v>1927</v>
      </c>
      <c r="B38" s="188" t="s">
        <v>1942</v>
      </c>
      <c r="D38" t="s">
        <v>1624</v>
      </c>
    </row>
    <row r="39" spans="1:4" ht="13.8">
      <c r="A39" s="326" t="s">
        <v>65</v>
      </c>
      <c r="B39" s="188" t="s">
        <v>1955</v>
      </c>
    </row>
    <row r="40" spans="1:4" ht="13.8">
      <c r="A40" s="326" t="s">
        <v>66</v>
      </c>
      <c r="B40" s="188" t="s">
        <v>1970</v>
      </c>
    </row>
    <row r="41" spans="1:4" ht="13.8">
      <c r="A41" s="326" t="s">
        <v>1928</v>
      </c>
      <c r="B41" s="188" t="s">
        <v>1971</v>
      </c>
    </row>
    <row r="42" spans="1:4" ht="13.8">
      <c r="A42" s="326" t="s">
        <v>1929</v>
      </c>
      <c r="B42" s="188" t="s">
        <v>1949</v>
      </c>
      <c r="D42" t="s">
        <v>1624</v>
      </c>
    </row>
    <row r="43" spans="1:4" ht="13.8">
      <c r="A43" s="326" t="s">
        <v>67</v>
      </c>
      <c r="B43" s="188" t="s">
        <v>1950</v>
      </c>
    </row>
    <row r="44" spans="1:4" ht="13.8">
      <c r="A44" s="326" t="s">
        <v>1922</v>
      </c>
      <c r="B44" s="188" t="s">
        <v>1939</v>
      </c>
      <c r="D44" t="s">
        <v>1624</v>
      </c>
    </row>
    <row r="45" spans="1:4" ht="13.8">
      <c r="A45" s="326" t="s">
        <v>1921</v>
      </c>
      <c r="B45" s="188" t="s">
        <v>1940</v>
      </c>
      <c r="D45" t="s">
        <v>1624</v>
      </c>
    </row>
    <row r="46" spans="1:4" ht="13.8">
      <c r="A46" s="327" t="s">
        <v>68</v>
      </c>
      <c r="B46" s="188" t="s">
        <v>1953</v>
      </c>
    </row>
    <row r="47" spans="1:4" ht="13.8">
      <c r="A47" s="328" t="s">
        <v>1903</v>
      </c>
      <c r="B47" s="188" t="s">
        <v>1972</v>
      </c>
      <c r="D47" t="s">
        <v>1624</v>
      </c>
    </row>
    <row r="48" spans="1:4" s="373" customFormat="1" ht="13.8">
      <c r="A48" s="328" t="s">
        <v>2002</v>
      </c>
      <c r="B48" s="188" t="s">
        <v>2003</v>
      </c>
      <c r="D48" s="373" t="s">
        <v>1624</v>
      </c>
    </row>
    <row r="49" spans="1:4" ht="13.8">
      <c r="A49" s="329" t="s">
        <v>1930</v>
      </c>
      <c r="B49" s="188" t="s">
        <v>1942</v>
      </c>
      <c r="D49" t="s">
        <v>1624</v>
      </c>
    </row>
    <row r="50" spans="1:4" ht="13.8">
      <c r="A50" s="329" t="s">
        <v>1548</v>
      </c>
      <c r="B50" s="188" t="s">
        <v>1952</v>
      </c>
    </row>
    <row r="51" spans="1:4" ht="13.8">
      <c r="A51" s="329" t="s">
        <v>1549</v>
      </c>
      <c r="B51" s="188" t="s">
        <v>1951</v>
      </c>
      <c r="D51" t="s">
        <v>1624</v>
      </c>
    </row>
    <row r="52" spans="1:4" ht="13.8">
      <c r="A52" s="329" t="s">
        <v>1923</v>
      </c>
      <c r="B52" s="188" t="s">
        <v>1939</v>
      </c>
      <c r="D52" t="s">
        <v>1624</v>
      </c>
    </row>
    <row r="53" spans="1:4" ht="13.8">
      <c r="A53" s="329" t="s">
        <v>1924</v>
      </c>
      <c r="B53" s="188" t="s">
        <v>1940</v>
      </c>
      <c r="D53" t="s">
        <v>1624</v>
      </c>
    </row>
    <row r="54" spans="1:4" ht="13.8">
      <c r="A54" s="330" t="s">
        <v>1561</v>
      </c>
      <c r="B54" s="188" t="s">
        <v>1954</v>
      </c>
    </row>
    <row r="55" spans="1:4" ht="13.8">
      <c r="A55" s="330" t="s">
        <v>1914</v>
      </c>
      <c r="B55" s="188" t="s">
        <v>1973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A4794-FAFA-46A8-8BC2-DD2607061F71}">
  <dimension ref="A1"/>
  <sheetViews>
    <sheetView topLeftCell="A21" workbookViewId="0">
      <selection activeCell="A21" sqref="A21"/>
    </sheetView>
  </sheetViews>
  <sheetFormatPr defaultRowHeight="13.2"/>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I998"/>
  <sheetViews>
    <sheetView topLeftCell="A40" workbookViewId="0">
      <selection activeCell="A97" sqref="A97:A162"/>
    </sheetView>
  </sheetViews>
  <sheetFormatPr defaultColWidth="14.44140625" defaultRowHeight="15.75" customHeight="1"/>
  <cols>
    <col min="1" max="1" width="19.44140625" customWidth="1"/>
    <col min="2" max="2" width="22.109375" customWidth="1"/>
    <col min="3" max="3" width="31.44140625" customWidth="1"/>
    <col min="4" max="4" width="39.44140625" customWidth="1"/>
    <col min="5" max="5" width="57.88671875" hidden="1" customWidth="1"/>
    <col min="6" max="8" width="14.44140625" hidden="1"/>
  </cols>
  <sheetData>
    <row r="1" spans="1:9" ht="43.2">
      <c r="A1" s="42" t="s">
        <v>1161</v>
      </c>
      <c r="B1" s="42" t="s">
        <v>1162</v>
      </c>
      <c r="C1" s="42" t="s">
        <v>56</v>
      </c>
      <c r="D1" s="42" t="s">
        <v>57</v>
      </c>
      <c r="E1" s="42" t="s">
        <v>1163</v>
      </c>
      <c r="F1" s="42" t="s">
        <v>1164</v>
      </c>
      <c r="G1" s="42" t="s">
        <v>1165</v>
      </c>
      <c r="H1" s="42" t="s">
        <v>1166</v>
      </c>
      <c r="I1" s="42" t="s">
        <v>1167</v>
      </c>
    </row>
    <row r="2" spans="1:9" ht="14.4">
      <c r="A2" s="43" t="s">
        <v>1168</v>
      </c>
      <c r="B2" s="43" t="s">
        <v>1169</v>
      </c>
      <c r="C2" s="44"/>
      <c r="D2" s="45"/>
      <c r="E2" s="44"/>
      <c r="F2" s="44"/>
      <c r="G2" s="44"/>
      <c r="H2" s="44"/>
      <c r="I2" s="46" t="e">
        <f>MATCH(B2,'Master_crosswalk '!M:M,0)</f>
        <v>#N/A</v>
      </c>
    </row>
    <row r="3" spans="1:9" ht="14.4">
      <c r="A3" s="43" t="s">
        <v>1168</v>
      </c>
      <c r="B3" s="43" t="s">
        <v>76</v>
      </c>
      <c r="C3" s="44"/>
      <c r="D3" s="45"/>
      <c r="E3" s="44"/>
      <c r="F3" s="44"/>
      <c r="G3" s="44"/>
      <c r="H3" s="44"/>
      <c r="I3" s="46" t="e">
        <f>'Master_crosswalk '!#REF!</f>
        <v>#REF!</v>
      </c>
    </row>
    <row r="4" spans="1:9" ht="14.4">
      <c r="A4" s="43" t="s">
        <v>1168</v>
      </c>
      <c r="B4" s="43" t="s">
        <v>222</v>
      </c>
      <c r="C4" s="44"/>
      <c r="D4" s="45"/>
      <c r="E4" s="44"/>
      <c r="F4" s="44"/>
      <c r="G4" s="44"/>
      <c r="H4" s="44"/>
      <c r="I4" s="46" t="e">
        <f>'Master_crosswalk '!#REF!</f>
        <v>#REF!</v>
      </c>
    </row>
    <row r="5" spans="1:9" ht="14.4">
      <c r="A5" s="43" t="s">
        <v>1168</v>
      </c>
      <c r="B5" s="43" t="s">
        <v>1170</v>
      </c>
      <c r="C5" s="44"/>
      <c r="D5" s="45"/>
      <c r="E5" s="44"/>
      <c r="F5" s="44"/>
      <c r="G5" s="44"/>
      <c r="H5" s="44"/>
      <c r="I5" s="46" t="e">
        <f>'Master_crosswalk '!#REF!</f>
        <v>#REF!</v>
      </c>
    </row>
    <row r="6" spans="1:9" ht="14.4">
      <c r="A6" s="43" t="s">
        <v>1168</v>
      </c>
      <c r="B6" s="43" t="s">
        <v>110</v>
      </c>
      <c r="C6" s="44"/>
      <c r="D6" s="45"/>
      <c r="E6" s="44"/>
      <c r="F6" s="44"/>
      <c r="G6" s="44"/>
      <c r="H6" s="44"/>
      <c r="I6" s="46" t="e">
        <f>'Master_crosswalk '!#REF!</f>
        <v>#REF!</v>
      </c>
    </row>
    <row r="7" spans="1:9" ht="14.4">
      <c r="A7" s="43" t="s">
        <v>1168</v>
      </c>
      <c r="B7" s="186" t="s">
        <v>1171</v>
      </c>
      <c r="C7" s="44"/>
      <c r="D7" s="45"/>
      <c r="E7" s="44"/>
      <c r="F7" s="44"/>
      <c r="G7" s="44"/>
      <c r="H7" s="44"/>
      <c r="I7" s="46" t="e">
        <f>'Master_crosswalk '!#REF!</f>
        <v>#REF!</v>
      </c>
    </row>
    <row r="8" spans="1:9" ht="14.4">
      <c r="A8" s="43" t="s">
        <v>1168</v>
      </c>
      <c r="B8" s="186" t="s">
        <v>1172</v>
      </c>
      <c r="C8" s="44"/>
      <c r="D8" s="45"/>
      <c r="E8" s="44"/>
      <c r="F8" s="44"/>
      <c r="G8" s="44"/>
      <c r="H8" s="44"/>
      <c r="I8" s="46" t="e">
        <f>'Master_crosswalk '!#REF!</f>
        <v>#REF!</v>
      </c>
    </row>
    <row r="9" spans="1:9" ht="14.4">
      <c r="A9" s="43" t="s">
        <v>1173</v>
      </c>
      <c r="B9" s="43" t="s">
        <v>288</v>
      </c>
      <c r="C9" s="44"/>
      <c r="D9" s="45"/>
      <c r="E9" s="44"/>
      <c r="F9" s="44"/>
      <c r="G9" s="44"/>
      <c r="H9" s="44"/>
      <c r="I9" s="46" t="e">
        <f>'Master_crosswalk '!#REF!</f>
        <v>#REF!</v>
      </c>
    </row>
    <row r="10" spans="1:9" ht="14.4">
      <c r="A10" s="43" t="s">
        <v>1173</v>
      </c>
      <c r="B10" s="43" t="s">
        <v>1174</v>
      </c>
      <c r="C10" s="44"/>
      <c r="D10" s="45"/>
      <c r="E10" s="44"/>
      <c r="F10" s="44"/>
      <c r="G10" s="44"/>
      <c r="H10" s="44"/>
      <c r="I10" s="46" t="e">
        <f>MATCH(B10,'Master_crosswalk '!M:M,0)</f>
        <v>#N/A</v>
      </c>
    </row>
    <row r="11" spans="1:9" ht="14.4">
      <c r="A11" s="43" t="s">
        <v>1173</v>
      </c>
      <c r="B11" s="43" t="s">
        <v>1175</v>
      </c>
      <c r="C11" s="44"/>
      <c r="D11" s="45"/>
      <c r="E11" s="44"/>
      <c r="F11" s="44"/>
      <c r="G11" s="44"/>
      <c r="H11" s="44"/>
      <c r="I11" s="46" t="e">
        <f>MATCH(B11,'Master_crosswalk '!M:M,0)</f>
        <v>#N/A</v>
      </c>
    </row>
    <row r="12" spans="1:9" ht="14.4">
      <c r="A12" s="43" t="s">
        <v>1173</v>
      </c>
      <c r="B12" s="43" t="s">
        <v>366</v>
      </c>
      <c r="C12" s="44"/>
      <c r="D12" s="45"/>
      <c r="E12" s="44"/>
      <c r="F12" s="44"/>
      <c r="G12" s="44"/>
      <c r="H12" s="44"/>
      <c r="I12" s="46">
        <f>MATCH(B12,'Master_crosswalk '!M:M,0)</f>
        <v>87</v>
      </c>
    </row>
    <row r="13" spans="1:9" ht="14.4">
      <c r="A13" s="43" t="s">
        <v>1173</v>
      </c>
      <c r="B13" s="43" t="s">
        <v>1176</v>
      </c>
      <c r="C13" s="44"/>
      <c r="D13" s="45"/>
      <c r="E13" s="44"/>
      <c r="F13" s="44"/>
      <c r="G13" s="44"/>
      <c r="H13" s="44"/>
      <c r="I13" s="46" t="e">
        <f>MATCH(B13,'Master_crosswalk '!M:M,0)</f>
        <v>#N/A</v>
      </c>
    </row>
    <row r="14" spans="1:9" ht="14.4">
      <c r="A14" s="43" t="s">
        <v>1173</v>
      </c>
      <c r="B14" s="43" t="s">
        <v>1177</v>
      </c>
      <c r="C14" s="44"/>
      <c r="D14" s="45"/>
      <c r="E14" s="44"/>
      <c r="F14" s="44"/>
      <c r="G14" s="44"/>
      <c r="H14" s="44"/>
      <c r="I14" s="46" t="e">
        <f>MATCH(B14,'Master_crosswalk '!M:M,0)</f>
        <v>#N/A</v>
      </c>
    </row>
    <row r="15" spans="1:9" ht="14.4">
      <c r="A15" s="43" t="s">
        <v>1173</v>
      </c>
      <c r="B15" s="43" t="s">
        <v>1178</v>
      </c>
      <c r="C15" s="44"/>
      <c r="D15" s="45"/>
      <c r="E15" s="44"/>
      <c r="F15" s="44"/>
      <c r="G15" s="44"/>
      <c r="H15" s="44"/>
      <c r="I15" s="46" t="e">
        <f>MATCH(B15,'Master_crosswalk '!M:M,0)</f>
        <v>#N/A</v>
      </c>
    </row>
    <row r="16" spans="1:9" ht="14.4">
      <c r="A16" s="43" t="s">
        <v>1173</v>
      </c>
      <c r="B16" s="43" t="s">
        <v>1179</v>
      </c>
      <c r="C16" s="44"/>
      <c r="D16" s="45"/>
      <c r="E16" s="44"/>
      <c r="F16" s="44"/>
      <c r="G16" s="44"/>
      <c r="H16" s="44"/>
      <c r="I16" s="46" t="e">
        <f>MATCH(B16,'Master_crosswalk '!M:M,0)</f>
        <v>#N/A</v>
      </c>
    </row>
    <row r="17" spans="1:9" ht="14.4">
      <c r="A17" s="43" t="s">
        <v>1173</v>
      </c>
      <c r="B17" s="43" t="s">
        <v>1180</v>
      </c>
      <c r="C17" s="44"/>
      <c r="D17" s="45"/>
      <c r="E17" s="44"/>
      <c r="F17" s="44"/>
      <c r="G17" s="44"/>
      <c r="H17" s="44"/>
      <c r="I17" s="46" t="e">
        <f>MATCH(B17,'Master_crosswalk '!M:M,0)</f>
        <v>#N/A</v>
      </c>
    </row>
    <row r="18" spans="1:9" ht="14.4">
      <c r="A18" s="43" t="s">
        <v>1173</v>
      </c>
      <c r="B18" s="43" t="s">
        <v>1181</v>
      </c>
      <c r="C18" s="44"/>
      <c r="D18" s="45"/>
      <c r="E18" s="44"/>
      <c r="F18" s="44"/>
      <c r="G18" s="44"/>
      <c r="H18" s="44"/>
      <c r="I18" s="46" t="e">
        <f>MATCH(B18,'Master_crosswalk '!M:M,0)</f>
        <v>#N/A</v>
      </c>
    </row>
    <row r="19" spans="1:9" ht="14.4">
      <c r="A19" s="43" t="s">
        <v>1173</v>
      </c>
      <c r="B19" s="43" t="s">
        <v>1182</v>
      </c>
      <c r="C19" s="44"/>
      <c r="D19" s="45"/>
      <c r="E19" s="44"/>
      <c r="F19" s="44"/>
      <c r="G19" s="44"/>
      <c r="H19" s="44"/>
      <c r="I19" s="46" t="e">
        <f>MATCH(B19,'Master_crosswalk '!M:M,0)</f>
        <v>#N/A</v>
      </c>
    </row>
    <row r="20" spans="1:9" ht="14.4">
      <c r="A20" s="43" t="s">
        <v>1173</v>
      </c>
      <c r="B20" s="43" t="s">
        <v>1183</v>
      </c>
      <c r="C20" s="44"/>
      <c r="D20" s="45"/>
      <c r="E20" s="44"/>
      <c r="F20" s="44"/>
      <c r="G20" s="44"/>
      <c r="H20" s="44"/>
      <c r="I20" s="46" t="e">
        <f>MATCH(B20,'Master_crosswalk '!M:M,0)</f>
        <v>#N/A</v>
      </c>
    </row>
    <row r="21" spans="1:9" ht="14.4">
      <c r="A21" s="43" t="s">
        <v>1173</v>
      </c>
      <c r="B21" s="43" t="s">
        <v>1184</v>
      </c>
      <c r="C21" s="44"/>
      <c r="D21" s="45"/>
      <c r="E21" s="44"/>
      <c r="F21" s="44"/>
      <c r="G21" s="44"/>
      <c r="H21" s="44"/>
      <c r="I21" s="46" t="e">
        <f>MATCH(B21,'Master_crosswalk '!M:M,0)</f>
        <v>#N/A</v>
      </c>
    </row>
    <row r="22" spans="1:9" ht="14.4">
      <c r="A22" s="43" t="s">
        <v>1173</v>
      </c>
      <c r="B22" s="43" t="s">
        <v>1185</v>
      </c>
      <c r="C22" s="44"/>
      <c r="D22" s="45"/>
      <c r="E22" s="44"/>
      <c r="F22" s="44"/>
      <c r="G22" s="44"/>
      <c r="H22" s="44"/>
      <c r="I22" s="46" t="e">
        <f>MATCH(B22,'Master_crosswalk '!M:M,0)</f>
        <v>#N/A</v>
      </c>
    </row>
    <row r="23" spans="1:9" ht="14.4">
      <c r="A23" s="43" t="s">
        <v>1173</v>
      </c>
      <c r="B23" s="43" t="s">
        <v>1186</v>
      </c>
      <c r="C23" s="44"/>
      <c r="D23" s="45"/>
      <c r="E23" s="44"/>
      <c r="F23" s="44"/>
      <c r="G23" s="44"/>
      <c r="H23" s="44"/>
      <c r="I23" s="46" t="e">
        <f>MATCH(B23,'Master_crosswalk '!M:M,0)</f>
        <v>#N/A</v>
      </c>
    </row>
    <row r="24" spans="1:9" ht="14.4">
      <c r="A24" s="43" t="s">
        <v>1173</v>
      </c>
      <c r="B24" s="43" t="s">
        <v>1187</v>
      </c>
      <c r="C24" s="44"/>
      <c r="D24" s="45"/>
      <c r="E24" s="44"/>
      <c r="F24" s="44"/>
      <c r="G24" s="44"/>
      <c r="H24" s="44"/>
      <c r="I24" s="46" t="e">
        <f>MATCH(B24,'Master_crosswalk '!M:M,0)</f>
        <v>#N/A</v>
      </c>
    </row>
    <row r="25" spans="1:9" ht="14.4">
      <c r="A25" s="43" t="s">
        <v>1173</v>
      </c>
      <c r="B25" s="43" t="s">
        <v>1188</v>
      </c>
      <c r="C25" s="44"/>
      <c r="D25" s="45"/>
      <c r="E25" s="44"/>
      <c r="F25" s="44"/>
      <c r="G25" s="44"/>
      <c r="H25" s="44"/>
      <c r="I25" s="46" t="e">
        <f>MATCH(B25,'Master_crosswalk '!M:M,0)</f>
        <v>#N/A</v>
      </c>
    </row>
    <row r="26" spans="1:9" ht="14.4">
      <c r="A26" s="43" t="s">
        <v>1173</v>
      </c>
      <c r="B26" s="43" t="s">
        <v>817</v>
      </c>
      <c r="C26" s="44"/>
      <c r="D26" s="45"/>
      <c r="E26" s="44"/>
      <c r="F26" s="44"/>
      <c r="G26" s="44"/>
      <c r="H26" s="44"/>
      <c r="I26" s="46">
        <f>MATCH(B26,'Master_crosswalk '!M:M,0)</f>
        <v>219</v>
      </c>
    </row>
    <row r="27" spans="1:9" ht="14.4">
      <c r="A27" s="43" t="s">
        <v>1173</v>
      </c>
      <c r="B27" s="43" t="s">
        <v>854</v>
      </c>
      <c r="C27" s="44"/>
      <c r="D27" s="45"/>
      <c r="E27" s="44"/>
      <c r="F27" s="44"/>
      <c r="G27" s="44"/>
      <c r="H27" s="44"/>
      <c r="I27" s="46">
        <f>MATCH(B27,'Master_crosswalk '!M:M,0)</f>
        <v>228</v>
      </c>
    </row>
    <row r="28" spans="1:9" ht="14.4">
      <c r="A28" s="43" t="s">
        <v>1173</v>
      </c>
      <c r="B28" s="43" t="s">
        <v>1189</v>
      </c>
      <c r="C28" s="44"/>
      <c r="D28" s="45"/>
      <c r="E28" s="44"/>
      <c r="F28" s="44"/>
      <c r="G28" s="44"/>
      <c r="H28" s="44"/>
      <c r="I28" s="46" t="e">
        <f>MATCH(B28,'Master_crosswalk '!M:M,0)</f>
        <v>#N/A</v>
      </c>
    </row>
    <row r="29" spans="1:9" ht="14.4">
      <c r="A29" s="43" t="s">
        <v>1173</v>
      </c>
      <c r="B29" s="43" t="s">
        <v>438</v>
      </c>
      <c r="C29" s="44"/>
      <c r="D29" s="45"/>
      <c r="E29" s="44"/>
      <c r="F29" s="44"/>
      <c r="G29" s="44"/>
      <c r="H29" s="44"/>
      <c r="I29" s="46" t="e">
        <f>MATCH(B29,'Master_crosswalk '!M:M,0)</f>
        <v>#N/A</v>
      </c>
    </row>
    <row r="30" spans="1:9" ht="14.4">
      <c r="A30" s="43" t="s">
        <v>1173</v>
      </c>
      <c r="B30" s="43" t="s">
        <v>1190</v>
      </c>
      <c r="C30" s="44"/>
      <c r="D30" s="45"/>
      <c r="E30" s="44"/>
      <c r="F30" s="44"/>
      <c r="G30" s="44"/>
      <c r="H30" s="44"/>
      <c r="I30" s="46" t="e">
        <f>MATCH(B30,'Master_crosswalk '!M:M,0)</f>
        <v>#N/A</v>
      </c>
    </row>
    <row r="31" spans="1:9" ht="14.4">
      <c r="A31" s="43" t="s">
        <v>1173</v>
      </c>
      <c r="B31" s="43" t="s">
        <v>445</v>
      </c>
      <c r="C31" s="44"/>
      <c r="D31" s="45"/>
      <c r="E31" s="44"/>
      <c r="F31" s="44"/>
      <c r="G31" s="44"/>
      <c r="H31" s="44"/>
      <c r="I31" s="46" t="e">
        <f>MATCH(B31,'Master_crosswalk '!M:M,0)</f>
        <v>#N/A</v>
      </c>
    </row>
    <row r="32" spans="1:9" ht="14.4">
      <c r="A32" s="43" t="s">
        <v>1173</v>
      </c>
      <c r="B32" s="43" t="s">
        <v>1191</v>
      </c>
      <c r="C32" s="44"/>
      <c r="D32" s="45"/>
      <c r="E32" s="44"/>
      <c r="F32" s="44"/>
      <c r="G32" s="44"/>
      <c r="H32" s="44"/>
      <c r="I32" s="46" t="e">
        <f>MATCH(B32,'Master_crosswalk '!M:M,0)</f>
        <v>#N/A</v>
      </c>
    </row>
    <row r="33" spans="1:9" ht="14.4">
      <c r="A33" s="43" t="s">
        <v>1173</v>
      </c>
      <c r="B33" s="43" t="s">
        <v>1192</v>
      </c>
      <c r="C33" s="44"/>
      <c r="D33" s="45"/>
      <c r="E33" s="44"/>
      <c r="F33" s="44"/>
      <c r="G33" s="44"/>
      <c r="H33" s="44"/>
      <c r="I33" s="46" t="e">
        <f>MATCH(B33,'Master_crosswalk '!M:M,0)</f>
        <v>#N/A</v>
      </c>
    </row>
    <row r="34" spans="1:9" ht="14.4">
      <c r="A34" s="43" t="s">
        <v>1173</v>
      </c>
      <c r="B34" s="43" t="s">
        <v>1193</v>
      </c>
      <c r="C34" s="44"/>
      <c r="D34" s="45"/>
      <c r="E34" s="44"/>
      <c r="F34" s="44"/>
      <c r="G34" s="44"/>
      <c r="H34" s="44"/>
      <c r="I34" s="46" t="e">
        <f>MATCH(B34,'Master_crosswalk '!M:M,0)</f>
        <v>#N/A</v>
      </c>
    </row>
    <row r="35" spans="1:9" ht="14.4">
      <c r="A35" s="43" t="s">
        <v>1173</v>
      </c>
      <c r="B35" s="43" t="s">
        <v>1194</v>
      </c>
      <c r="C35" s="44"/>
      <c r="D35" s="45"/>
      <c r="E35" s="44"/>
      <c r="F35" s="44"/>
      <c r="G35" s="44"/>
      <c r="H35" s="44"/>
      <c r="I35" s="46" t="e">
        <f>MATCH(B35,'Master_crosswalk '!M:M,0)</f>
        <v>#N/A</v>
      </c>
    </row>
    <row r="36" spans="1:9" ht="14.4">
      <c r="A36" s="43" t="s">
        <v>1173</v>
      </c>
      <c r="B36" s="43" t="s">
        <v>1195</v>
      </c>
      <c r="C36" s="44"/>
      <c r="D36" s="45"/>
      <c r="E36" s="44"/>
      <c r="F36" s="44"/>
      <c r="G36" s="44"/>
      <c r="H36" s="44"/>
      <c r="I36" s="46" t="e">
        <f>MATCH(B36,'Master_crosswalk '!M:M,0)</f>
        <v>#N/A</v>
      </c>
    </row>
    <row r="37" spans="1:9" ht="14.4">
      <c r="A37" s="43" t="s">
        <v>1173</v>
      </c>
      <c r="B37" s="43" t="s">
        <v>1196</v>
      </c>
      <c r="C37" s="44"/>
      <c r="D37" s="45"/>
      <c r="E37" s="44"/>
      <c r="F37" s="44"/>
      <c r="G37" s="44"/>
      <c r="H37" s="44"/>
      <c r="I37" s="46" t="e">
        <f>MATCH(B37,'Master_crosswalk '!M:M,0)</f>
        <v>#N/A</v>
      </c>
    </row>
    <row r="38" spans="1:9" ht="14.4">
      <c r="A38" s="43" t="s">
        <v>1173</v>
      </c>
      <c r="B38" s="43" t="s">
        <v>1197</v>
      </c>
      <c r="C38" s="44"/>
      <c r="D38" s="45"/>
      <c r="E38" s="44"/>
      <c r="F38" s="44"/>
      <c r="G38" s="44"/>
      <c r="H38" s="44"/>
      <c r="I38" s="46" t="e">
        <f>MATCH(B38,'Master_crosswalk '!M:M,0)</f>
        <v>#N/A</v>
      </c>
    </row>
    <row r="39" spans="1:9" ht="14.4">
      <c r="A39" s="43" t="s">
        <v>1173</v>
      </c>
      <c r="B39" s="43" t="s">
        <v>1198</v>
      </c>
      <c r="C39" s="44"/>
      <c r="D39" s="45"/>
      <c r="E39" s="44"/>
      <c r="F39" s="44"/>
      <c r="G39" s="44"/>
      <c r="H39" s="44"/>
      <c r="I39" s="46" t="e">
        <f>MATCH(B39,'Master_crosswalk '!M:M,0)</f>
        <v>#N/A</v>
      </c>
    </row>
    <row r="40" spans="1:9" ht="14.4">
      <c r="A40" s="43" t="s">
        <v>1173</v>
      </c>
      <c r="B40" s="43" t="s">
        <v>1199</v>
      </c>
      <c r="C40" s="44"/>
      <c r="D40" s="45"/>
      <c r="E40" s="44"/>
      <c r="F40" s="44"/>
      <c r="G40" s="44"/>
      <c r="H40" s="44"/>
      <c r="I40" s="46" t="e">
        <f>MATCH(B40,'Master_crosswalk '!M:M,0)</f>
        <v>#N/A</v>
      </c>
    </row>
    <row r="41" spans="1:9" ht="14.4">
      <c r="A41" s="43" t="s">
        <v>1173</v>
      </c>
      <c r="B41" s="43" t="s">
        <v>1200</v>
      </c>
      <c r="C41" s="44"/>
      <c r="D41" s="45"/>
      <c r="E41" s="44"/>
      <c r="F41" s="44"/>
      <c r="G41" s="44"/>
      <c r="H41" s="44"/>
      <c r="I41" s="46" t="e">
        <f>MATCH(B41,'Master_crosswalk '!M:M,0)</f>
        <v>#N/A</v>
      </c>
    </row>
    <row r="42" spans="1:9" ht="14.4">
      <c r="A42" s="43" t="s">
        <v>1173</v>
      </c>
      <c r="B42" s="43" t="s">
        <v>1201</v>
      </c>
      <c r="C42" s="44"/>
      <c r="D42" s="45"/>
      <c r="E42" s="44"/>
      <c r="F42" s="44"/>
      <c r="G42" s="44"/>
      <c r="H42" s="44"/>
      <c r="I42" s="46" t="e">
        <f>MATCH(B42,'Master_crosswalk '!M:M,0)</f>
        <v>#N/A</v>
      </c>
    </row>
    <row r="43" spans="1:9" ht="14.4">
      <c r="A43" s="43" t="s">
        <v>1173</v>
      </c>
      <c r="B43" s="43" t="s">
        <v>1202</v>
      </c>
      <c r="C43" s="44"/>
      <c r="D43" s="45"/>
      <c r="E43" s="44"/>
      <c r="F43" s="44"/>
      <c r="G43" s="44"/>
      <c r="H43" s="44"/>
      <c r="I43" s="46" t="e">
        <f>MATCH(B43,'Master_crosswalk '!M:M,0)</f>
        <v>#N/A</v>
      </c>
    </row>
    <row r="44" spans="1:9" ht="14.4">
      <c r="A44" s="43" t="s">
        <v>1173</v>
      </c>
      <c r="B44" s="43" t="s">
        <v>1203</v>
      </c>
      <c r="C44" s="44"/>
      <c r="D44" s="45"/>
      <c r="E44" s="44"/>
      <c r="F44" s="44"/>
      <c r="G44" s="44"/>
      <c r="H44" s="44"/>
      <c r="I44" s="46" t="e">
        <f>MATCH(B44,'Master_crosswalk '!M:M,0)</f>
        <v>#N/A</v>
      </c>
    </row>
    <row r="45" spans="1:9" ht="14.4">
      <c r="A45" s="43" t="s">
        <v>1173</v>
      </c>
      <c r="B45" s="43" t="s">
        <v>1204</v>
      </c>
      <c r="C45" s="44"/>
      <c r="D45" s="45"/>
      <c r="E45" s="44"/>
      <c r="F45" s="44"/>
      <c r="G45" s="44"/>
      <c r="H45" s="44"/>
      <c r="I45" s="46" t="e">
        <f>MATCH(B45,'Master_crosswalk '!M:M,0)</f>
        <v>#N/A</v>
      </c>
    </row>
    <row r="46" spans="1:9" ht="14.4">
      <c r="A46" s="43" t="s">
        <v>1173</v>
      </c>
      <c r="B46" s="43" t="s">
        <v>1205</v>
      </c>
      <c r="C46" s="44"/>
      <c r="D46" s="45"/>
      <c r="E46" s="44"/>
      <c r="F46" s="44"/>
      <c r="G46" s="44"/>
      <c r="H46" s="44"/>
      <c r="I46" s="46" t="e">
        <f>MATCH(B46,'Master_crosswalk '!M:M,0)</f>
        <v>#N/A</v>
      </c>
    </row>
    <row r="47" spans="1:9" ht="14.4">
      <c r="A47" s="43" t="s">
        <v>1173</v>
      </c>
      <c r="B47" s="43" t="s">
        <v>1206</v>
      </c>
      <c r="C47" s="44"/>
      <c r="D47" s="45"/>
      <c r="E47" s="44"/>
      <c r="F47" s="44"/>
      <c r="G47" s="44"/>
      <c r="H47" s="44"/>
      <c r="I47" s="46" t="e">
        <f>MATCH(B47,'Master_crosswalk '!M:M,0)</f>
        <v>#N/A</v>
      </c>
    </row>
    <row r="48" spans="1:9" ht="14.4">
      <c r="A48" s="43" t="s">
        <v>1173</v>
      </c>
      <c r="B48" s="43" t="s">
        <v>1207</v>
      </c>
      <c r="C48" s="44"/>
      <c r="D48" s="45"/>
      <c r="E48" s="44"/>
      <c r="F48" s="44"/>
      <c r="G48" s="44"/>
      <c r="H48" s="44"/>
      <c r="I48" s="46" t="e">
        <f>MATCH(B48,'Master_crosswalk '!M:M,0)</f>
        <v>#N/A</v>
      </c>
    </row>
    <row r="49" spans="1:9" ht="14.4">
      <c r="A49" s="43" t="s">
        <v>1173</v>
      </c>
      <c r="B49" s="43" t="s">
        <v>1208</v>
      </c>
      <c r="C49" s="44"/>
      <c r="D49" s="45"/>
      <c r="E49" s="44"/>
      <c r="F49" s="44"/>
      <c r="G49" s="44"/>
      <c r="H49" s="44"/>
      <c r="I49" s="46" t="e">
        <f>MATCH(B49,'Master_crosswalk '!M:M,0)</f>
        <v>#N/A</v>
      </c>
    </row>
    <row r="50" spans="1:9" ht="14.4">
      <c r="A50" s="43" t="s">
        <v>1173</v>
      </c>
      <c r="B50" s="43" t="s">
        <v>1209</v>
      </c>
      <c r="C50" s="44"/>
      <c r="D50" s="45"/>
      <c r="E50" s="44"/>
      <c r="F50" s="44"/>
      <c r="G50" s="44"/>
      <c r="H50" s="44"/>
      <c r="I50" s="46" t="e">
        <f>MATCH(B50,'Master_crosswalk '!M:M,0)</f>
        <v>#N/A</v>
      </c>
    </row>
    <row r="51" spans="1:9" ht="14.4">
      <c r="A51" s="43" t="s">
        <v>1173</v>
      </c>
      <c r="B51" s="43" t="s">
        <v>1210</v>
      </c>
      <c r="C51" s="44"/>
      <c r="D51" s="45"/>
      <c r="E51" s="44"/>
      <c r="F51" s="44"/>
      <c r="G51" s="44"/>
      <c r="H51" s="44"/>
      <c r="I51" s="46" t="e">
        <f>MATCH(B51,'Master_crosswalk '!M:M,0)</f>
        <v>#N/A</v>
      </c>
    </row>
    <row r="52" spans="1:9" ht="14.4">
      <c r="A52" s="43" t="s">
        <v>1173</v>
      </c>
      <c r="B52" s="43" t="s">
        <v>189</v>
      </c>
      <c r="C52" s="44"/>
      <c r="D52" s="47" t="s">
        <v>1211</v>
      </c>
      <c r="E52" s="44"/>
      <c r="F52" s="44"/>
      <c r="G52" s="44"/>
      <c r="H52" s="44"/>
      <c r="I52" s="46">
        <f>MATCH(B52,'Master_crosswalk '!M:M,0)</f>
        <v>30</v>
      </c>
    </row>
    <row r="53" spans="1:9" ht="14.4">
      <c r="A53" s="43" t="s">
        <v>1173</v>
      </c>
      <c r="B53" s="43" t="s">
        <v>178</v>
      </c>
      <c r="C53" s="44"/>
      <c r="D53" s="47" t="s">
        <v>1212</v>
      </c>
      <c r="E53" s="44"/>
      <c r="F53" s="44"/>
      <c r="G53" s="44"/>
      <c r="H53" s="44"/>
      <c r="I53" s="46">
        <f>MATCH(B53,'Master_crosswalk '!M:M,0)</f>
        <v>29</v>
      </c>
    </row>
    <row r="54" spans="1:9" ht="14.4">
      <c r="A54" s="43"/>
      <c r="B54" s="43" t="s">
        <v>93</v>
      </c>
      <c r="C54" s="44"/>
      <c r="D54" s="45"/>
      <c r="E54" s="44"/>
      <c r="F54" s="44"/>
      <c r="G54" s="44"/>
      <c r="H54" s="44"/>
      <c r="I54" s="46" t="e">
        <f>MATCH(B54,'Master_crosswalk '!M:M,0)</f>
        <v>#N/A</v>
      </c>
    </row>
    <row r="55" spans="1:9" ht="14.4">
      <c r="A55" s="43"/>
      <c r="B55" s="43" t="s">
        <v>102</v>
      </c>
      <c r="C55" s="44"/>
      <c r="D55" s="45"/>
      <c r="E55" s="44"/>
      <c r="F55" s="44"/>
      <c r="G55" s="44"/>
      <c r="H55" s="44"/>
      <c r="I55" s="46">
        <f>MATCH(B55,'Master_crosswalk '!M:M,0)</f>
        <v>50</v>
      </c>
    </row>
    <row r="56" spans="1:9" ht="14.4">
      <c r="A56" s="43" t="s">
        <v>1213</v>
      </c>
      <c r="B56" s="43" t="s">
        <v>1214</v>
      </c>
      <c r="C56" s="44"/>
      <c r="D56" s="45"/>
      <c r="E56" s="44"/>
      <c r="F56" s="44"/>
      <c r="G56" s="44"/>
      <c r="H56" s="44"/>
      <c r="I56" s="46" t="e">
        <f>MATCH(B56,'Master_crosswalk '!M:M,0)</f>
        <v>#N/A</v>
      </c>
    </row>
    <row r="57" spans="1:9" ht="14.4">
      <c r="A57" s="43" t="s">
        <v>1213</v>
      </c>
      <c r="B57" s="43" t="s">
        <v>357</v>
      </c>
      <c r="C57" s="44"/>
      <c r="D57" s="45"/>
      <c r="E57" s="44"/>
      <c r="F57" s="44"/>
      <c r="G57" s="44"/>
      <c r="H57" s="44"/>
      <c r="I57" s="46">
        <f>MATCH(B57,'Master_crosswalk '!M:M,0)</f>
        <v>82</v>
      </c>
    </row>
    <row r="58" spans="1:9" ht="14.4">
      <c r="A58" s="43" t="s">
        <v>1213</v>
      </c>
      <c r="B58" s="43" t="s">
        <v>306</v>
      </c>
      <c r="C58" s="44"/>
      <c r="D58" s="45"/>
      <c r="E58" s="44"/>
      <c r="F58" s="44"/>
      <c r="G58" s="44"/>
      <c r="H58" s="44"/>
      <c r="I58" s="46" t="e">
        <f>MATCH(B58,'Master_crosswalk '!M:M,0)</f>
        <v>#N/A</v>
      </c>
    </row>
    <row r="59" spans="1:9" ht="14.4">
      <c r="A59" s="43" t="s">
        <v>1213</v>
      </c>
      <c r="B59" s="43" t="s">
        <v>266</v>
      </c>
      <c r="C59" s="44"/>
      <c r="D59" s="45"/>
      <c r="E59" s="44"/>
      <c r="F59" s="44"/>
      <c r="G59" s="44"/>
      <c r="H59" s="44"/>
      <c r="I59" s="46" t="e">
        <f>MATCH(B59,'Master_crosswalk '!M:M,0)</f>
        <v>#N/A</v>
      </c>
    </row>
    <row r="60" spans="1:9" ht="14.4">
      <c r="A60" s="43" t="s">
        <v>1213</v>
      </c>
      <c r="B60" s="43" t="s">
        <v>297</v>
      </c>
      <c r="C60" s="44"/>
      <c r="D60" s="45"/>
      <c r="E60" s="44"/>
      <c r="F60" s="44"/>
      <c r="G60" s="44"/>
      <c r="H60" s="44"/>
      <c r="I60" s="46" t="e">
        <f>MATCH(B60,'Master_crosswalk '!M:M,0)</f>
        <v>#N/A</v>
      </c>
    </row>
    <row r="61" spans="1:9" ht="14.4">
      <c r="A61" s="43" t="s">
        <v>1213</v>
      </c>
      <c r="B61" s="43" t="s">
        <v>358</v>
      </c>
      <c r="C61" s="44"/>
      <c r="D61" s="45"/>
      <c r="E61" s="44"/>
      <c r="F61" s="44"/>
      <c r="G61" s="44"/>
      <c r="H61" s="44"/>
      <c r="I61" s="46">
        <f>MATCH(B61,'Master_crosswalk '!M:M,0)</f>
        <v>83</v>
      </c>
    </row>
    <row r="62" spans="1:9" ht="14.4">
      <c r="A62" s="43" t="s">
        <v>1213</v>
      </c>
      <c r="B62" s="43" t="s">
        <v>359</v>
      </c>
      <c r="C62" s="44"/>
      <c r="D62" s="45"/>
      <c r="E62" s="44"/>
      <c r="F62" s="44"/>
      <c r="G62" s="44"/>
      <c r="H62" s="44"/>
      <c r="I62" s="46">
        <f>MATCH(B62,'Master_crosswalk '!M:M,0)</f>
        <v>84</v>
      </c>
    </row>
    <row r="63" spans="1:9" ht="14.4">
      <c r="A63" s="43" t="s">
        <v>1213</v>
      </c>
      <c r="B63" s="43" t="s">
        <v>1215</v>
      </c>
      <c r="C63" s="44"/>
      <c r="D63" s="45"/>
      <c r="E63" s="44"/>
      <c r="F63" s="44"/>
      <c r="G63" s="44"/>
      <c r="H63" s="44"/>
      <c r="I63" s="46" t="e">
        <f>MATCH(B63,'Master_crosswalk '!M:M,0)</f>
        <v>#N/A</v>
      </c>
    </row>
    <row r="64" spans="1:9" ht="14.4">
      <c r="A64" s="43" t="s">
        <v>1213</v>
      </c>
      <c r="B64" s="43" t="s">
        <v>385</v>
      </c>
      <c r="C64" s="44"/>
      <c r="D64" s="45"/>
      <c r="E64" s="44"/>
      <c r="F64" s="44"/>
      <c r="G64" s="44"/>
      <c r="H64" s="44"/>
      <c r="I64" s="46" t="e">
        <f>MATCH(B64,'Master_crosswalk '!M:M,0)</f>
        <v>#N/A</v>
      </c>
    </row>
    <row r="65" spans="1:9" ht="14.4">
      <c r="A65" s="43" t="s">
        <v>1213</v>
      </c>
      <c r="B65" s="43" t="s">
        <v>276</v>
      </c>
      <c r="C65" s="44"/>
      <c r="D65" s="45"/>
      <c r="E65" s="44"/>
      <c r="F65" s="44"/>
      <c r="G65" s="44"/>
      <c r="H65" s="44"/>
      <c r="I65" s="46">
        <f>MATCH(B65,'Master_crosswalk '!M:M,0)</f>
        <v>66</v>
      </c>
    </row>
    <row r="66" spans="1:9" ht="14.4">
      <c r="A66" s="43" t="s">
        <v>568</v>
      </c>
      <c r="B66" s="43" t="s">
        <v>1216</v>
      </c>
      <c r="C66" s="44"/>
      <c r="D66" s="45"/>
      <c r="E66" s="44"/>
      <c r="F66" s="44"/>
      <c r="G66" s="44"/>
      <c r="H66" s="44"/>
      <c r="I66" s="46" t="e">
        <f>MATCH(B66,'Master_crosswalk '!M:M,0)</f>
        <v>#N/A</v>
      </c>
    </row>
    <row r="67" spans="1:9" ht="14.4">
      <c r="A67" s="43" t="s">
        <v>568</v>
      </c>
      <c r="B67" s="43" t="s">
        <v>570</v>
      </c>
      <c r="C67" s="44"/>
      <c r="D67" s="45"/>
      <c r="E67" s="44"/>
      <c r="F67" s="44"/>
      <c r="G67" s="44"/>
      <c r="H67" s="44"/>
      <c r="I67" s="46" t="e">
        <f>MATCH(B67,'Master_crosswalk '!M:M,0)</f>
        <v>#N/A</v>
      </c>
    </row>
    <row r="68" spans="1:9" ht="14.4">
      <c r="A68" s="43" t="s">
        <v>568</v>
      </c>
      <c r="B68" s="43" t="s">
        <v>620</v>
      </c>
      <c r="C68" s="44"/>
      <c r="D68" s="45"/>
      <c r="E68" s="44"/>
      <c r="F68" s="44"/>
      <c r="G68" s="44"/>
      <c r="H68" s="44"/>
      <c r="I68" s="46">
        <f>MATCH(B68,'Master_crosswalk '!M:M,0)</f>
        <v>146</v>
      </c>
    </row>
    <row r="69" spans="1:9" ht="14.4">
      <c r="A69" s="43" t="s">
        <v>568</v>
      </c>
      <c r="B69" s="43" t="s">
        <v>605</v>
      </c>
      <c r="C69" s="44"/>
      <c r="D69" s="45"/>
      <c r="E69" s="44"/>
      <c r="F69" s="44"/>
      <c r="G69" s="44"/>
      <c r="H69" s="44"/>
      <c r="I69" s="46">
        <f>MATCH(B69,'Master_crosswalk '!M:M,0)</f>
        <v>147</v>
      </c>
    </row>
    <row r="70" spans="1:9" ht="14.4">
      <c r="A70" s="43" t="s">
        <v>568</v>
      </c>
      <c r="B70" s="43" t="s">
        <v>582</v>
      </c>
      <c r="C70" s="44"/>
      <c r="D70" s="45"/>
      <c r="E70" s="44"/>
      <c r="F70" s="44"/>
      <c r="G70" s="44"/>
      <c r="H70" s="44"/>
      <c r="I70" s="46" t="e">
        <f>MATCH(B70,'Master_crosswalk '!M:M,0)</f>
        <v>#N/A</v>
      </c>
    </row>
    <row r="71" spans="1:9" ht="14.4">
      <c r="A71" s="43" t="s">
        <v>568</v>
      </c>
      <c r="B71" s="43" t="s">
        <v>591</v>
      </c>
      <c r="C71" s="44"/>
      <c r="D71" s="45"/>
      <c r="E71" s="44"/>
      <c r="F71" s="44"/>
      <c r="G71" s="44"/>
      <c r="H71" s="44"/>
      <c r="I71" s="46" t="e">
        <f>MATCH(B71,'Master_crosswalk '!M:M,0)</f>
        <v>#N/A</v>
      </c>
    </row>
    <row r="72" spans="1:9" ht="14.4">
      <c r="A72" s="43" t="s">
        <v>568</v>
      </c>
      <c r="B72" s="186" t="s">
        <v>1217</v>
      </c>
      <c r="C72" s="44"/>
      <c r="D72" s="45"/>
      <c r="E72" s="44"/>
      <c r="F72" s="44"/>
      <c r="G72" s="44"/>
      <c r="H72" s="44"/>
      <c r="I72" s="46">
        <f>MATCH(B72,'Master_crosswalk '!M:M,0)</f>
        <v>169</v>
      </c>
    </row>
    <row r="73" spans="1:9" ht="14.4">
      <c r="A73" s="43" t="s">
        <v>568</v>
      </c>
      <c r="B73" s="43" t="s">
        <v>576</v>
      </c>
      <c r="C73" s="44"/>
      <c r="D73" s="45"/>
      <c r="E73" s="44"/>
      <c r="F73" s="44"/>
      <c r="G73" s="44"/>
      <c r="H73" s="44"/>
      <c r="I73" s="46" t="e">
        <f>MATCH(B73,'Master_crosswalk '!M:M,0)</f>
        <v>#N/A</v>
      </c>
    </row>
    <row r="74" spans="1:9" ht="14.4">
      <c r="A74" s="43" t="s">
        <v>713</v>
      </c>
      <c r="B74" s="43" t="s">
        <v>1218</v>
      </c>
      <c r="C74" s="44"/>
      <c r="D74" s="45"/>
      <c r="E74" s="44"/>
      <c r="F74" s="44"/>
      <c r="G74" s="44"/>
      <c r="H74" s="44"/>
      <c r="I74" s="46">
        <f>MATCH(B74,'Master_crosswalk '!M:M,0)</f>
        <v>197</v>
      </c>
    </row>
    <row r="75" spans="1:9" ht="14.4">
      <c r="A75" s="43" t="s">
        <v>713</v>
      </c>
      <c r="B75" s="43" t="s">
        <v>1219</v>
      </c>
      <c r="C75" s="44"/>
      <c r="D75" s="45"/>
      <c r="E75" s="44"/>
      <c r="F75" s="44"/>
      <c r="G75" s="44"/>
      <c r="H75" s="44"/>
      <c r="I75" s="46">
        <f>MATCH(B75,'Master_crosswalk '!M:M,0)</f>
        <v>198</v>
      </c>
    </row>
    <row r="76" spans="1:9" ht="14.4">
      <c r="A76" s="43" t="s">
        <v>713</v>
      </c>
      <c r="B76" s="43" t="s">
        <v>1222</v>
      </c>
      <c r="C76" s="44"/>
      <c r="D76" s="45"/>
      <c r="E76" s="44"/>
      <c r="F76" s="44"/>
      <c r="G76" s="44"/>
      <c r="H76" s="44"/>
      <c r="I76" s="46">
        <f>MATCH(B76,'Master_crosswalk '!M:M,0)</f>
        <v>199</v>
      </c>
    </row>
    <row r="77" spans="1:9" ht="14.4">
      <c r="A77" s="43" t="s">
        <v>713</v>
      </c>
      <c r="B77" s="43" t="s">
        <v>1226</v>
      </c>
      <c r="C77" s="44"/>
      <c r="D77" s="45"/>
      <c r="E77" s="44"/>
      <c r="F77" s="44"/>
      <c r="G77" s="44"/>
      <c r="H77" s="44"/>
      <c r="I77" s="46">
        <f>MATCH(B77,'Master_crosswalk '!M:M,0)</f>
        <v>200</v>
      </c>
    </row>
    <row r="78" spans="1:9" ht="14.4">
      <c r="A78" s="43" t="s">
        <v>713</v>
      </c>
      <c r="B78" s="43" t="s">
        <v>1227</v>
      </c>
      <c r="C78" s="44"/>
      <c r="D78" s="45"/>
      <c r="E78" s="44"/>
      <c r="F78" s="44"/>
      <c r="G78" s="44"/>
      <c r="H78" s="44"/>
      <c r="I78" s="46">
        <f>MATCH(B78,'Master_crosswalk '!M:M,0)</f>
        <v>201</v>
      </c>
    </row>
    <row r="79" spans="1:9" ht="14.4">
      <c r="A79" s="43" t="s">
        <v>713</v>
      </c>
      <c r="B79" s="43" t="s">
        <v>1228</v>
      </c>
      <c r="C79" s="44"/>
      <c r="D79" s="45"/>
      <c r="E79" s="44"/>
      <c r="F79" s="44"/>
      <c r="G79" s="44"/>
      <c r="H79" s="44"/>
      <c r="I79" s="46">
        <f>MATCH(B79,'Master_crosswalk '!M:M,0)</f>
        <v>202</v>
      </c>
    </row>
    <row r="80" spans="1:9" ht="14.4">
      <c r="A80" s="43" t="s">
        <v>713</v>
      </c>
      <c r="B80" s="43" t="s">
        <v>1229</v>
      </c>
      <c r="C80" s="44"/>
      <c r="D80" s="45"/>
      <c r="E80" s="44"/>
      <c r="F80" s="44"/>
      <c r="G80" s="44"/>
      <c r="H80" s="44"/>
      <c r="I80" s="46">
        <f>MATCH(B80,'Master_crosswalk '!M:M,0)</f>
        <v>203</v>
      </c>
    </row>
    <row r="81" spans="1:9" ht="14.4">
      <c r="A81" s="43" t="s">
        <v>713</v>
      </c>
      <c r="B81" s="43" t="s">
        <v>1230</v>
      </c>
      <c r="C81" s="44"/>
      <c r="D81" s="45"/>
      <c r="E81" s="44"/>
      <c r="F81" s="44"/>
      <c r="G81" s="44"/>
      <c r="H81" s="44"/>
      <c r="I81" s="46">
        <f>MATCH(B81,'Master_crosswalk '!M:M,0)</f>
        <v>204</v>
      </c>
    </row>
    <row r="82" spans="1:9" ht="14.4">
      <c r="A82" s="43" t="s">
        <v>713</v>
      </c>
      <c r="B82" s="43" t="s">
        <v>1231</v>
      </c>
      <c r="C82" s="44"/>
      <c r="D82" s="45"/>
      <c r="E82" s="44"/>
      <c r="F82" s="44"/>
      <c r="G82" s="44"/>
      <c r="H82" s="44"/>
      <c r="I82" s="46">
        <f>MATCH(B82,'Master_crosswalk '!M:M,0)</f>
        <v>205</v>
      </c>
    </row>
    <row r="83" spans="1:9" ht="14.4">
      <c r="A83" s="43" t="s">
        <v>713</v>
      </c>
      <c r="B83" s="43" t="s">
        <v>1232</v>
      </c>
      <c r="C83" s="44"/>
      <c r="D83" s="45"/>
      <c r="E83" s="44"/>
      <c r="F83" s="44"/>
      <c r="G83" s="44"/>
      <c r="H83" s="44"/>
      <c r="I83" s="46">
        <f>MATCH(B83,'Master_crosswalk '!M:M,0)</f>
        <v>206</v>
      </c>
    </row>
    <row r="84" spans="1:9" ht="14.4">
      <c r="A84" s="43" t="s">
        <v>1233</v>
      </c>
      <c r="B84" s="43" t="s">
        <v>1234</v>
      </c>
      <c r="C84" s="44"/>
      <c r="D84" s="45"/>
      <c r="E84" s="44"/>
      <c r="F84" s="44"/>
      <c r="G84" s="44"/>
      <c r="H84" s="44"/>
      <c r="I84" s="46" t="e">
        <f>MATCH(B84,'Master_crosswalk '!M:M,0)</f>
        <v>#N/A</v>
      </c>
    </row>
    <row r="85" spans="1:9" ht="14.4">
      <c r="A85" s="43" t="s">
        <v>1233</v>
      </c>
      <c r="B85" s="43" t="s">
        <v>1235</v>
      </c>
      <c r="C85" s="44"/>
      <c r="D85" s="45"/>
      <c r="E85" s="44"/>
      <c r="F85" s="44"/>
      <c r="G85" s="44"/>
      <c r="H85" s="44"/>
      <c r="I85" s="46" t="e">
        <f>MATCH(B85,'Master_crosswalk '!M:M,0)</f>
        <v>#N/A</v>
      </c>
    </row>
    <row r="86" spans="1:9" ht="14.4">
      <c r="A86" s="43" t="s">
        <v>1233</v>
      </c>
      <c r="B86" s="43" t="s">
        <v>1236</v>
      </c>
      <c r="C86" s="44"/>
      <c r="D86" s="45"/>
      <c r="E86" s="44"/>
      <c r="F86" s="44"/>
      <c r="G86" s="44"/>
      <c r="H86" s="44"/>
      <c r="I86" s="46" t="e">
        <f>MATCH(B86,'Master_crosswalk '!M:M,0)</f>
        <v>#N/A</v>
      </c>
    </row>
    <row r="87" spans="1:9" ht="14.4">
      <c r="A87" s="43" t="s">
        <v>1233</v>
      </c>
      <c r="B87" s="43" t="s">
        <v>1237</v>
      </c>
      <c r="C87" s="44"/>
      <c r="D87" s="45"/>
      <c r="E87" s="44"/>
      <c r="F87" s="44"/>
      <c r="G87" s="44"/>
      <c r="H87" s="44"/>
      <c r="I87" s="46" t="e">
        <f>MATCH(B87,'Master_crosswalk '!M:M,0)</f>
        <v>#N/A</v>
      </c>
    </row>
    <row r="88" spans="1:9" ht="14.4">
      <c r="A88" s="43" t="s">
        <v>1233</v>
      </c>
      <c r="B88" s="43" t="s">
        <v>215</v>
      </c>
      <c r="C88" s="44"/>
      <c r="D88" s="45"/>
      <c r="E88" s="44"/>
      <c r="F88" s="44"/>
      <c r="G88" s="44"/>
      <c r="H88" s="44"/>
      <c r="I88" s="46" t="e">
        <f>MATCH(B88,'Master_crosswalk '!M:M,0)</f>
        <v>#N/A</v>
      </c>
    </row>
    <row r="89" spans="1:9" ht="14.4">
      <c r="A89" s="43" t="s">
        <v>1233</v>
      </c>
      <c r="B89" s="43" t="s">
        <v>1238</v>
      </c>
      <c r="C89" s="44"/>
      <c r="D89" s="45"/>
      <c r="E89" s="44"/>
      <c r="F89" s="44"/>
      <c r="G89" s="44"/>
      <c r="H89" s="44"/>
      <c r="I89" s="46" t="e">
        <f>MATCH(B89,'Master_crosswalk '!M:M,0)</f>
        <v>#N/A</v>
      </c>
    </row>
    <row r="90" spans="1:9" ht="14.4">
      <c r="A90" s="43" t="s">
        <v>1233</v>
      </c>
      <c r="B90" s="43" t="s">
        <v>1239</v>
      </c>
      <c r="C90" s="44"/>
      <c r="D90" s="45"/>
      <c r="E90" s="44"/>
      <c r="F90" s="44"/>
      <c r="G90" s="44"/>
      <c r="H90" s="44"/>
      <c r="I90" s="46" t="e">
        <f>MATCH(B90,'Master_crosswalk '!M:M,0)</f>
        <v>#N/A</v>
      </c>
    </row>
    <row r="91" spans="1:9" ht="14.4">
      <c r="A91" s="43" t="s">
        <v>1233</v>
      </c>
      <c r="B91" s="43" t="s">
        <v>1240</v>
      </c>
      <c r="C91" s="44"/>
      <c r="D91" s="45"/>
      <c r="E91" s="44"/>
      <c r="F91" s="44"/>
      <c r="G91" s="44"/>
      <c r="H91" s="44"/>
      <c r="I91" s="46" t="e">
        <f>MATCH(B91,'Master_crosswalk '!M:M,0)</f>
        <v>#N/A</v>
      </c>
    </row>
    <row r="92" spans="1:9" ht="14.4">
      <c r="A92" s="43" t="s">
        <v>1233</v>
      </c>
      <c r="B92" s="43" t="s">
        <v>1241</v>
      </c>
      <c r="C92" s="44"/>
      <c r="D92" s="45"/>
      <c r="E92" s="44"/>
      <c r="F92" s="44"/>
      <c r="G92" s="44"/>
      <c r="H92" s="44"/>
      <c r="I92" s="46" t="e">
        <f>MATCH(B92,'Master_crosswalk '!M:M,0)</f>
        <v>#N/A</v>
      </c>
    </row>
    <row r="93" spans="1:9" ht="14.4">
      <c r="A93" s="43" t="s">
        <v>1233</v>
      </c>
      <c r="B93" s="43" t="s">
        <v>1242</v>
      </c>
      <c r="C93" s="44"/>
      <c r="D93" s="45"/>
      <c r="E93" s="44"/>
      <c r="F93" s="44"/>
      <c r="G93" s="44"/>
      <c r="H93" s="44"/>
      <c r="I93" s="46" t="e">
        <f>MATCH(B93,'Master_crosswalk '!M:M,0)</f>
        <v>#N/A</v>
      </c>
    </row>
    <row r="94" spans="1:9" ht="14.4">
      <c r="A94" s="43" t="s">
        <v>1233</v>
      </c>
      <c r="B94" s="43" t="s">
        <v>1243</v>
      </c>
      <c r="C94" s="44"/>
      <c r="D94" s="45"/>
      <c r="E94" s="44"/>
      <c r="F94" s="44"/>
      <c r="G94" s="44"/>
      <c r="H94" s="44"/>
      <c r="I94" s="46" t="e">
        <f>MATCH(B94,'Master_crosswalk '!M:M,0)</f>
        <v>#N/A</v>
      </c>
    </row>
    <row r="95" spans="1:9" ht="14.4">
      <c r="A95" s="43"/>
      <c r="B95" s="43" t="s">
        <v>1244</v>
      </c>
      <c r="C95" s="44"/>
      <c r="D95" s="45"/>
      <c r="E95" s="44"/>
      <c r="F95" s="44"/>
      <c r="G95" s="44"/>
      <c r="H95" s="44"/>
      <c r="I95" s="46" t="e">
        <f>MATCH(B95,'Master_crosswalk '!M:M,0)</f>
        <v>#N/A</v>
      </c>
    </row>
    <row r="96" spans="1:9" ht="14.4">
      <c r="A96" s="43"/>
      <c r="B96" s="43" t="s">
        <v>1245</v>
      </c>
      <c r="C96" s="44"/>
      <c r="D96" s="45"/>
      <c r="E96" s="44"/>
      <c r="F96" s="44"/>
      <c r="G96" s="44"/>
      <c r="H96" s="44"/>
      <c r="I96" s="46" t="e">
        <f>MATCH(B96,'Master_crosswalk '!M:M,0)</f>
        <v>#N/A</v>
      </c>
    </row>
    <row r="97" spans="1:9" ht="14.4">
      <c r="A97" s="43" t="s">
        <v>1011</v>
      </c>
      <c r="B97" s="43" t="s">
        <v>902</v>
      </c>
      <c r="C97" s="59" t="s">
        <v>901</v>
      </c>
      <c r="D97" s="47" t="s">
        <v>903</v>
      </c>
      <c r="E97" s="60" t="s">
        <v>80</v>
      </c>
      <c r="F97" s="61" t="s">
        <v>80</v>
      </c>
      <c r="G97" s="60" t="s">
        <v>80</v>
      </c>
      <c r="H97" s="62" t="s">
        <v>80</v>
      </c>
      <c r="I97" s="46">
        <f>MATCH(B97,'Master_crosswalk '!M:M,0)</f>
        <v>243</v>
      </c>
    </row>
    <row r="98" spans="1:9" ht="28.8">
      <c r="A98" s="43" t="s">
        <v>1011</v>
      </c>
      <c r="B98" s="43" t="s">
        <v>905</v>
      </c>
      <c r="C98" s="59" t="s">
        <v>904</v>
      </c>
      <c r="D98" s="47" t="s">
        <v>906</v>
      </c>
      <c r="E98" s="60" t="s">
        <v>80</v>
      </c>
      <c r="F98" s="61" t="s">
        <v>80</v>
      </c>
      <c r="G98" s="60" t="s">
        <v>80</v>
      </c>
      <c r="H98" s="61" t="s">
        <v>1247</v>
      </c>
      <c r="I98" s="46">
        <f>MATCH(B98,'Master_crosswalk '!M:M,0)</f>
        <v>244</v>
      </c>
    </row>
    <row r="99" spans="1:9" ht="28.8">
      <c r="A99" s="43" t="s">
        <v>1011</v>
      </c>
      <c r="B99" s="43" t="s">
        <v>908</v>
      </c>
      <c r="C99" s="59" t="s">
        <v>907</v>
      </c>
      <c r="D99" s="47" t="s">
        <v>909</v>
      </c>
      <c r="E99" s="60" t="s">
        <v>80</v>
      </c>
      <c r="F99" s="61" t="s">
        <v>80</v>
      </c>
      <c r="G99" s="60" t="s">
        <v>80</v>
      </c>
      <c r="H99" s="61" t="s">
        <v>1250</v>
      </c>
      <c r="I99" s="46">
        <f>MATCH(B99,'Master_crosswalk '!M:M,0)</f>
        <v>245</v>
      </c>
    </row>
    <row r="100" spans="1:9" ht="14.4">
      <c r="A100" s="43" t="s">
        <v>1011</v>
      </c>
      <c r="B100" s="43" t="s">
        <v>911</v>
      </c>
      <c r="C100" s="59" t="s">
        <v>910</v>
      </c>
      <c r="D100" s="47" t="s">
        <v>912</v>
      </c>
      <c r="E100" s="60" t="s">
        <v>80</v>
      </c>
      <c r="F100" s="61" t="s">
        <v>80</v>
      </c>
      <c r="G100" s="64"/>
      <c r="H100" s="61" t="s">
        <v>1250</v>
      </c>
      <c r="I100" s="46">
        <f>MATCH(B100,'Master_crosswalk '!M:M,0)</f>
        <v>246</v>
      </c>
    </row>
    <row r="101" spans="1:9" ht="43.2">
      <c r="A101" s="43" t="s">
        <v>1011</v>
      </c>
      <c r="B101" s="43" t="s">
        <v>914</v>
      </c>
      <c r="C101" s="65" t="s">
        <v>913</v>
      </c>
      <c r="D101" s="47" t="s">
        <v>915</v>
      </c>
      <c r="E101" s="60" t="s">
        <v>80</v>
      </c>
      <c r="F101" s="61" t="s">
        <v>80</v>
      </c>
      <c r="G101" s="60" t="s">
        <v>80</v>
      </c>
      <c r="H101" s="61" t="s">
        <v>1250</v>
      </c>
      <c r="I101" s="46">
        <f>MATCH(B101,'Master_crosswalk '!M:M,0)</f>
        <v>247</v>
      </c>
    </row>
    <row r="102" spans="1:9" ht="14.4">
      <c r="A102" s="43" t="s">
        <v>1011</v>
      </c>
      <c r="B102" s="43" t="s">
        <v>918</v>
      </c>
      <c r="C102" s="59" t="s">
        <v>919</v>
      </c>
      <c r="D102" s="47" t="s">
        <v>920</v>
      </c>
      <c r="E102" s="60" t="s">
        <v>371</v>
      </c>
      <c r="F102" s="61" t="s">
        <v>1265</v>
      </c>
      <c r="G102" s="60" t="s">
        <v>1266</v>
      </c>
      <c r="H102" s="62" t="s">
        <v>80</v>
      </c>
      <c r="I102" s="46">
        <f>MATCH(B102,'Master_crosswalk '!M:M,0)</f>
        <v>248</v>
      </c>
    </row>
    <row r="103" spans="1:9" ht="57.6">
      <c r="A103" s="43" t="s">
        <v>1011</v>
      </c>
      <c r="B103" s="43" t="s">
        <v>924</v>
      </c>
      <c r="C103" s="59" t="s">
        <v>923</v>
      </c>
      <c r="D103" s="47" t="s">
        <v>925</v>
      </c>
      <c r="E103" s="60" t="s">
        <v>851</v>
      </c>
      <c r="F103" s="62" t="s">
        <v>1269</v>
      </c>
      <c r="G103" s="60" t="s">
        <v>1270</v>
      </c>
      <c r="H103" s="62" t="s">
        <v>80</v>
      </c>
      <c r="I103" s="46">
        <f>MATCH(B103,'Master_crosswalk '!M:M,0)</f>
        <v>249</v>
      </c>
    </row>
    <row r="104" spans="1:9" ht="43.2">
      <c r="A104" s="43" t="s">
        <v>1011</v>
      </c>
      <c r="B104" s="43" t="s">
        <v>927</v>
      </c>
      <c r="C104" s="59" t="s">
        <v>926</v>
      </c>
      <c r="D104" s="47" t="s">
        <v>928</v>
      </c>
      <c r="E104" s="60" t="s">
        <v>371</v>
      </c>
      <c r="F104" s="61" t="s">
        <v>1271</v>
      </c>
      <c r="G104" s="60" t="s">
        <v>1266</v>
      </c>
      <c r="H104" s="61" t="s">
        <v>1272</v>
      </c>
      <c r="I104" s="46">
        <f>MATCH(B104,'Master_crosswalk '!M:M,0)</f>
        <v>250</v>
      </c>
    </row>
    <row r="105" spans="1:9" ht="43.2">
      <c r="A105" s="43" t="s">
        <v>1011</v>
      </c>
      <c r="B105" s="43" t="s">
        <v>930</v>
      </c>
      <c r="C105" s="59" t="s">
        <v>929</v>
      </c>
      <c r="D105" s="47" t="s">
        <v>931</v>
      </c>
      <c r="E105" s="60" t="s">
        <v>371</v>
      </c>
      <c r="F105" s="61" t="s">
        <v>1273</v>
      </c>
      <c r="G105" s="60" t="s">
        <v>1266</v>
      </c>
      <c r="H105" s="61" t="s">
        <v>1274</v>
      </c>
      <c r="I105" s="46">
        <f>MATCH(B105,'Master_crosswalk '!M:M,0)</f>
        <v>255</v>
      </c>
    </row>
    <row r="106" spans="1:9" ht="28.8">
      <c r="A106" s="43" t="s">
        <v>1011</v>
      </c>
      <c r="B106" s="43" t="s">
        <v>933</v>
      </c>
      <c r="C106" s="59" t="s">
        <v>932</v>
      </c>
      <c r="D106" s="47" t="s">
        <v>934</v>
      </c>
      <c r="E106" s="60" t="s">
        <v>371</v>
      </c>
      <c r="F106" s="61" t="s">
        <v>1275</v>
      </c>
      <c r="G106" s="60" t="s">
        <v>1266</v>
      </c>
      <c r="H106" s="61" t="s">
        <v>1276</v>
      </c>
      <c r="I106" s="46">
        <f>MATCH(B106,'Master_crosswalk '!M:M,0)</f>
        <v>256</v>
      </c>
    </row>
    <row r="107" spans="1:9" ht="28.8">
      <c r="A107" s="43" t="s">
        <v>1011</v>
      </c>
      <c r="B107" s="43" t="s">
        <v>936</v>
      </c>
      <c r="C107" s="59" t="s">
        <v>937</v>
      </c>
      <c r="D107" s="68" t="s">
        <v>938</v>
      </c>
      <c r="E107" s="60" t="s">
        <v>371</v>
      </c>
      <c r="F107" s="61" t="s">
        <v>1277</v>
      </c>
      <c r="G107" s="60" t="s">
        <v>1266</v>
      </c>
      <c r="H107" s="61" t="s">
        <v>1278</v>
      </c>
      <c r="I107" s="46">
        <f>MATCH(B107,'Master_crosswalk '!M:M,0)</f>
        <v>257</v>
      </c>
    </row>
    <row r="108" spans="1:9" ht="28.8">
      <c r="A108" s="43" t="s">
        <v>1011</v>
      </c>
      <c r="B108" s="43" t="s">
        <v>940</v>
      </c>
      <c r="C108" s="59" t="s">
        <v>939</v>
      </c>
      <c r="D108" s="68" t="s">
        <v>941</v>
      </c>
      <c r="E108" s="60" t="s">
        <v>371</v>
      </c>
      <c r="F108" s="61" t="s">
        <v>1279</v>
      </c>
      <c r="G108" s="60" t="s">
        <v>1270</v>
      </c>
      <c r="H108" s="61" t="s">
        <v>1250</v>
      </c>
      <c r="I108" s="46">
        <f>MATCH(B108,'Master_crosswalk '!M:M,0)</f>
        <v>258</v>
      </c>
    </row>
    <row r="109" spans="1:9" ht="14.4">
      <c r="A109" s="43" t="s">
        <v>1011</v>
      </c>
      <c r="B109" s="43" t="s">
        <v>943</v>
      </c>
      <c r="C109" s="44"/>
      <c r="D109" s="45"/>
      <c r="E109" s="44"/>
      <c r="F109" s="44"/>
      <c r="G109" s="44"/>
      <c r="H109" s="44"/>
      <c r="I109" s="46">
        <f>MATCH(B109,'Master_crosswalk '!M:M,0)</f>
        <v>259</v>
      </c>
    </row>
    <row r="110" spans="1:9" ht="14.4">
      <c r="A110" s="43" t="s">
        <v>1011</v>
      </c>
      <c r="B110" s="43" t="s">
        <v>945</v>
      </c>
      <c r="C110" s="44"/>
      <c r="D110" s="45"/>
      <c r="E110" s="44"/>
      <c r="F110" s="44"/>
      <c r="G110" s="44"/>
      <c r="H110" s="44"/>
      <c r="I110" s="46">
        <f>MATCH(B110,'Master_crosswalk '!M:M,0)</f>
        <v>260</v>
      </c>
    </row>
    <row r="111" spans="1:9" ht="14.4">
      <c r="A111" s="43" t="s">
        <v>1011</v>
      </c>
      <c r="B111" s="43" t="s">
        <v>947</v>
      </c>
      <c r="C111" s="44"/>
      <c r="D111" s="45"/>
      <c r="E111" s="44"/>
      <c r="F111" s="44"/>
      <c r="G111" s="44"/>
      <c r="H111" s="44"/>
      <c r="I111" s="46">
        <f>MATCH(B111,'Master_crosswalk '!M:M,0)</f>
        <v>261</v>
      </c>
    </row>
    <row r="112" spans="1:9" ht="14.4">
      <c r="A112" s="43" t="s">
        <v>1011</v>
      </c>
      <c r="B112" s="43" t="s">
        <v>949</v>
      </c>
      <c r="C112" s="44"/>
      <c r="D112" s="45"/>
      <c r="E112" s="44"/>
      <c r="F112" s="44"/>
      <c r="G112" s="44"/>
      <c r="H112" s="44"/>
      <c r="I112" s="46">
        <f>MATCH(B112,'Master_crosswalk '!M:M,0)</f>
        <v>262</v>
      </c>
    </row>
    <row r="113" spans="1:9" ht="14.4">
      <c r="A113" s="43" t="s">
        <v>1011</v>
      </c>
      <c r="B113" s="43" t="s">
        <v>951</v>
      </c>
      <c r="C113" s="44"/>
      <c r="D113" s="45"/>
      <c r="E113" s="44"/>
      <c r="F113" s="44"/>
      <c r="G113" s="44"/>
      <c r="H113" s="44"/>
      <c r="I113" s="46">
        <f>MATCH(B113,'Master_crosswalk '!M:M,0)</f>
        <v>263</v>
      </c>
    </row>
    <row r="114" spans="1:9" ht="14.4">
      <c r="A114" s="43" t="s">
        <v>1011</v>
      </c>
      <c r="B114" s="43" t="s">
        <v>1084</v>
      </c>
      <c r="C114" s="44"/>
      <c r="D114" s="45"/>
      <c r="E114" s="44"/>
      <c r="F114" s="44"/>
      <c r="G114" s="44"/>
      <c r="H114" s="44"/>
      <c r="I114" s="46">
        <f>MATCH(B114,'Master_crosswalk '!M:M,0)</f>
        <v>321</v>
      </c>
    </row>
    <row r="115" spans="1:9" ht="14.4">
      <c r="A115" s="43" t="s">
        <v>1011</v>
      </c>
      <c r="B115" s="43" t="s">
        <v>965</v>
      </c>
      <c r="C115" s="44"/>
      <c r="D115" s="45"/>
      <c r="E115" s="44"/>
      <c r="F115" s="44"/>
      <c r="G115" s="44"/>
      <c r="H115" s="44"/>
      <c r="I115" s="46">
        <f>MATCH(B115,'Master_crosswalk '!M:M,0)</f>
        <v>267</v>
      </c>
    </row>
    <row r="116" spans="1:9" ht="14.4">
      <c r="A116" s="43" t="s">
        <v>1011</v>
      </c>
      <c r="B116" s="43" t="s">
        <v>967</v>
      </c>
      <c r="C116" s="44"/>
      <c r="D116" s="45"/>
      <c r="E116" s="44"/>
      <c r="F116" s="44"/>
      <c r="G116" s="44"/>
      <c r="H116" s="44"/>
      <c r="I116" s="46">
        <f>MATCH(B116,'Master_crosswalk '!M:M,0)</f>
        <v>268</v>
      </c>
    </row>
    <row r="117" spans="1:9" ht="14.4">
      <c r="A117" s="43" t="s">
        <v>1011</v>
      </c>
      <c r="B117" s="43" t="s">
        <v>969</v>
      </c>
      <c r="C117" s="44"/>
      <c r="D117" s="45"/>
      <c r="E117" s="44"/>
      <c r="F117" s="44"/>
      <c r="G117" s="44"/>
      <c r="H117" s="44"/>
      <c r="I117" s="46">
        <f>MATCH(B117,'Master_crosswalk '!M:M,0)</f>
        <v>269</v>
      </c>
    </row>
    <row r="118" spans="1:9" ht="14.4">
      <c r="A118" s="43" t="s">
        <v>1011</v>
      </c>
      <c r="B118" s="43" t="s">
        <v>972</v>
      </c>
      <c r="C118" s="44"/>
      <c r="D118" s="45"/>
      <c r="E118" s="44"/>
      <c r="F118" s="44"/>
      <c r="G118" s="44"/>
      <c r="H118" s="44"/>
      <c r="I118" s="46">
        <f>MATCH(B118,'Master_crosswalk '!M:M,0)</f>
        <v>270</v>
      </c>
    </row>
    <row r="119" spans="1:9" ht="28.8">
      <c r="A119" s="43" t="s">
        <v>1011</v>
      </c>
      <c r="B119" s="43" t="s">
        <v>975</v>
      </c>
      <c r="C119" s="59" t="s">
        <v>976</v>
      </c>
      <c r="D119" s="47" t="s">
        <v>977</v>
      </c>
      <c r="E119" s="60" t="s">
        <v>371</v>
      </c>
      <c r="F119" s="61" t="s">
        <v>1282</v>
      </c>
      <c r="G119" s="60" t="s">
        <v>1266</v>
      </c>
      <c r="H119" s="61" t="s">
        <v>1283</v>
      </c>
      <c r="I119" s="46">
        <f>MATCH(B119,'Master_crosswalk '!M:M,0)</f>
        <v>277</v>
      </c>
    </row>
    <row r="120" spans="1:9" ht="28.8">
      <c r="A120" s="43" t="s">
        <v>1011</v>
      </c>
      <c r="B120" s="43" t="s">
        <v>979</v>
      </c>
      <c r="C120" s="59" t="s">
        <v>978</v>
      </c>
      <c r="D120" s="47" t="s">
        <v>980</v>
      </c>
      <c r="E120" s="60" t="s">
        <v>371</v>
      </c>
      <c r="F120" s="61" t="s">
        <v>1284</v>
      </c>
      <c r="G120" s="60" t="s">
        <v>1270</v>
      </c>
      <c r="H120" s="61" t="s">
        <v>1250</v>
      </c>
      <c r="I120" s="46">
        <f>MATCH(B120,'Master_crosswalk '!M:M,0)</f>
        <v>278</v>
      </c>
    </row>
    <row r="121" spans="1:9" ht="28.8">
      <c r="A121" s="43" t="s">
        <v>1011</v>
      </c>
      <c r="B121" s="43" t="s">
        <v>982</v>
      </c>
      <c r="C121" s="59" t="s">
        <v>983</v>
      </c>
      <c r="D121" s="47" t="s">
        <v>984</v>
      </c>
      <c r="E121" s="60" t="s">
        <v>371</v>
      </c>
      <c r="F121" s="61" t="s">
        <v>1285</v>
      </c>
      <c r="G121" s="60" t="s">
        <v>1266</v>
      </c>
      <c r="H121" s="61" t="s">
        <v>1250</v>
      </c>
      <c r="I121" s="46">
        <f>MATCH(B121,'Master_crosswalk '!M:M,0)</f>
        <v>279</v>
      </c>
    </row>
    <row r="122" spans="1:9" ht="28.8">
      <c r="A122" s="43" t="s">
        <v>1011</v>
      </c>
      <c r="B122" s="43" t="s">
        <v>986</v>
      </c>
      <c r="C122" s="59" t="s">
        <v>985</v>
      </c>
      <c r="D122" s="47" t="s">
        <v>987</v>
      </c>
      <c r="E122" s="60" t="s">
        <v>371</v>
      </c>
      <c r="F122" s="61" t="s">
        <v>1286</v>
      </c>
      <c r="G122" s="60" t="s">
        <v>1270</v>
      </c>
      <c r="H122" s="61" t="s">
        <v>1250</v>
      </c>
      <c r="I122" s="46">
        <f>MATCH(B122,'Master_crosswalk '!M:M,0)</f>
        <v>280</v>
      </c>
    </row>
    <row r="123" spans="1:9" ht="14.4">
      <c r="A123" s="43" t="s">
        <v>1011</v>
      </c>
      <c r="B123" s="43" t="s">
        <v>989</v>
      </c>
      <c r="C123" s="59" t="s">
        <v>990</v>
      </c>
      <c r="D123" s="47" t="s">
        <v>991</v>
      </c>
      <c r="E123" s="60" t="s">
        <v>1287</v>
      </c>
      <c r="F123" s="61" t="s">
        <v>1288</v>
      </c>
      <c r="G123" s="60" t="s">
        <v>1266</v>
      </c>
      <c r="H123" s="61" t="s">
        <v>1250</v>
      </c>
      <c r="I123" s="46">
        <f>MATCH(B123,'Master_crosswalk '!M:M,0)</f>
        <v>281</v>
      </c>
    </row>
    <row r="124" spans="1:9" ht="28.8">
      <c r="A124" s="43" t="s">
        <v>1011</v>
      </c>
      <c r="B124" s="43" t="s">
        <v>993</v>
      </c>
      <c r="C124" s="59" t="s">
        <v>992</v>
      </c>
      <c r="D124" s="47" t="s">
        <v>994</v>
      </c>
      <c r="E124" s="60" t="s">
        <v>1287</v>
      </c>
      <c r="F124" s="61" t="s">
        <v>1289</v>
      </c>
      <c r="G124" s="60" t="s">
        <v>1270</v>
      </c>
      <c r="H124" s="61" t="s">
        <v>1250</v>
      </c>
      <c r="I124" s="46">
        <f>MATCH(B124,'Master_crosswalk '!M:M,0)</f>
        <v>282</v>
      </c>
    </row>
    <row r="125" spans="1:9" ht="14.4">
      <c r="A125" s="43" t="s">
        <v>1011</v>
      </c>
      <c r="B125" s="43" t="s">
        <v>996</v>
      </c>
      <c r="C125" s="59" t="s">
        <v>997</v>
      </c>
      <c r="D125" s="47" t="s">
        <v>998</v>
      </c>
      <c r="E125" s="60" t="s">
        <v>1287</v>
      </c>
      <c r="F125" s="61" t="s">
        <v>1290</v>
      </c>
      <c r="G125" s="60" t="s">
        <v>1266</v>
      </c>
      <c r="H125" s="61" t="s">
        <v>1250</v>
      </c>
      <c r="I125" s="46">
        <f>MATCH(B125,'Master_crosswalk '!M:M,0)</f>
        <v>283</v>
      </c>
    </row>
    <row r="126" spans="1:9" ht="28.8">
      <c r="A126" s="43" t="s">
        <v>1011</v>
      </c>
      <c r="B126" s="43" t="s">
        <v>1000</v>
      </c>
      <c r="C126" s="59" t="s">
        <v>999</v>
      </c>
      <c r="D126" s="47" t="s">
        <v>1001</v>
      </c>
      <c r="E126" s="60" t="s">
        <v>1287</v>
      </c>
      <c r="F126" s="61" t="s">
        <v>1291</v>
      </c>
      <c r="G126" s="60" t="s">
        <v>1270</v>
      </c>
      <c r="H126" s="61" t="s">
        <v>1250</v>
      </c>
      <c r="I126" s="46">
        <f>MATCH(B126,'Master_crosswalk '!M:M,0)</f>
        <v>284</v>
      </c>
    </row>
    <row r="127" spans="1:9" ht="14.4">
      <c r="A127" s="43" t="s">
        <v>1011</v>
      </c>
      <c r="B127" s="43" t="s">
        <v>1003</v>
      </c>
      <c r="C127" s="59" t="s">
        <v>1004</v>
      </c>
      <c r="D127" s="47" t="s">
        <v>1005</v>
      </c>
      <c r="E127" s="60" t="s">
        <v>371</v>
      </c>
      <c r="F127" s="61" t="s">
        <v>1292</v>
      </c>
      <c r="G127" s="60" t="s">
        <v>1266</v>
      </c>
      <c r="H127" s="61" t="s">
        <v>1250</v>
      </c>
      <c r="I127" s="46">
        <f>MATCH(B127,'Master_crosswalk '!M:M,0)</f>
        <v>285</v>
      </c>
    </row>
    <row r="128" spans="1:9" ht="14.4">
      <c r="A128" s="43" t="s">
        <v>1011</v>
      </c>
      <c r="B128" s="43" t="s">
        <v>1007</v>
      </c>
      <c r="C128" s="59" t="s">
        <v>1006</v>
      </c>
      <c r="D128" s="47" t="s">
        <v>1008</v>
      </c>
      <c r="E128" s="60" t="s">
        <v>371</v>
      </c>
      <c r="F128" s="61" t="s">
        <v>1293</v>
      </c>
      <c r="G128" s="60" t="s">
        <v>1270</v>
      </c>
      <c r="H128" s="61" t="s">
        <v>1250</v>
      </c>
      <c r="I128" s="46">
        <f>MATCH(B128,'Master_crosswalk '!M:M,0)</f>
        <v>286</v>
      </c>
    </row>
    <row r="129" spans="1:9" ht="28.8">
      <c r="A129" s="43" t="s">
        <v>1011</v>
      </c>
      <c r="B129" s="43" t="s">
        <v>954</v>
      </c>
      <c r="C129" s="59" t="s">
        <v>955</v>
      </c>
      <c r="D129" s="47" t="s">
        <v>956</v>
      </c>
      <c r="E129" s="60" t="s">
        <v>371</v>
      </c>
      <c r="F129" s="61" t="s">
        <v>1294</v>
      </c>
      <c r="G129" s="60" t="s">
        <v>1266</v>
      </c>
      <c r="H129" s="61" t="s">
        <v>1295</v>
      </c>
      <c r="I129" s="46">
        <f>MATCH(B129,'Master_crosswalk '!M:M,0)</f>
        <v>265</v>
      </c>
    </row>
    <row r="130" spans="1:9" ht="14.4">
      <c r="A130" s="43" t="s">
        <v>1011</v>
      </c>
      <c r="B130" s="43" t="s">
        <v>960</v>
      </c>
      <c r="C130" s="59" t="s">
        <v>961</v>
      </c>
      <c r="D130" s="47" t="s">
        <v>962</v>
      </c>
      <c r="E130" s="60" t="s">
        <v>371</v>
      </c>
      <c r="F130" s="61" t="s">
        <v>1296</v>
      </c>
      <c r="G130" s="60" t="s">
        <v>1266</v>
      </c>
      <c r="H130" s="61" t="s">
        <v>1250</v>
      </c>
      <c r="I130" s="46">
        <f>MATCH(B130,'Master_crosswalk '!M:M,0)</f>
        <v>266</v>
      </c>
    </row>
    <row r="131" spans="1:9" ht="14.4">
      <c r="A131" s="43" t="s">
        <v>1011</v>
      </c>
      <c r="B131" s="43" t="s">
        <v>1012</v>
      </c>
      <c r="C131" s="59" t="s">
        <v>1013</v>
      </c>
      <c r="D131" s="70"/>
      <c r="E131" s="60" t="s">
        <v>371</v>
      </c>
      <c r="F131" s="61" t="s">
        <v>1297</v>
      </c>
      <c r="G131" s="60" t="s">
        <v>1266</v>
      </c>
      <c r="H131" s="62" t="s">
        <v>80</v>
      </c>
      <c r="I131" s="46">
        <f>MATCH(B131,'Master_crosswalk '!M:M,0)</f>
        <v>288</v>
      </c>
    </row>
    <row r="132" spans="1:9" ht="14.4">
      <c r="A132" s="43" t="s">
        <v>1011</v>
      </c>
      <c r="B132" s="43" t="s">
        <v>1017</v>
      </c>
      <c r="C132" s="59" t="s">
        <v>1016</v>
      </c>
      <c r="D132" s="70"/>
      <c r="E132" s="60" t="s">
        <v>371</v>
      </c>
      <c r="F132" s="61" t="s">
        <v>1298</v>
      </c>
      <c r="G132" s="60" t="s">
        <v>1270</v>
      </c>
      <c r="H132" s="62" t="s">
        <v>80</v>
      </c>
      <c r="I132" s="46">
        <f>MATCH(B132,'Master_crosswalk '!M:M,0)</f>
        <v>290</v>
      </c>
    </row>
    <row r="133" spans="1:9" ht="14.4">
      <c r="A133" s="43" t="s">
        <v>1011</v>
      </c>
      <c r="B133" s="43" t="s">
        <v>1020</v>
      </c>
      <c r="C133" s="59" t="s">
        <v>1021</v>
      </c>
      <c r="D133" s="70"/>
      <c r="E133" s="60" t="s">
        <v>371</v>
      </c>
      <c r="F133" s="61" t="s">
        <v>1299</v>
      </c>
      <c r="G133" s="60" t="s">
        <v>1266</v>
      </c>
      <c r="H133" s="62" t="s">
        <v>80</v>
      </c>
      <c r="I133" s="46">
        <f>MATCH(B133,'Master_crosswalk '!M:M,0)</f>
        <v>294</v>
      </c>
    </row>
    <row r="134" spans="1:9" ht="14.4">
      <c r="A134" s="43" t="s">
        <v>1011</v>
      </c>
      <c r="B134" s="43" t="s">
        <v>1024</v>
      </c>
      <c r="C134" s="59" t="s">
        <v>1023</v>
      </c>
      <c r="D134" s="70"/>
      <c r="E134" s="60" t="s">
        <v>371</v>
      </c>
      <c r="F134" s="61" t="s">
        <v>1300</v>
      </c>
      <c r="G134" s="60" t="s">
        <v>1270</v>
      </c>
      <c r="H134" s="62" t="s">
        <v>80</v>
      </c>
      <c r="I134" s="46">
        <f>MATCH(B134,'Master_crosswalk '!M:M,0)</f>
        <v>295</v>
      </c>
    </row>
    <row r="135" spans="1:9" ht="14.4">
      <c r="A135" s="43" t="s">
        <v>1011</v>
      </c>
      <c r="B135" s="43" t="s">
        <v>1027</v>
      </c>
      <c r="C135" s="59" t="s">
        <v>1028</v>
      </c>
      <c r="D135" s="70"/>
      <c r="E135" s="60" t="s">
        <v>371</v>
      </c>
      <c r="F135" s="61" t="s">
        <v>1301</v>
      </c>
      <c r="G135" s="60" t="s">
        <v>1266</v>
      </c>
      <c r="H135" s="62" t="s">
        <v>80</v>
      </c>
      <c r="I135" s="46">
        <f>MATCH(B135,'Master_crosswalk '!M:M,0)</f>
        <v>296</v>
      </c>
    </row>
    <row r="136" spans="1:9" ht="14.4">
      <c r="A136" s="43" t="s">
        <v>1011</v>
      </c>
      <c r="B136" s="43" t="s">
        <v>1031</v>
      </c>
      <c r="C136" s="59" t="s">
        <v>1030</v>
      </c>
      <c r="D136" s="70"/>
      <c r="E136" s="60" t="s">
        <v>371</v>
      </c>
      <c r="F136" s="61" t="s">
        <v>1302</v>
      </c>
      <c r="G136" s="60" t="s">
        <v>1270</v>
      </c>
      <c r="H136" s="62" t="s">
        <v>80</v>
      </c>
      <c r="I136" s="46">
        <f>MATCH(B136,'Master_crosswalk '!M:M,0)</f>
        <v>297</v>
      </c>
    </row>
    <row r="137" spans="1:9" ht="14.4">
      <c r="A137" s="43" t="s">
        <v>1011</v>
      </c>
      <c r="B137" s="43" t="s">
        <v>1033</v>
      </c>
      <c r="C137" s="59" t="s">
        <v>1034</v>
      </c>
      <c r="D137" s="70"/>
      <c r="E137" s="60" t="s">
        <v>1287</v>
      </c>
      <c r="F137" s="61" t="s">
        <v>1303</v>
      </c>
      <c r="G137" s="60" t="s">
        <v>1266</v>
      </c>
      <c r="H137" s="62" t="s">
        <v>80</v>
      </c>
      <c r="I137" s="46">
        <f>MATCH(B137,'Master_crosswalk '!M:M,0)</f>
        <v>298</v>
      </c>
    </row>
    <row r="138" spans="1:9" ht="14.4">
      <c r="A138" s="43" t="s">
        <v>1011</v>
      </c>
      <c r="B138" s="43" t="s">
        <v>1036</v>
      </c>
      <c r="C138" s="59" t="s">
        <v>1035</v>
      </c>
      <c r="D138" s="70"/>
      <c r="E138" s="60" t="s">
        <v>1287</v>
      </c>
      <c r="F138" s="61" t="s">
        <v>1304</v>
      </c>
      <c r="G138" s="60" t="s">
        <v>1270</v>
      </c>
      <c r="H138" s="62" t="s">
        <v>80</v>
      </c>
      <c r="I138" s="46">
        <f>MATCH(B138,'Master_crosswalk '!M:M,0)</f>
        <v>299</v>
      </c>
    </row>
    <row r="139" spans="1:9" ht="14.4">
      <c r="A139" s="43" t="s">
        <v>1011</v>
      </c>
      <c r="B139" s="43" t="s">
        <v>1038</v>
      </c>
      <c r="C139" s="59" t="s">
        <v>1039</v>
      </c>
      <c r="D139" s="70"/>
      <c r="E139" s="60" t="s">
        <v>371</v>
      </c>
      <c r="F139" s="61" t="s">
        <v>1305</v>
      </c>
      <c r="G139" s="60" t="s">
        <v>1266</v>
      </c>
      <c r="H139" s="62" t="s">
        <v>80</v>
      </c>
      <c r="I139" s="46">
        <f>MATCH(B139,'Master_crosswalk '!M:M,0)</f>
        <v>300</v>
      </c>
    </row>
    <row r="140" spans="1:9" ht="14.4">
      <c r="A140" s="43" t="s">
        <v>1011</v>
      </c>
      <c r="B140" s="43" t="s">
        <v>1041</v>
      </c>
      <c r="C140" s="59" t="s">
        <v>1040</v>
      </c>
      <c r="D140" s="70"/>
      <c r="E140" s="60" t="s">
        <v>371</v>
      </c>
      <c r="F140" s="61" t="s">
        <v>1306</v>
      </c>
      <c r="G140" s="60" t="s">
        <v>1270</v>
      </c>
      <c r="H140" s="62" t="s">
        <v>80</v>
      </c>
      <c r="I140" s="46">
        <f>MATCH(B140,'Master_crosswalk '!M:M,0)</f>
        <v>301</v>
      </c>
    </row>
    <row r="141" spans="1:9" ht="14.4">
      <c r="A141" s="43" t="s">
        <v>1011</v>
      </c>
      <c r="B141" s="43" t="s">
        <v>1043</v>
      </c>
      <c r="C141" s="59" t="s">
        <v>1044</v>
      </c>
      <c r="D141" s="70"/>
      <c r="E141" s="60" t="s">
        <v>1287</v>
      </c>
      <c r="F141" s="61" t="s">
        <v>1307</v>
      </c>
      <c r="G141" s="60" t="s">
        <v>1266</v>
      </c>
      <c r="H141" s="62" t="s">
        <v>80</v>
      </c>
      <c r="I141" s="46">
        <f>MATCH(B141,'Master_crosswalk '!M:M,0)</f>
        <v>302</v>
      </c>
    </row>
    <row r="142" spans="1:9" ht="14.4">
      <c r="A142" s="43" t="s">
        <v>1011</v>
      </c>
      <c r="B142" s="43" t="s">
        <v>1046</v>
      </c>
      <c r="C142" s="59" t="s">
        <v>1045</v>
      </c>
      <c r="D142" s="70"/>
      <c r="E142" s="60" t="s">
        <v>1287</v>
      </c>
      <c r="F142" s="61" t="s">
        <v>1308</v>
      </c>
      <c r="G142" s="60" t="s">
        <v>1270</v>
      </c>
      <c r="H142" s="62" t="s">
        <v>80</v>
      </c>
      <c r="I142" s="46">
        <f>MATCH(B142,'Master_crosswalk '!M:M,0)</f>
        <v>303</v>
      </c>
    </row>
    <row r="143" spans="1:9" ht="14.4">
      <c r="A143" s="43" t="s">
        <v>1011</v>
      </c>
      <c r="B143" s="43" t="s">
        <v>1048</v>
      </c>
      <c r="C143" s="59" t="s">
        <v>1049</v>
      </c>
      <c r="D143" s="70"/>
      <c r="E143" s="60" t="s">
        <v>1287</v>
      </c>
      <c r="F143" s="61" t="s">
        <v>1309</v>
      </c>
      <c r="G143" s="60" t="s">
        <v>1266</v>
      </c>
      <c r="H143" s="62" t="s">
        <v>80</v>
      </c>
      <c r="I143" s="46">
        <f>MATCH(B143,'Master_crosswalk '!M:M,0)</f>
        <v>304</v>
      </c>
    </row>
    <row r="144" spans="1:9" ht="14.4">
      <c r="A144" s="43" t="s">
        <v>1011</v>
      </c>
      <c r="B144" s="43" t="s">
        <v>1051</v>
      </c>
      <c r="C144" s="59" t="s">
        <v>1050</v>
      </c>
      <c r="D144" s="70"/>
      <c r="E144" s="60" t="s">
        <v>1287</v>
      </c>
      <c r="F144" s="61" t="s">
        <v>1310</v>
      </c>
      <c r="G144" s="60" t="s">
        <v>1270</v>
      </c>
      <c r="H144" s="62" t="s">
        <v>80</v>
      </c>
      <c r="I144" s="46">
        <f>MATCH(B144,'Master_crosswalk '!M:M,0)</f>
        <v>305</v>
      </c>
    </row>
    <row r="145" spans="1:9" ht="14.4">
      <c r="A145" s="43" t="s">
        <v>1011</v>
      </c>
      <c r="B145" s="43" t="s">
        <v>1053</v>
      </c>
      <c r="C145" s="59" t="s">
        <v>1054</v>
      </c>
      <c r="D145" s="70"/>
      <c r="E145" s="60" t="s">
        <v>309</v>
      </c>
      <c r="F145" s="61" t="s">
        <v>1311</v>
      </c>
      <c r="G145" s="60" t="s">
        <v>1266</v>
      </c>
      <c r="H145" s="62" t="s">
        <v>80</v>
      </c>
      <c r="I145" s="46">
        <f>MATCH(B145,'Master_crosswalk '!M:M,0)</f>
        <v>306</v>
      </c>
    </row>
    <row r="146" spans="1:9" ht="14.4">
      <c r="A146" s="43" t="s">
        <v>1011</v>
      </c>
      <c r="B146" s="43" t="s">
        <v>1056</v>
      </c>
      <c r="C146" s="59" t="s">
        <v>1055</v>
      </c>
      <c r="D146" s="70"/>
      <c r="E146" s="60" t="s">
        <v>309</v>
      </c>
      <c r="F146" s="61" t="s">
        <v>1312</v>
      </c>
      <c r="G146" s="60" t="s">
        <v>1270</v>
      </c>
      <c r="H146" s="62" t="s">
        <v>80</v>
      </c>
      <c r="I146" s="46">
        <f>MATCH(B146,'Master_crosswalk '!M:M,0)</f>
        <v>308</v>
      </c>
    </row>
    <row r="147" spans="1:9" ht="14.4">
      <c r="A147" s="43" t="s">
        <v>1011</v>
      </c>
      <c r="B147" s="43" t="s">
        <v>1058</v>
      </c>
      <c r="C147" s="59" t="s">
        <v>1059</v>
      </c>
      <c r="D147" s="70"/>
      <c r="E147" s="60" t="s">
        <v>1287</v>
      </c>
      <c r="F147" s="61" t="s">
        <v>1313</v>
      </c>
      <c r="G147" s="60" t="s">
        <v>1266</v>
      </c>
      <c r="H147" s="62" t="s">
        <v>80</v>
      </c>
      <c r="I147" s="46">
        <f>MATCH(B147,'Master_crosswalk '!M:M,0)</f>
        <v>309</v>
      </c>
    </row>
    <row r="148" spans="1:9" ht="14.4">
      <c r="A148" s="43" t="s">
        <v>1011</v>
      </c>
      <c r="B148" s="43" t="s">
        <v>1061</v>
      </c>
      <c r="C148" s="59" t="s">
        <v>1060</v>
      </c>
      <c r="D148" s="70"/>
      <c r="E148" s="60" t="s">
        <v>1287</v>
      </c>
      <c r="F148" s="61" t="s">
        <v>1315</v>
      </c>
      <c r="G148" s="60" t="s">
        <v>1270</v>
      </c>
      <c r="H148" s="62" t="s">
        <v>80</v>
      </c>
      <c r="I148" s="46">
        <f>MATCH(B148,'Master_crosswalk '!M:M,0)</f>
        <v>310</v>
      </c>
    </row>
    <row r="149" spans="1:9" ht="14.4">
      <c r="A149" s="43" t="s">
        <v>1011</v>
      </c>
      <c r="B149" s="43" t="s">
        <v>1063</v>
      </c>
      <c r="C149" s="59" t="s">
        <v>1064</v>
      </c>
      <c r="D149" s="70"/>
      <c r="E149" s="60" t="s">
        <v>309</v>
      </c>
      <c r="F149" s="61" t="s">
        <v>1316</v>
      </c>
      <c r="G149" s="60" t="s">
        <v>1266</v>
      </c>
      <c r="H149" s="62" t="s">
        <v>80</v>
      </c>
      <c r="I149" s="46">
        <f>MATCH(B149,'Master_crosswalk '!M:M,0)</f>
        <v>311</v>
      </c>
    </row>
    <row r="150" spans="1:9" ht="14.4">
      <c r="A150" s="43" t="s">
        <v>1011</v>
      </c>
      <c r="B150" s="43" t="s">
        <v>1066</v>
      </c>
      <c r="C150" s="59" t="s">
        <v>1065</v>
      </c>
      <c r="D150" s="70"/>
      <c r="E150" s="60" t="s">
        <v>309</v>
      </c>
      <c r="F150" s="61" t="s">
        <v>1317</v>
      </c>
      <c r="G150" s="60" t="s">
        <v>1270</v>
      </c>
      <c r="H150" s="62" t="s">
        <v>80</v>
      </c>
      <c r="I150" s="46">
        <f>MATCH(B150,'Master_crosswalk '!M:M,0)</f>
        <v>313</v>
      </c>
    </row>
    <row r="151" spans="1:9" ht="14.4">
      <c r="A151" s="43" t="s">
        <v>1011</v>
      </c>
      <c r="B151" s="43" t="s">
        <v>1068</v>
      </c>
      <c r="C151" s="59" t="s">
        <v>1069</v>
      </c>
      <c r="D151" s="70"/>
      <c r="E151" s="60" t="s">
        <v>1287</v>
      </c>
      <c r="F151" s="61" t="s">
        <v>1318</v>
      </c>
      <c r="G151" s="60" t="s">
        <v>1266</v>
      </c>
      <c r="H151" s="62" t="s">
        <v>80</v>
      </c>
      <c r="I151" s="46">
        <f>MATCH(B151,'Master_crosswalk '!M:M,0)</f>
        <v>314</v>
      </c>
    </row>
    <row r="152" spans="1:9" ht="14.4">
      <c r="A152" s="43" t="s">
        <v>1011</v>
      </c>
      <c r="B152" s="43" t="s">
        <v>1071</v>
      </c>
      <c r="C152" s="59" t="s">
        <v>1070</v>
      </c>
      <c r="D152" s="70"/>
      <c r="E152" s="60" t="s">
        <v>1287</v>
      </c>
      <c r="F152" s="61" t="s">
        <v>1319</v>
      </c>
      <c r="G152" s="60" t="s">
        <v>1270</v>
      </c>
      <c r="H152" s="62" t="s">
        <v>80</v>
      </c>
      <c r="I152" s="46">
        <f>MATCH(B152,'Master_crosswalk '!M:M,0)</f>
        <v>315</v>
      </c>
    </row>
    <row r="153" spans="1:9" ht="14.4">
      <c r="A153" s="43" t="s">
        <v>1011</v>
      </c>
      <c r="B153" s="43" t="s">
        <v>1073</v>
      </c>
      <c r="C153" s="59" t="s">
        <v>1074</v>
      </c>
      <c r="D153" s="70"/>
      <c r="E153" s="60" t="s">
        <v>371</v>
      </c>
      <c r="F153" s="61" t="s">
        <v>1320</v>
      </c>
      <c r="G153" s="60" t="s">
        <v>1266</v>
      </c>
      <c r="H153" s="62" t="s">
        <v>80</v>
      </c>
      <c r="I153" s="46">
        <f>MATCH(B153,'Master_crosswalk '!M:M,0)</f>
        <v>316</v>
      </c>
    </row>
    <row r="154" spans="1:9" ht="14.4">
      <c r="A154" s="43" t="s">
        <v>1011</v>
      </c>
      <c r="B154" s="43" t="s">
        <v>1076</v>
      </c>
      <c r="C154" s="59" t="s">
        <v>1075</v>
      </c>
      <c r="D154" s="70"/>
      <c r="E154" s="60" t="s">
        <v>371</v>
      </c>
      <c r="F154" s="61" t="s">
        <v>1321</v>
      </c>
      <c r="G154" s="60" t="s">
        <v>1270</v>
      </c>
      <c r="H154" s="62" t="s">
        <v>80</v>
      </c>
      <c r="I154" s="46">
        <f>MATCH(B154,'Master_crosswalk '!M:M,0)</f>
        <v>317</v>
      </c>
    </row>
    <row r="155" spans="1:9" ht="14.4">
      <c r="A155" s="43" t="s">
        <v>1011</v>
      </c>
      <c r="B155" s="43" t="s">
        <v>1078</v>
      </c>
      <c r="C155" s="59" t="s">
        <v>1079</v>
      </c>
      <c r="D155" s="70"/>
      <c r="E155" s="60" t="s">
        <v>309</v>
      </c>
      <c r="F155" s="61" t="s">
        <v>1322</v>
      </c>
      <c r="G155" s="60" t="s">
        <v>1266</v>
      </c>
      <c r="H155" s="62" t="s">
        <v>80</v>
      </c>
      <c r="I155" s="46">
        <f>MATCH(B155,'Master_crosswalk '!M:M,0)</f>
        <v>318</v>
      </c>
    </row>
    <row r="156" spans="1:9" ht="14.4">
      <c r="A156" s="43" t="s">
        <v>1011</v>
      </c>
      <c r="B156" s="43" t="s">
        <v>1081</v>
      </c>
      <c r="C156" s="59" t="s">
        <v>1080</v>
      </c>
      <c r="D156" s="70"/>
      <c r="E156" s="60" t="s">
        <v>309</v>
      </c>
      <c r="F156" s="61" t="s">
        <v>1323</v>
      </c>
      <c r="G156" s="60" t="s">
        <v>1270</v>
      </c>
      <c r="H156" s="62" t="s">
        <v>80</v>
      </c>
      <c r="I156" s="46">
        <f>MATCH(B156,'Master_crosswalk '!M:M,0)</f>
        <v>319</v>
      </c>
    </row>
    <row r="157" spans="1:9" ht="14.4">
      <c r="A157" s="43" t="s">
        <v>1324</v>
      </c>
      <c r="B157" s="43" t="s">
        <v>861</v>
      </c>
      <c r="C157" s="44"/>
      <c r="D157" s="45"/>
      <c r="E157" s="44"/>
      <c r="F157" s="44"/>
      <c r="G157" s="44"/>
      <c r="H157" s="44"/>
      <c r="I157" s="46">
        <f>MATCH(B157,'Master_crosswalk '!M:M,0)</f>
        <v>231</v>
      </c>
    </row>
    <row r="158" spans="1:9" ht="14.4">
      <c r="A158" s="43" t="s">
        <v>1324</v>
      </c>
      <c r="B158" s="43" t="s">
        <v>867</v>
      </c>
      <c r="C158" s="44"/>
      <c r="D158" s="45"/>
      <c r="E158" s="44"/>
      <c r="F158" s="44"/>
      <c r="G158" s="44"/>
      <c r="H158" s="44"/>
      <c r="I158" s="46">
        <f>MATCH(B158,'Master_crosswalk '!M:M,0)</f>
        <v>232</v>
      </c>
    </row>
    <row r="159" spans="1:9" ht="14.4">
      <c r="A159" s="43" t="s">
        <v>1324</v>
      </c>
      <c r="B159" s="43" t="s">
        <v>873</v>
      </c>
      <c r="C159" s="44"/>
      <c r="D159" s="45"/>
      <c r="E159" s="44"/>
      <c r="F159" s="44"/>
      <c r="G159" s="44"/>
      <c r="H159" s="44"/>
      <c r="I159" s="46" t="e">
        <f>MATCH(B159,'Master_crosswalk '!M:M,0)</f>
        <v>#N/A</v>
      </c>
    </row>
    <row r="160" spans="1:9" ht="14.4">
      <c r="A160" s="43" t="s">
        <v>1324</v>
      </c>
      <c r="B160" s="43" t="s">
        <v>882</v>
      </c>
      <c r="C160" s="44"/>
      <c r="D160" s="45"/>
      <c r="E160" s="44"/>
      <c r="F160" s="44"/>
      <c r="G160" s="44"/>
      <c r="H160" s="44"/>
      <c r="I160" s="46" t="e">
        <f>MATCH(B160,'Master_crosswalk '!M:M,0)</f>
        <v>#N/A</v>
      </c>
    </row>
    <row r="161" spans="1:9" ht="14.4">
      <c r="A161" s="43" t="s">
        <v>1324</v>
      </c>
      <c r="B161" s="43" t="s">
        <v>889</v>
      </c>
      <c r="C161" s="44"/>
      <c r="D161" s="45"/>
      <c r="E161" s="44"/>
      <c r="F161" s="44"/>
      <c r="G161" s="44"/>
      <c r="H161" s="44"/>
      <c r="I161" s="46">
        <f>MATCH(B161,'Master_crosswalk '!M:M,0)</f>
        <v>239</v>
      </c>
    </row>
    <row r="162" spans="1:9" ht="14.4">
      <c r="A162" s="43" t="s">
        <v>1324</v>
      </c>
      <c r="B162" s="43" t="s">
        <v>891</v>
      </c>
      <c r="C162" s="44"/>
      <c r="D162" s="45"/>
      <c r="E162" s="44"/>
      <c r="F162" s="44"/>
      <c r="G162" s="44"/>
      <c r="H162" s="44"/>
      <c r="I162" s="46">
        <f>MATCH(B162,'Master_crosswalk '!M:M,0)</f>
        <v>240</v>
      </c>
    </row>
    <row r="163" spans="1:9" ht="14.4">
      <c r="A163" s="74"/>
      <c r="B163" s="74"/>
      <c r="D163" s="83"/>
    </row>
    <row r="164" spans="1:9" ht="14.4">
      <c r="A164" s="74"/>
      <c r="B164" s="74"/>
      <c r="D164" s="83"/>
    </row>
    <row r="165" spans="1:9" ht="14.4">
      <c r="A165" s="74"/>
      <c r="B165" s="74"/>
      <c r="D165" s="83"/>
    </row>
    <row r="166" spans="1:9" ht="14.4">
      <c r="A166" s="74"/>
      <c r="B166" s="74"/>
      <c r="D166" s="83"/>
    </row>
    <row r="167" spans="1:9" ht="14.4">
      <c r="A167" s="74"/>
      <c r="B167" s="74"/>
      <c r="D167" s="83"/>
    </row>
    <row r="168" spans="1:9" ht="14.4">
      <c r="A168" s="74"/>
      <c r="B168" s="74"/>
      <c r="D168" s="83"/>
    </row>
    <row r="169" spans="1:9" ht="14.4">
      <c r="A169" s="74"/>
      <c r="B169" s="74"/>
      <c r="D169" s="83"/>
    </row>
    <row r="170" spans="1:9" ht="14.4">
      <c r="A170" s="74"/>
      <c r="B170" s="74"/>
      <c r="D170" s="83"/>
    </row>
    <row r="171" spans="1:9" ht="14.4">
      <c r="A171" s="74"/>
      <c r="B171" s="74"/>
      <c r="D171" s="83"/>
    </row>
    <row r="172" spans="1:9" ht="14.4">
      <c r="A172" s="74"/>
      <c r="B172" s="74"/>
      <c r="D172" s="83"/>
    </row>
    <row r="173" spans="1:9" ht="14.4">
      <c r="A173" s="74"/>
      <c r="B173" s="74"/>
      <c r="D173" s="83"/>
    </row>
    <row r="174" spans="1:9" ht="14.4">
      <c r="A174" s="74"/>
      <c r="B174" s="74"/>
      <c r="D174" s="83"/>
    </row>
    <row r="175" spans="1:9" ht="14.4">
      <c r="A175" s="74"/>
      <c r="B175" s="74"/>
      <c r="D175" s="83"/>
    </row>
    <row r="176" spans="1:9" ht="14.4">
      <c r="A176" s="74"/>
      <c r="B176" s="74"/>
      <c r="D176" s="83"/>
    </row>
    <row r="177" spans="1:4" ht="14.4">
      <c r="A177" s="74"/>
      <c r="B177" s="74"/>
      <c r="D177" s="83"/>
    </row>
    <row r="178" spans="1:4" ht="14.4">
      <c r="A178" s="74"/>
      <c r="B178" s="74"/>
      <c r="D178" s="83"/>
    </row>
    <row r="179" spans="1:4" ht="14.4">
      <c r="A179" s="74"/>
      <c r="B179" s="74"/>
      <c r="D179" s="83"/>
    </row>
    <row r="180" spans="1:4" ht="14.4">
      <c r="A180" s="74"/>
      <c r="B180" s="74"/>
      <c r="D180" s="83"/>
    </row>
    <row r="181" spans="1:4" ht="14.4">
      <c r="A181" s="74"/>
      <c r="B181" s="74"/>
      <c r="D181" s="83"/>
    </row>
    <row r="182" spans="1:4" ht="14.4">
      <c r="A182" s="74"/>
      <c r="B182" s="74"/>
      <c r="D182" s="83"/>
    </row>
    <row r="183" spans="1:4" ht="14.4">
      <c r="A183" s="74"/>
      <c r="B183" s="74"/>
      <c r="D183" s="83"/>
    </row>
    <row r="184" spans="1:4" ht="14.4">
      <c r="A184" s="74"/>
      <c r="B184" s="74"/>
      <c r="D184" s="83"/>
    </row>
    <row r="185" spans="1:4" ht="14.4">
      <c r="A185" s="74"/>
      <c r="B185" s="74"/>
      <c r="D185" s="83"/>
    </row>
    <row r="186" spans="1:4" ht="14.4">
      <c r="A186" s="74"/>
      <c r="B186" s="74"/>
      <c r="D186" s="83"/>
    </row>
    <row r="187" spans="1:4" ht="14.4">
      <c r="A187" s="74"/>
      <c r="B187" s="74"/>
      <c r="D187" s="83"/>
    </row>
    <row r="188" spans="1:4" ht="14.4">
      <c r="A188" s="74"/>
      <c r="B188" s="74"/>
      <c r="D188" s="83"/>
    </row>
    <row r="189" spans="1:4" ht="14.4">
      <c r="A189" s="74"/>
      <c r="B189" s="74"/>
      <c r="D189" s="83"/>
    </row>
    <row r="190" spans="1:4" ht="14.4">
      <c r="A190" s="74"/>
      <c r="B190" s="74"/>
      <c r="D190" s="83"/>
    </row>
    <row r="191" spans="1:4" ht="14.4">
      <c r="A191" s="74"/>
      <c r="B191" s="74"/>
      <c r="D191" s="83"/>
    </row>
    <row r="192" spans="1:4" ht="14.4">
      <c r="A192" s="74"/>
      <c r="B192" s="74"/>
      <c r="D192" s="83"/>
    </row>
    <row r="193" spans="1:4" ht="14.4">
      <c r="A193" s="74"/>
      <c r="B193" s="74"/>
      <c r="D193" s="83"/>
    </row>
    <row r="194" spans="1:4" ht="14.4">
      <c r="A194" s="74"/>
      <c r="B194" s="74"/>
      <c r="D194" s="83"/>
    </row>
    <row r="195" spans="1:4" ht="14.4">
      <c r="A195" s="74"/>
      <c r="B195" s="74"/>
      <c r="D195" s="83"/>
    </row>
    <row r="196" spans="1:4" ht="14.4">
      <c r="A196" s="74"/>
      <c r="B196" s="74"/>
      <c r="D196" s="83"/>
    </row>
    <row r="197" spans="1:4" ht="14.4">
      <c r="A197" s="74"/>
      <c r="B197" s="74"/>
      <c r="D197" s="83"/>
    </row>
    <row r="198" spans="1:4" ht="14.4">
      <c r="A198" s="74"/>
      <c r="B198" s="74"/>
      <c r="D198" s="83"/>
    </row>
    <row r="199" spans="1:4" ht="14.4">
      <c r="A199" s="74"/>
      <c r="B199" s="74"/>
      <c r="D199" s="83"/>
    </row>
    <row r="200" spans="1:4" ht="14.4">
      <c r="A200" s="74"/>
      <c r="B200" s="74"/>
      <c r="D200" s="83"/>
    </row>
    <row r="201" spans="1:4" ht="14.4">
      <c r="A201" s="74"/>
      <c r="B201" s="74"/>
      <c r="D201" s="83"/>
    </row>
    <row r="202" spans="1:4" ht="14.4">
      <c r="A202" s="74"/>
      <c r="B202" s="74"/>
      <c r="D202" s="83"/>
    </row>
    <row r="203" spans="1:4" ht="14.4">
      <c r="A203" s="74"/>
      <c r="B203" s="74"/>
      <c r="D203" s="83"/>
    </row>
    <row r="204" spans="1:4" ht="14.4">
      <c r="A204" s="74"/>
      <c r="B204" s="74"/>
      <c r="D204" s="83"/>
    </row>
    <row r="205" spans="1:4" ht="14.4">
      <c r="A205" s="74"/>
      <c r="B205" s="74"/>
      <c r="D205" s="83"/>
    </row>
    <row r="206" spans="1:4" ht="14.4">
      <c r="A206" s="74"/>
      <c r="B206" s="74"/>
      <c r="D206" s="83"/>
    </row>
    <row r="207" spans="1:4" ht="14.4">
      <c r="A207" s="74"/>
      <c r="B207" s="74"/>
      <c r="D207" s="83"/>
    </row>
    <row r="208" spans="1:4" ht="14.4">
      <c r="A208" s="74"/>
      <c r="B208" s="74"/>
      <c r="D208" s="83"/>
    </row>
    <row r="209" spans="1:4" ht="14.4">
      <c r="A209" s="74"/>
      <c r="B209" s="74"/>
      <c r="D209" s="83"/>
    </row>
    <row r="210" spans="1:4" ht="14.4">
      <c r="A210" s="74"/>
      <c r="B210" s="74"/>
      <c r="D210" s="83"/>
    </row>
    <row r="211" spans="1:4" ht="14.4">
      <c r="B211" s="74"/>
      <c r="D211" s="83"/>
    </row>
    <row r="212" spans="1:4" ht="14.4">
      <c r="B212" s="74"/>
      <c r="D212" s="83"/>
    </row>
    <row r="213" spans="1:4" ht="14.4">
      <c r="B213" s="74"/>
      <c r="D213" s="83"/>
    </row>
    <row r="214" spans="1:4" ht="14.4">
      <c r="B214" s="74"/>
      <c r="D214" s="83"/>
    </row>
    <row r="215" spans="1:4" ht="14.4">
      <c r="B215" s="74"/>
      <c r="D215" s="83"/>
    </row>
    <row r="216" spans="1:4" ht="14.4">
      <c r="B216" s="74"/>
      <c r="D216" s="83"/>
    </row>
    <row r="217" spans="1:4" ht="14.4">
      <c r="B217" s="74"/>
      <c r="D217" s="83"/>
    </row>
    <row r="218" spans="1:4" ht="14.4">
      <c r="B218" s="74"/>
      <c r="D218" s="83"/>
    </row>
    <row r="219" spans="1:4" ht="14.4">
      <c r="B219" s="74"/>
      <c r="D219" s="83"/>
    </row>
    <row r="220" spans="1:4" ht="14.4">
      <c r="B220" s="74"/>
      <c r="D220" s="83"/>
    </row>
    <row r="221" spans="1:4" ht="14.4">
      <c r="B221" s="74"/>
      <c r="D221" s="83"/>
    </row>
    <row r="222" spans="1:4" ht="14.4">
      <c r="B222" s="74"/>
      <c r="D222" s="83"/>
    </row>
    <row r="223" spans="1:4" ht="14.4">
      <c r="B223" s="74"/>
      <c r="D223" s="83"/>
    </row>
    <row r="224" spans="1:4" ht="14.4">
      <c r="B224" s="74"/>
      <c r="D224" s="83"/>
    </row>
    <row r="225" spans="2:4" ht="14.4">
      <c r="B225" s="74"/>
      <c r="D225" s="83"/>
    </row>
    <row r="226" spans="2:4" ht="14.4">
      <c r="B226" s="74"/>
      <c r="D226" s="83"/>
    </row>
    <row r="227" spans="2:4" ht="14.4">
      <c r="B227" s="74"/>
      <c r="D227" s="83"/>
    </row>
    <row r="228" spans="2:4" ht="14.4">
      <c r="B228" s="74"/>
      <c r="D228" s="83"/>
    </row>
    <row r="229" spans="2:4" ht="14.4">
      <c r="B229" s="74"/>
      <c r="D229" s="83"/>
    </row>
    <row r="230" spans="2:4" ht="14.4">
      <c r="B230" s="74"/>
      <c r="D230" s="83"/>
    </row>
    <row r="231" spans="2:4" ht="14.4">
      <c r="B231" s="74"/>
      <c r="D231" s="83"/>
    </row>
    <row r="232" spans="2:4" ht="14.4">
      <c r="B232" s="74"/>
      <c r="D232" s="83"/>
    </row>
    <row r="233" spans="2:4" ht="14.4">
      <c r="B233" s="74"/>
      <c r="D233" s="83"/>
    </row>
    <row r="234" spans="2:4" ht="14.4">
      <c r="B234" s="74"/>
      <c r="D234" s="83"/>
    </row>
    <row r="235" spans="2:4" ht="14.4">
      <c r="B235" s="74"/>
      <c r="D235" s="83"/>
    </row>
    <row r="236" spans="2:4" ht="14.4">
      <c r="B236" s="74"/>
      <c r="D236" s="83"/>
    </row>
    <row r="237" spans="2:4" ht="14.4">
      <c r="B237" s="74"/>
      <c r="D237" s="83"/>
    </row>
    <row r="238" spans="2:4" ht="14.4">
      <c r="B238" s="74"/>
      <c r="D238" s="83"/>
    </row>
    <row r="239" spans="2:4" ht="14.4">
      <c r="B239" s="74"/>
      <c r="D239" s="83"/>
    </row>
    <row r="240" spans="2:4" ht="14.4">
      <c r="B240" s="74"/>
      <c r="D240" s="83"/>
    </row>
    <row r="241" spans="2:4" ht="14.4">
      <c r="B241" s="74"/>
      <c r="D241" s="83"/>
    </row>
    <row r="242" spans="2:4" ht="14.4">
      <c r="B242" s="74"/>
      <c r="D242" s="83"/>
    </row>
    <row r="243" spans="2:4" ht="14.4">
      <c r="B243" s="74"/>
      <c r="D243" s="83"/>
    </row>
    <row r="244" spans="2:4" ht="14.4">
      <c r="B244" s="74"/>
      <c r="D244" s="83"/>
    </row>
    <row r="245" spans="2:4" ht="14.4">
      <c r="B245" s="74"/>
      <c r="D245" s="83"/>
    </row>
    <row r="246" spans="2:4" ht="14.4">
      <c r="B246" s="74"/>
      <c r="D246" s="83"/>
    </row>
    <row r="247" spans="2:4" ht="14.4">
      <c r="B247" s="74"/>
      <c r="D247" s="83"/>
    </row>
    <row r="248" spans="2:4" ht="14.4">
      <c r="B248" s="74"/>
      <c r="D248" s="83"/>
    </row>
    <row r="249" spans="2:4" ht="14.4">
      <c r="B249" s="74"/>
      <c r="D249" s="83"/>
    </row>
    <row r="250" spans="2:4" ht="14.4">
      <c r="B250" s="74"/>
      <c r="D250" s="83"/>
    </row>
    <row r="251" spans="2:4" ht="14.4">
      <c r="B251" s="74"/>
      <c r="D251" s="83"/>
    </row>
    <row r="252" spans="2:4" ht="14.4">
      <c r="B252" s="74"/>
      <c r="D252" s="83"/>
    </row>
    <row r="253" spans="2:4" ht="14.4">
      <c r="B253" s="74"/>
      <c r="D253" s="83"/>
    </row>
    <row r="254" spans="2:4" ht="14.4">
      <c r="B254" s="74"/>
      <c r="D254" s="83"/>
    </row>
    <row r="255" spans="2:4" ht="14.4">
      <c r="B255" s="74"/>
      <c r="D255" s="83"/>
    </row>
    <row r="256" spans="2:4" ht="14.4">
      <c r="B256" s="74"/>
      <c r="D256" s="83"/>
    </row>
    <row r="257" spans="2:4" ht="14.4">
      <c r="B257" s="74"/>
      <c r="D257" s="83"/>
    </row>
    <row r="258" spans="2:4" ht="14.4">
      <c r="B258" s="74"/>
      <c r="D258" s="83"/>
    </row>
    <row r="259" spans="2:4" ht="14.4">
      <c r="B259" s="74"/>
      <c r="D259" s="83"/>
    </row>
    <row r="260" spans="2:4" ht="14.4">
      <c r="B260" s="74"/>
      <c r="D260" s="83"/>
    </row>
    <row r="261" spans="2:4" ht="14.4">
      <c r="B261" s="74"/>
      <c r="D261" s="83"/>
    </row>
    <row r="262" spans="2:4" ht="14.4">
      <c r="B262" s="74"/>
      <c r="D262" s="83"/>
    </row>
    <row r="263" spans="2:4" ht="15.75" customHeight="1">
      <c r="D263" s="83"/>
    </row>
    <row r="264" spans="2:4" ht="15.75" customHeight="1">
      <c r="D264" s="83"/>
    </row>
    <row r="265" spans="2:4" ht="15.75" customHeight="1">
      <c r="D265" s="83"/>
    </row>
    <row r="266" spans="2:4" ht="15.75" customHeight="1">
      <c r="D266" s="83"/>
    </row>
    <row r="267" spans="2:4" ht="15.75" customHeight="1">
      <c r="D267" s="83"/>
    </row>
    <row r="268" spans="2:4" ht="15.75" customHeight="1">
      <c r="D268" s="83"/>
    </row>
    <row r="269" spans="2:4" ht="15.75" customHeight="1">
      <c r="D269" s="83"/>
    </row>
    <row r="270" spans="2:4" ht="15.75" customHeight="1">
      <c r="D270" s="83"/>
    </row>
    <row r="271" spans="2:4" ht="15.75" customHeight="1">
      <c r="D271" s="83"/>
    </row>
    <row r="272" spans="2:4" ht="15.75" customHeight="1">
      <c r="D272" s="83"/>
    </row>
    <row r="273" spans="4:4" ht="15.75" customHeight="1">
      <c r="D273" s="83"/>
    </row>
    <row r="274" spans="4:4" ht="15.75" customHeight="1">
      <c r="D274" s="83"/>
    </row>
    <row r="275" spans="4:4" ht="15.75" customHeight="1">
      <c r="D275" s="83"/>
    </row>
    <row r="276" spans="4:4" ht="15.75" customHeight="1">
      <c r="D276" s="83"/>
    </row>
    <row r="277" spans="4:4" ht="15.75" customHeight="1">
      <c r="D277" s="83"/>
    </row>
    <row r="278" spans="4:4" ht="15.75" customHeight="1">
      <c r="D278" s="83"/>
    </row>
    <row r="279" spans="4:4" ht="15.75" customHeight="1">
      <c r="D279" s="83"/>
    </row>
    <row r="280" spans="4:4" ht="15.75" customHeight="1">
      <c r="D280" s="83"/>
    </row>
    <row r="281" spans="4:4" ht="15.75" customHeight="1">
      <c r="D281" s="83"/>
    </row>
    <row r="282" spans="4:4" ht="15.75" customHeight="1">
      <c r="D282" s="83"/>
    </row>
    <row r="283" spans="4:4" ht="15.75" customHeight="1">
      <c r="D283" s="83"/>
    </row>
    <row r="284" spans="4:4" ht="15.75" customHeight="1">
      <c r="D284" s="83"/>
    </row>
    <row r="285" spans="4:4" ht="15.75" customHeight="1">
      <c r="D285" s="83"/>
    </row>
    <row r="286" spans="4:4" ht="15.75" customHeight="1">
      <c r="D286" s="83"/>
    </row>
    <row r="287" spans="4:4" ht="15.75" customHeight="1">
      <c r="D287" s="83"/>
    </row>
    <row r="288" spans="4:4" ht="15.75" customHeight="1">
      <c r="D288" s="83"/>
    </row>
    <row r="289" spans="4:4" ht="15.75" customHeight="1">
      <c r="D289" s="83"/>
    </row>
    <row r="290" spans="4:4" ht="15.75" customHeight="1">
      <c r="D290" s="83"/>
    </row>
    <row r="291" spans="4:4" ht="15.75" customHeight="1">
      <c r="D291" s="83"/>
    </row>
    <row r="292" spans="4:4" ht="15.75" customHeight="1">
      <c r="D292" s="83"/>
    </row>
    <row r="293" spans="4:4" ht="15.75" customHeight="1">
      <c r="D293" s="83"/>
    </row>
    <row r="294" spans="4:4" ht="15.75" customHeight="1">
      <c r="D294" s="83"/>
    </row>
    <row r="295" spans="4:4" ht="15.75" customHeight="1">
      <c r="D295" s="83"/>
    </row>
    <row r="296" spans="4:4" ht="15.75" customHeight="1">
      <c r="D296" s="83"/>
    </row>
    <row r="297" spans="4:4" ht="15.75" customHeight="1">
      <c r="D297" s="83"/>
    </row>
    <row r="298" spans="4:4" ht="15.75" customHeight="1">
      <c r="D298" s="83"/>
    </row>
    <row r="299" spans="4:4" ht="15.75" customHeight="1">
      <c r="D299" s="83"/>
    </row>
    <row r="300" spans="4:4" ht="15.75" customHeight="1">
      <c r="D300" s="83"/>
    </row>
    <row r="301" spans="4:4" ht="15.75" customHeight="1">
      <c r="D301" s="83"/>
    </row>
    <row r="302" spans="4:4" ht="15.75" customHeight="1">
      <c r="D302" s="83"/>
    </row>
    <row r="303" spans="4:4" ht="15.75" customHeight="1">
      <c r="D303" s="83"/>
    </row>
    <row r="304" spans="4:4" ht="15.75" customHeight="1">
      <c r="D304" s="83"/>
    </row>
    <row r="305" spans="4:4" ht="15.75" customHeight="1">
      <c r="D305" s="83"/>
    </row>
    <row r="306" spans="4:4" ht="15.75" customHeight="1">
      <c r="D306" s="83"/>
    </row>
    <row r="307" spans="4:4" ht="15.75" customHeight="1">
      <c r="D307" s="83"/>
    </row>
    <row r="308" spans="4:4" ht="15.75" customHeight="1">
      <c r="D308" s="83"/>
    </row>
    <row r="309" spans="4:4" ht="15.75" customHeight="1">
      <c r="D309" s="83"/>
    </row>
    <row r="310" spans="4:4" ht="15.75" customHeight="1">
      <c r="D310" s="83"/>
    </row>
    <row r="311" spans="4:4" ht="15.75" customHeight="1">
      <c r="D311" s="83"/>
    </row>
    <row r="312" spans="4:4" ht="15.75" customHeight="1">
      <c r="D312" s="83"/>
    </row>
    <row r="313" spans="4:4" ht="15.75" customHeight="1">
      <c r="D313" s="83"/>
    </row>
    <row r="314" spans="4:4" ht="15.75" customHeight="1">
      <c r="D314" s="83"/>
    </row>
    <row r="315" spans="4:4" ht="15.75" customHeight="1">
      <c r="D315" s="83"/>
    </row>
    <row r="316" spans="4:4" ht="15.75" customHeight="1">
      <c r="D316" s="83"/>
    </row>
    <row r="317" spans="4:4" ht="15.75" customHeight="1">
      <c r="D317" s="83"/>
    </row>
    <row r="318" spans="4:4" ht="15.75" customHeight="1">
      <c r="D318" s="83"/>
    </row>
    <row r="319" spans="4:4" ht="15.75" customHeight="1">
      <c r="D319" s="83"/>
    </row>
    <row r="320" spans="4:4" ht="15.75" customHeight="1">
      <c r="D320" s="83"/>
    </row>
    <row r="321" spans="4:4" ht="15.75" customHeight="1">
      <c r="D321" s="83"/>
    </row>
    <row r="322" spans="4:4" ht="15.75" customHeight="1">
      <c r="D322" s="83"/>
    </row>
    <row r="323" spans="4:4" ht="15.75" customHeight="1">
      <c r="D323" s="83"/>
    </row>
    <row r="324" spans="4:4" ht="15.75" customHeight="1">
      <c r="D324" s="83"/>
    </row>
    <row r="325" spans="4:4" ht="15.75" customHeight="1">
      <c r="D325" s="83"/>
    </row>
    <row r="326" spans="4:4" ht="15.75" customHeight="1">
      <c r="D326" s="83"/>
    </row>
    <row r="327" spans="4:4" ht="15.75" customHeight="1">
      <c r="D327" s="83"/>
    </row>
    <row r="328" spans="4:4" ht="15.75" customHeight="1">
      <c r="D328" s="83"/>
    </row>
    <row r="329" spans="4:4" ht="15.75" customHeight="1">
      <c r="D329" s="83"/>
    </row>
    <row r="330" spans="4:4" ht="15.75" customHeight="1">
      <c r="D330" s="83"/>
    </row>
    <row r="331" spans="4:4" ht="15.75" customHeight="1">
      <c r="D331" s="83"/>
    </row>
    <row r="332" spans="4:4" ht="15.75" customHeight="1">
      <c r="D332" s="83"/>
    </row>
    <row r="333" spans="4:4" ht="15.75" customHeight="1">
      <c r="D333" s="83"/>
    </row>
    <row r="334" spans="4:4" ht="15.75" customHeight="1">
      <c r="D334" s="83"/>
    </row>
    <row r="335" spans="4:4" ht="15.75" customHeight="1">
      <c r="D335" s="83"/>
    </row>
    <row r="336" spans="4:4" ht="15.75" customHeight="1">
      <c r="D336" s="83"/>
    </row>
    <row r="337" spans="4:4" ht="15.75" customHeight="1">
      <c r="D337" s="83"/>
    </row>
    <row r="338" spans="4:4" ht="15.75" customHeight="1">
      <c r="D338" s="83"/>
    </row>
    <row r="339" spans="4:4" ht="15.75" customHeight="1">
      <c r="D339" s="83"/>
    </row>
    <row r="340" spans="4:4" ht="15.75" customHeight="1">
      <c r="D340" s="83"/>
    </row>
    <row r="341" spans="4:4" ht="15.75" customHeight="1">
      <c r="D341" s="83"/>
    </row>
    <row r="342" spans="4:4" ht="15.75" customHeight="1">
      <c r="D342" s="83"/>
    </row>
    <row r="343" spans="4:4" ht="15.75" customHeight="1">
      <c r="D343" s="83"/>
    </row>
    <row r="344" spans="4:4" ht="15.75" customHeight="1">
      <c r="D344" s="83"/>
    </row>
    <row r="345" spans="4:4" ht="15.75" customHeight="1">
      <c r="D345" s="83"/>
    </row>
    <row r="346" spans="4:4" ht="15.75" customHeight="1">
      <c r="D346" s="83"/>
    </row>
    <row r="347" spans="4:4" ht="15.75" customHeight="1">
      <c r="D347" s="83"/>
    </row>
    <row r="348" spans="4:4" ht="15.75" customHeight="1">
      <c r="D348" s="83"/>
    </row>
    <row r="349" spans="4:4" ht="15.75" customHeight="1">
      <c r="D349" s="83"/>
    </row>
    <row r="350" spans="4:4" ht="15.75" customHeight="1">
      <c r="D350" s="83"/>
    </row>
    <row r="351" spans="4:4" ht="15.75" customHeight="1">
      <c r="D351" s="83"/>
    </row>
    <row r="352" spans="4:4" ht="15.75" customHeight="1">
      <c r="D352" s="83"/>
    </row>
    <row r="353" spans="4:4" ht="15.75" customHeight="1">
      <c r="D353" s="83"/>
    </row>
    <row r="354" spans="4:4" ht="15.75" customHeight="1">
      <c r="D354" s="83"/>
    </row>
    <row r="355" spans="4:4" ht="15.75" customHeight="1">
      <c r="D355" s="83"/>
    </row>
    <row r="356" spans="4:4" ht="15.75" customHeight="1">
      <c r="D356" s="83"/>
    </row>
    <row r="357" spans="4:4" ht="15.75" customHeight="1">
      <c r="D357" s="83"/>
    </row>
    <row r="358" spans="4:4" ht="15.75" customHeight="1">
      <c r="D358" s="83"/>
    </row>
    <row r="359" spans="4:4" ht="15.75" customHeight="1">
      <c r="D359" s="83"/>
    </row>
    <row r="360" spans="4:4" ht="15.75" customHeight="1">
      <c r="D360" s="83"/>
    </row>
    <row r="361" spans="4:4" ht="15.75" customHeight="1">
      <c r="D361" s="83"/>
    </row>
    <row r="362" spans="4:4" ht="15.75" customHeight="1">
      <c r="D362" s="83"/>
    </row>
    <row r="363" spans="4:4" ht="15.75" customHeight="1">
      <c r="D363" s="83"/>
    </row>
    <row r="364" spans="4:4" ht="15.75" customHeight="1">
      <c r="D364" s="83"/>
    </row>
    <row r="365" spans="4:4" ht="15.75" customHeight="1">
      <c r="D365" s="83"/>
    </row>
    <row r="366" spans="4:4" ht="15.75" customHeight="1">
      <c r="D366" s="83"/>
    </row>
    <row r="367" spans="4:4" ht="15.75" customHeight="1">
      <c r="D367" s="83"/>
    </row>
    <row r="368" spans="4:4" ht="15.75" customHeight="1">
      <c r="D368" s="83"/>
    </row>
    <row r="369" spans="4:4" ht="15.75" customHeight="1">
      <c r="D369" s="83"/>
    </row>
    <row r="370" spans="4:4" ht="15.75" customHeight="1">
      <c r="D370" s="83"/>
    </row>
    <row r="371" spans="4:4" ht="15.75" customHeight="1">
      <c r="D371" s="83"/>
    </row>
    <row r="372" spans="4:4" ht="15.75" customHeight="1">
      <c r="D372" s="83"/>
    </row>
    <row r="373" spans="4:4" ht="15.75" customHeight="1">
      <c r="D373" s="83"/>
    </row>
    <row r="374" spans="4:4" ht="15.75" customHeight="1">
      <c r="D374" s="83"/>
    </row>
    <row r="375" spans="4:4" ht="15.75" customHeight="1">
      <c r="D375" s="83"/>
    </row>
    <row r="376" spans="4:4" ht="15.75" customHeight="1">
      <c r="D376" s="83"/>
    </row>
    <row r="377" spans="4:4" ht="15.75" customHeight="1">
      <c r="D377" s="83"/>
    </row>
    <row r="378" spans="4:4" ht="15.75" customHeight="1">
      <c r="D378" s="83"/>
    </row>
    <row r="379" spans="4:4" ht="15.75" customHeight="1">
      <c r="D379" s="83"/>
    </row>
    <row r="380" spans="4:4" ht="15.75" customHeight="1">
      <c r="D380" s="83"/>
    </row>
    <row r="381" spans="4:4" ht="15.75" customHeight="1">
      <c r="D381" s="83"/>
    </row>
    <row r="382" spans="4:4" ht="15.75" customHeight="1">
      <c r="D382" s="83"/>
    </row>
    <row r="383" spans="4:4" ht="15.75" customHeight="1">
      <c r="D383" s="83"/>
    </row>
    <row r="384" spans="4:4" ht="15.75" customHeight="1">
      <c r="D384" s="83"/>
    </row>
    <row r="385" spans="4:4" ht="15.75" customHeight="1">
      <c r="D385" s="83"/>
    </row>
    <row r="386" spans="4:4" ht="15.75" customHeight="1">
      <c r="D386" s="83"/>
    </row>
    <row r="387" spans="4:4" ht="15.75" customHeight="1">
      <c r="D387" s="83"/>
    </row>
    <row r="388" spans="4:4" ht="15.75" customHeight="1">
      <c r="D388" s="83"/>
    </row>
    <row r="389" spans="4:4" ht="15.75" customHeight="1">
      <c r="D389" s="83"/>
    </row>
    <row r="390" spans="4:4" ht="15.75" customHeight="1">
      <c r="D390" s="83"/>
    </row>
    <row r="391" spans="4:4" ht="15.75" customHeight="1">
      <c r="D391" s="83"/>
    </row>
    <row r="392" spans="4:4" ht="15.75" customHeight="1">
      <c r="D392" s="83"/>
    </row>
    <row r="393" spans="4:4" ht="15.75" customHeight="1">
      <c r="D393" s="83"/>
    </row>
    <row r="394" spans="4:4" ht="15.75" customHeight="1">
      <c r="D394" s="83"/>
    </row>
    <row r="395" spans="4:4" ht="15.75" customHeight="1">
      <c r="D395" s="83"/>
    </row>
    <row r="396" spans="4:4" ht="15.75" customHeight="1">
      <c r="D396" s="83"/>
    </row>
    <row r="397" spans="4:4" ht="15.75" customHeight="1">
      <c r="D397" s="83"/>
    </row>
    <row r="398" spans="4:4" ht="15.75" customHeight="1">
      <c r="D398" s="83"/>
    </row>
    <row r="399" spans="4:4" ht="15.75" customHeight="1">
      <c r="D399" s="83"/>
    </row>
    <row r="400" spans="4:4" ht="15.75" customHeight="1">
      <c r="D400" s="83"/>
    </row>
    <row r="401" spans="4:4" ht="15.75" customHeight="1">
      <c r="D401" s="83"/>
    </row>
    <row r="402" spans="4:4" ht="15.75" customHeight="1">
      <c r="D402" s="83"/>
    </row>
    <row r="403" spans="4:4" ht="15.75" customHeight="1">
      <c r="D403" s="83"/>
    </row>
    <row r="404" spans="4:4" ht="15.75" customHeight="1">
      <c r="D404" s="83"/>
    </row>
    <row r="405" spans="4:4" ht="15.75" customHeight="1">
      <c r="D405" s="83"/>
    </row>
    <row r="406" spans="4:4" ht="15.75" customHeight="1">
      <c r="D406" s="83"/>
    </row>
    <row r="407" spans="4:4" ht="15.75" customHeight="1">
      <c r="D407" s="83"/>
    </row>
    <row r="408" spans="4:4" ht="15.75" customHeight="1">
      <c r="D408" s="83"/>
    </row>
    <row r="409" spans="4:4" ht="15.75" customHeight="1">
      <c r="D409" s="83"/>
    </row>
    <row r="410" spans="4:4" ht="15.75" customHeight="1">
      <c r="D410" s="83"/>
    </row>
    <row r="411" spans="4:4" ht="15.75" customHeight="1">
      <c r="D411" s="83"/>
    </row>
    <row r="412" spans="4:4" ht="15.75" customHeight="1">
      <c r="D412" s="83"/>
    </row>
    <row r="413" spans="4:4" ht="15.75" customHeight="1">
      <c r="D413" s="83"/>
    </row>
    <row r="414" spans="4:4" ht="15.75" customHeight="1">
      <c r="D414" s="83"/>
    </row>
    <row r="415" spans="4:4" ht="15.75" customHeight="1">
      <c r="D415" s="83"/>
    </row>
    <row r="416" spans="4:4" ht="15.75" customHeight="1">
      <c r="D416" s="83"/>
    </row>
    <row r="417" spans="4:4" ht="15.75" customHeight="1">
      <c r="D417" s="83"/>
    </row>
    <row r="418" spans="4:4" ht="15.75" customHeight="1">
      <c r="D418" s="83"/>
    </row>
    <row r="419" spans="4:4" ht="15.75" customHeight="1">
      <c r="D419" s="83"/>
    </row>
    <row r="420" spans="4:4" ht="15.75" customHeight="1">
      <c r="D420" s="83"/>
    </row>
    <row r="421" spans="4:4" ht="15.75" customHeight="1">
      <c r="D421" s="83"/>
    </row>
    <row r="422" spans="4:4" ht="15.75" customHeight="1">
      <c r="D422" s="83"/>
    </row>
    <row r="423" spans="4:4" ht="15.75" customHeight="1">
      <c r="D423" s="83"/>
    </row>
    <row r="424" spans="4:4" ht="15.75" customHeight="1">
      <c r="D424" s="83"/>
    </row>
    <row r="425" spans="4:4" ht="15.75" customHeight="1">
      <c r="D425" s="83"/>
    </row>
    <row r="426" spans="4:4" ht="15.75" customHeight="1">
      <c r="D426" s="83"/>
    </row>
    <row r="427" spans="4:4" ht="15.75" customHeight="1">
      <c r="D427" s="83"/>
    </row>
    <row r="428" spans="4:4" ht="15.75" customHeight="1">
      <c r="D428" s="83"/>
    </row>
    <row r="429" spans="4:4" ht="15.75" customHeight="1">
      <c r="D429" s="83"/>
    </row>
    <row r="430" spans="4:4" ht="15.75" customHeight="1">
      <c r="D430" s="83"/>
    </row>
    <row r="431" spans="4:4" ht="15.75" customHeight="1">
      <c r="D431" s="83"/>
    </row>
    <row r="432" spans="4:4" ht="15.75" customHeight="1">
      <c r="D432" s="83"/>
    </row>
    <row r="433" spans="4:4" ht="15.75" customHeight="1">
      <c r="D433" s="83"/>
    </row>
    <row r="434" spans="4:4" ht="15.75" customHeight="1">
      <c r="D434" s="83"/>
    </row>
    <row r="435" spans="4:4" ht="15.75" customHeight="1">
      <c r="D435" s="83"/>
    </row>
    <row r="436" spans="4:4" ht="15.75" customHeight="1">
      <c r="D436" s="83"/>
    </row>
    <row r="437" spans="4:4" ht="15.75" customHeight="1">
      <c r="D437" s="83"/>
    </row>
    <row r="438" spans="4:4" ht="15.75" customHeight="1">
      <c r="D438" s="83"/>
    </row>
    <row r="439" spans="4:4" ht="15.75" customHeight="1">
      <c r="D439" s="83"/>
    </row>
    <row r="440" spans="4:4" ht="15.75" customHeight="1">
      <c r="D440" s="83"/>
    </row>
    <row r="441" spans="4:4" ht="15.75" customHeight="1">
      <c r="D441" s="83"/>
    </row>
    <row r="442" spans="4:4" ht="15.75" customHeight="1">
      <c r="D442" s="83"/>
    </row>
    <row r="443" spans="4:4" ht="15.75" customHeight="1">
      <c r="D443" s="83"/>
    </row>
    <row r="444" spans="4:4" ht="15.75" customHeight="1">
      <c r="D444" s="83"/>
    </row>
    <row r="445" spans="4:4" ht="15.75" customHeight="1">
      <c r="D445" s="83"/>
    </row>
    <row r="446" spans="4:4" ht="15.75" customHeight="1">
      <c r="D446" s="83"/>
    </row>
    <row r="447" spans="4:4" ht="15.75" customHeight="1">
      <c r="D447" s="83"/>
    </row>
    <row r="448" spans="4:4" ht="15.75" customHeight="1">
      <c r="D448" s="83"/>
    </row>
    <row r="449" spans="4:4" ht="15.75" customHeight="1">
      <c r="D449" s="83"/>
    </row>
    <row r="450" spans="4:4" ht="15.75" customHeight="1">
      <c r="D450" s="83"/>
    </row>
    <row r="451" spans="4:4" ht="15.75" customHeight="1">
      <c r="D451" s="83"/>
    </row>
    <row r="452" spans="4:4" ht="15.75" customHeight="1">
      <c r="D452" s="83"/>
    </row>
    <row r="453" spans="4:4" ht="15.75" customHeight="1">
      <c r="D453" s="83"/>
    </row>
    <row r="454" spans="4:4" ht="15.75" customHeight="1">
      <c r="D454" s="83"/>
    </row>
    <row r="455" spans="4:4" ht="15.75" customHeight="1">
      <c r="D455" s="83"/>
    </row>
    <row r="456" spans="4:4" ht="15.75" customHeight="1">
      <c r="D456" s="83"/>
    </row>
    <row r="457" spans="4:4" ht="15.75" customHeight="1">
      <c r="D457" s="83"/>
    </row>
    <row r="458" spans="4:4" ht="15.75" customHeight="1">
      <c r="D458" s="83"/>
    </row>
    <row r="459" spans="4:4" ht="15.75" customHeight="1">
      <c r="D459" s="83"/>
    </row>
    <row r="460" spans="4:4" ht="15.75" customHeight="1">
      <c r="D460" s="83"/>
    </row>
    <row r="461" spans="4:4" ht="15.75" customHeight="1">
      <c r="D461" s="83"/>
    </row>
    <row r="462" spans="4:4" ht="15.75" customHeight="1">
      <c r="D462" s="83"/>
    </row>
    <row r="463" spans="4:4" ht="15.75" customHeight="1">
      <c r="D463" s="83"/>
    </row>
    <row r="464" spans="4:4" ht="15.75" customHeight="1">
      <c r="D464" s="83"/>
    </row>
    <row r="465" spans="4:4" ht="15.75" customHeight="1">
      <c r="D465" s="83"/>
    </row>
    <row r="466" spans="4:4" ht="15.75" customHeight="1">
      <c r="D466" s="83"/>
    </row>
    <row r="467" spans="4:4" ht="15.75" customHeight="1">
      <c r="D467" s="83"/>
    </row>
    <row r="468" spans="4:4" ht="15.75" customHeight="1">
      <c r="D468" s="83"/>
    </row>
    <row r="469" spans="4:4" ht="15.75" customHeight="1">
      <c r="D469" s="83"/>
    </row>
    <row r="470" spans="4:4" ht="15.75" customHeight="1">
      <c r="D470" s="83"/>
    </row>
    <row r="471" spans="4:4" ht="15.75" customHeight="1">
      <c r="D471" s="83"/>
    </row>
    <row r="472" spans="4:4" ht="15.75" customHeight="1">
      <c r="D472" s="83"/>
    </row>
    <row r="473" spans="4:4" ht="15.75" customHeight="1">
      <c r="D473" s="83"/>
    </row>
    <row r="474" spans="4:4" ht="15.75" customHeight="1">
      <c r="D474" s="83"/>
    </row>
    <row r="475" spans="4:4" ht="15.75" customHeight="1">
      <c r="D475" s="83"/>
    </row>
    <row r="476" spans="4:4" ht="15.75" customHeight="1">
      <c r="D476" s="83"/>
    </row>
    <row r="477" spans="4:4" ht="15.75" customHeight="1">
      <c r="D477" s="83"/>
    </row>
    <row r="478" spans="4:4" ht="15.75" customHeight="1">
      <c r="D478" s="83"/>
    </row>
    <row r="479" spans="4:4" ht="15.75" customHeight="1">
      <c r="D479" s="83"/>
    </row>
    <row r="480" spans="4:4" ht="15.75" customHeight="1">
      <c r="D480" s="83"/>
    </row>
    <row r="481" spans="4:4" ht="15.75" customHeight="1">
      <c r="D481" s="83"/>
    </row>
    <row r="482" spans="4:4" ht="15.75" customHeight="1">
      <c r="D482" s="83"/>
    </row>
    <row r="483" spans="4:4" ht="15.75" customHeight="1">
      <c r="D483" s="83"/>
    </row>
    <row r="484" spans="4:4" ht="15.75" customHeight="1">
      <c r="D484" s="83"/>
    </row>
    <row r="485" spans="4:4" ht="15.75" customHeight="1">
      <c r="D485" s="83"/>
    </row>
    <row r="486" spans="4:4" ht="15.75" customHeight="1">
      <c r="D486" s="83"/>
    </row>
    <row r="487" spans="4:4" ht="15.75" customHeight="1">
      <c r="D487" s="83"/>
    </row>
    <row r="488" spans="4:4" ht="15.75" customHeight="1">
      <c r="D488" s="83"/>
    </row>
    <row r="489" spans="4:4" ht="15.75" customHeight="1">
      <c r="D489" s="83"/>
    </row>
    <row r="490" spans="4:4" ht="15.75" customHeight="1">
      <c r="D490" s="83"/>
    </row>
    <row r="491" spans="4:4" ht="15.75" customHeight="1">
      <c r="D491" s="83"/>
    </row>
    <row r="492" spans="4:4" ht="15.75" customHeight="1">
      <c r="D492" s="83"/>
    </row>
    <row r="493" spans="4:4" ht="15.75" customHeight="1">
      <c r="D493" s="83"/>
    </row>
    <row r="494" spans="4:4" ht="15.75" customHeight="1">
      <c r="D494" s="83"/>
    </row>
    <row r="495" spans="4:4" ht="15.75" customHeight="1">
      <c r="D495" s="83"/>
    </row>
    <row r="496" spans="4:4" ht="15.75" customHeight="1">
      <c r="D496" s="83"/>
    </row>
    <row r="497" spans="4:4" ht="15.75" customHeight="1">
      <c r="D497" s="83"/>
    </row>
    <row r="498" spans="4:4" ht="15.75" customHeight="1">
      <c r="D498" s="83"/>
    </row>
    <row r="499" spans="4:4" ht="15.75" customHeight="1">
      <c r="D499" s="83"/>
    </row>
    <row r="500" spans="4:4" ht="15.75" customHeight="1">
      <c r="D500" s="83"/>
    </row>
    <row r="501" spans="4:4" ht="15.75" customHeight="1">
      <c r="D501" s="83"/>
    </row>
    <row r="502" spans="4:4" ht="15.75" customHeight="1">
      <c r="D502" s="83"/>
    </row>
    <row r="503" spans="4:4" ht="15.75" customHeight="1">
      <c r="D503" s="83"/>
    </row>
    <row r="504" spans="4:4" ht="15.75" customHeight="1">
      <c r="D504" s="83"/>
    </row>
    <row r="505" spans="4:4" ht="15.75" customHeight="1">
      <c r="D505" s="83"/>
    </row>
    <row r="506" spans="4:4" ht="15.75" customHeight="1">
      <c r="D506" s="83"/>
    </row>
    <row r="507" spans="4:4" ht="15.75" customHeight="1">
      <c r="D507" s="83"/>
    </row>
    <row r="508" spans="4:4" ht="15.75" customHeight="1">
      <c r="D508" s="83"/>
    </row>
    <row r="509" spans="4:4" ht="15.75" customHeight="1">
      <c r="D509" s="83"/>
    </row>
    <row r="510" spans="4:4" ht="15.75" customHeight="1">
      <c r="D510" s="83"/>
    </row>
    <row r="511" spans="4:4" ht="15.75" customHeight="1">
      <c r="D511" s="83"/>
    </row>
    <row r="512" spans="4:4" ht="15.75" customHeight="1">
      <c r="D512" s="83"/>
    </row>
    <row r="513" spans="4:4" ht="15.75" customHeight="1">
      <c r="D513" s="83"/>
    </row>
    <row r="514" spans="4:4" ht="15.75" customHeight="1">
      <c r="D514" s="83"/>
    </row>
    <row r="515" spans="4:4" ht="15.75" customHeight="1">
      <c r="D515" s="83"/>
    </row>
    <row r="516" spans="4:4" ht="15.75" customHeight="1">
      <c r="D516" s="83"/>
    </row>
    <row r="517" spans="4:4" ht="15.75" customHeight="1">
      <c r="D517" s="83"/>
    </row>
    <row r="518" spans="4:4" ht="15.75" customHeight="1">
      <c r="D518" s="83"/>
    </row>
    <row r="519" spans="4:4" ht="15.75" customHeight="1">
      <c r="D519" s="83"/>
    </row>
    <row r="520" spans="4:4" ht="15.75" customHeight="1">
      <c r="D520" s="83"/>
    </row>
    <row r="521" spans="4:4" ht="15.75" customHeight="1">
      <c r="D521" s="83"/>
    </row>
    <row r="522" spans="4:4" ht="15.75" customHeight="1">
      <c r="D522" s="83"/>
    </row>
    <row r="523" spans="4:4" ht="15.75" customHeight="1">
      <c r="D523" s="83"/>
    </row>
    <row r="524" spans="4:4" ht="15.75" customHeight="1">
      <c r="D524" s="83"/>
    </row>
    <row r="525" spans="4:4" ht="15.75" customHeight="1">
      <c r="D525" s="83"/>
    </row>
    <row r="526" spans="4:4" ht="15.75" customHeight="1">
      <c r="D526" s="83"/>
    </row>
    <row r="527" spans="4:4" ht="15.75" customHeight="1">
      <c r="D527" s="83"/>
    </row>
    <row r="528" spans="4:4" ht="15.75" customHeight="1">
      <c r="D528" s="83"/>
    </row>
    <row r="529" spans="4:4" ht="15.75" customHeight="1">
      <c r="D529" s="83"/>
    </row>
    <row r="530" spans="4:4" ht="15.75" customHeight="1">
      <c r="D530" s="83"/>
    </row>
    <row r="531" spans="4:4" ht="15.75" customHeight="1">
      <c r="D531" s="83"/>
    </row>
    <row r="532" spans="4:4" ht="15.75" customHeight="1">
      <c r="D532" s="83"/>
    </row>
    <row r="533" spans="4:4" ht="15.75" customHeight="1">
      <c r="D533" s="83"/>
    </row>
    <row r="534" spans="4:4" ht="15.75" customHeight="1">
      <c r="D534" s="83"/>
    </row>
    <row r="535" spans="4:4" ht="15.75" customHeight="1">
      <c r="D535" s="83"/>
    </row>
    <row r="536" spans="4:4" ht="15.75" customHeight="1">
      <c r="D536" s="83"/>
    </row>
    <row r="537" spans="4:4" ht="15.75" customHeight="1">
      <c r="D537" s="83"/>
    </row>
    <row r="538" spans="4:4" ht="15.75" customHeight="1">
      <c r="D538" s="83"/>
    </row>
    <row r="539" spans="4:4" ht="15.75" customHeight="1">
      <c r="D539" s="83"/>
    </row>
    <row r="540" spans="4:4" ht="15.75" customHeight="1">
      <c r="D540" s="83"/>
    </row>
    <row r="541" spans="4:4" ht="15.75" customHeight="1">
      <c r="D541" s="83"/>
    </row>
    <row r="542" spans="4:4" ht="15.75" customHeight="1">
      <c r="D542" s="83"/>
    </row>
    <row r="543" spans="4:4" ht="15.75" customHeight="1">
      <c r="D543" s="83"/>
    </row>
    <row r="544" spans="4:4" ht="15.75" customHeight="1">
      <c r="D544" s="83"/>
    </row>
    <row r="545" spans="4:4" ht="15.75" customHeight="1">
      <c r="D545" s="83"/>
    </row>
    <row r="546" spans="4:4" ht="15.75" customHeight="1">
      <c r="D546" s="83"/>
    </row>
    <row r="547" spans="4:4" ht="15.75" customHeight="1">
      <c r="D547" s="83"/>
    </row>
    <row r="548" spans="4:4" ht="15.75" customHeight="1">
      <c r="D548" s="83"/>
    </row>
    <row r="549" spans="4:4" ht="15.75" customHeight="1">
      <c r="D549" s="83"/>
    </row>
    <row r="550" spans="4:4" ht="15.75" customHeight="1">
      <c r="D550" s="83"/>
    </row>
    <row r="551" spans="4:4" ht="15.75" customHeight="1">
      <c r="D551" s="83"/>
    </row>
    <row r="552" spans="4:4" ht="15.75" customHeight="1">
      <c r="D552" s="83"/>
    </row>
    <row r="553" spans="4:4" ht="15.75" customHeight="1">
      <c r="D553" s="83"/>
    </row>
    <row r="554" spans="4:4" ht="15.75" customHeight="1">
      <c r="D554" s="83"/>
    </row>
    <row r="555" spans="4:4" ht="15.75" customHeight="1">
      <c r="D555" s="83"/>
    </row>
    <row r="556" spans="4:4" ht="15.75" customHeight="1">
      <c r="D556" s="83"/>
    </row>
    <row r="557" spans="4:4" ht="15.75" customHeight="1">
      <c r="D557" s="83"/>
    </row>
    <row r="558" spans="4:4" ht="15.75" customHeight="1">
      <c r="D558" s="83"/>
    </row>
    <row r="559" spans="4:4" ht="15.75" customHeight="1">
      <c r="D559" s="83"/>
    </row>
    <row r="560" spans="4:4" ht="15.75" customHeight="1">
      <c r="D560" s="83"/>
    </row>
    <row r="561" spans="4:4" ht="15.75" customHeight="1">
      <c r="D561" s="83"/>
    </row>
    <row r="562" spans="4:4" ht="15.75" customHeight="1">
      <c r="D562" s="83"/>
    </row>
    <row r="563" spans="4:4" ht="15.75" customHeight="1">
      <c r="D563" s="83"/>
    </row>
    <row r="564" spans="4:4" ht="15.75" customHeight="1">
      <c r="D564" s="83"/>
    </row>
    <row r="565" spans="4:4" ht="15.75" customHeight="1">
      <c r="D565" s="83"/>
    </row>
    <row r="566" spans="4:4" ht="15.75" customHeight="1">
      <c r="D566" s="83"/>
    </row>
    <row r="567" spans="4:4" ht="15.75" customHeight="1">
      <c r="D567" s="83"/>
    </row>
    <row r="568" spans="4:4" ht="15.75" customHeight="1">
      <c r="D568" s="83"/>
    </row>
    <row r="569" spans="4:4" ht="15.75" customHeight="1">
      <c r="D569" s="83"/>
    </row>
    <row r="570" spans="4:4" ht="15.75" customHeight="1">
      <c r="D570" s="83"/>
    </row>
    <row r="571" spans="4:4" ht="15.75" customHeight="1">
      <c r="D571" s="83"/>
    </row>
    <row r="572" spans="4:4" ht="15.75" customHeight="1">
      <c r="D572" s="83"/>
    </row>
    <row r="573" spans="4:4" ht="15.75" customHeight="1">
      <c r="D573" s="83"/>
    </row>
    <row r="574" spans="4:4" ht="15.75" customHeight="1">
      <c r="D574" s="83"/>
    </row>
    <row r="575" spans="4:4" ht="15.75" customHeight="1">
      <c r="D575" s="83"/>
    </row>
    <row r="576" spans="4:4" ht="15.75" customHeight="1">
      <c r="D576" s="83"/>
    </row>
    <row r="577" spans="4:4" ht="15.75" customHeight="1">
      <c r="D577" s="83"/>
    </row>
    <row r="578" spans="4:4" ht="15.75" customHeight="1">
      <c r="D578" s="83"/>
    </row>
    <row r="579" spans="4:4" ht="15.75" customHeight="1">
      <c r="D579" s="83"/>
    </row>
    <row r="580" spans="4:4" ht="15.75" customHeight="1">
      <c r="D580" s="83"/>
    </row>
    <row r="581" spans="4:4" ht="15.75" customHeight="1">
      <c r="D581" s="83"/>
    </row>
    <row r="582" spans="4:4" ht="15.75" customHeight="1">
      <c r="D582" s="83"/>
    </row>
    <row r="583" spans="4:4" ht="15.75" customHeight="1">
      <c r="D583" s="83"/>
    </row>
    <row r="584" spans="4:4" ht="15.75" customHeight="1">
      <c r="D584" s="83"/>
    </row>
    <row r="585" spans="4:4" ht="15.75" customHeight="1">
      <c r="D585" s="83"/>
    </row>
    <row r="586" spans="4:4" ht="15.75" customHeight="1">
      <c r="D586" s="83"/>
    </row>
    <row r="587" spans="4:4" ht="15.75" customHeight="1">
      <c r="D587" s="83"/>
    </row>
    <row r="588" spans="4:4" ht="15.75" customHeight="1">
      <c r="D588" s="83"/>
    </row>
    <row r="589" spans="4:4" ht="15.75" customHeight="1">
      <c r="D589" s="83"/>
    </row>
    <row r="590" spans="4:4" ht="15.75" customHeight="1">
      <c r="D590" s="83"/>
    </row>
    <row r="591" spans="4:4" ht="15.75" customHeight="1">
      <c r="D591" s="83"/>
    </row>
    <row r="592" spans="4:4" ht="15.75" customHeight="1">
      <c r="D592" s="83"/>
    </row>
    <row r="593" spans="4:4" ht="15.75" customHeight="1">
      <c r="D593" s="83"/>
    </row>
    <row r="594" spans="4:4" ht="15.75" customHeight="1">
      <c r="D594" s="83"/>
    </row>
    <row r="595" spans="4:4" ht="15.75" customHeight="1">
      <c r="D595" s="83"/>
    </row>
    <row r="596" spans="4:4" ht="15.75" customHeight="1">
      <c r="D596" s="83"/>
    </row>
    <row r="597" spans="4:4" ht="15.75" customHeight="1">
      <c r="D597" s="83"/>
    </row>
    <row r="598" spans="4:4" ht="15.75" customHeight="1">
      <c r="D598" s="83"/>
    </row>
    <row r="599" spans="4:4" ht="15.75" customHeight="1">
      <c r="D599" s="83"/>
    </row>
    <row r="600" spans="4:4" ht="15.75" customHeight="1">
      <c r="D600" s="83"/>
    </row>
    <row r="601" spans="4:4" ht="15.75" customHeight="1">
      <c r="D601" s="83"/>
    </row>
    <row r="602" spans="4:4" ht="15.75" customHeight="1">
      <c r="D602" s="83"/>
    </row>
    <row r="603" spans="4:4" ht="15.75" customHeight="1">
      <c r="D603" s="83"/>
    </row>
    <row r="604" spans="4:4" ht="15.75" customHeight="1">
      <c r="D604" s="83"/>
    </row>
    <row r="605" spans="4:4" ht="15.75" customHeight="1">
      <c r="D605" s="83"/>
    </row>
    <row r="606" spans="4:4" ht="15.75" customHeight="1">
      <c r="D606" s="83"/>
    </row>
    <row r="607" spans="4:4" ht="15.75" customHeight="1">
      <c r="D607" s="83"/>
    </row>
    <row r="608" spans="4:4" ht="15.75" customHeight="1">
      <c r="D608" s="83"/>
    </row>
    <row r="609" spans="4:4" ht="15.75" customHeight="1">
      <c r="D609" s="83"/>
    </row>
    <row r="610" spans="4:4" ht="15.75" customHeight="1">
      <c r="D610" s="83"/>
    </row>
    <row r="611" spans="4:4" ht="15.75" customHeight="1">
      <c r="D611" s="83"/>
    </row>
    <row r="612" spans="4:4" ht="15.75" customHeight="1">
      <c r="D612" s="83"/>
    </row>
    <row r="613" spans="4:4" ht="15.75" customHeight="1">
      <c r="D613" s="83"/>
    </row>
    <row r="614" spans="4:4" ht="15.75" customHeight="1">
      <c r="D614" s="83"/>
    </row>
    <row r="615" spans="4:4" ht="15.75" customHeight="1">
      <c r="D615" s="83"/>
    </row>
    <row r="616" spans="4:4" ht="15.75" customHeight="1">
      <c r="D616" s="83"/>
    </row>
    <row r="617" spans="4:4" ht="15.75" customHeight="1">
      <c r="D617" s="83"/>
    </row>
    <row r="618" spans="4:4" ht="15.75" customHeight="1">
      <c r="D618" s="83"/>
    </row>
    <row r="619" spans="4:4" ht="15.75" customHeight="1">
      <c r="D619" s="83"/>
    </row>
    <row r="620" spans="4:4" ht="15.75" customHeight="1">
      <c r="D620" s="83"/>
    </row>
    <row r="621" spans="4:4" ht="15.75" customHeight="1">
      <c r="D621" s="83"/>
    </row>
    <row r="622" spans="4:4" ht="15.75" customHeight="1">
      <c r="D622" s="83"/>
    </row>
    <row r="623" spans="4:4" ht="15.75" customHeight="1">
      <c r="D623" s="83"/>
    </row>
    <row r="624" spans="4:4" ht="15.75" customHeight="1">
      <c r="D624" s="83"/>
    </row>
    <row r="625" spans="4:4" ht="15.75" customHeight="1">
      <c r="D625" s="83"/>
    </row>
    <row r="626" spans="4:4" ht="15.75" customHeight="1">
      <c r="D626" s="83"/>
    </row>
    <row r="627" spans="4:4" ht="15.75" customHeight="1">
      <c r="D627" s="83"/>
    </row>
    <row r="628" spans="4:4" ht="15.75" customHeight="1">
      <c r="D628" s="83"/>
    </row>
    <row r="629" spans="4:4" ht="15.75" customHeight="1">
      <c r="D629" s="83"/>
    </row>
    <row r="630" spans="4:4" ht="15.75" customHeight="1">
      <c r="D630" s="83"/>
    </row>
    <row r="631" spans="4:4" ht="15.75" customHeight="1">
      <c r="D631" s="83"/>
    </row>
    <row r="632" spans="4:4" ht="15.75" customHeight="1">
      <c r="D632" s="83"/>
    </row>
    <row r="633" spans="4:4" ht="15.75" customHeight="1">
      <c r="D633" s="83"/>
    </row>
    <row r="634" spans="4:4" ht="15.75" customHeight="1">
      <c r="D634" s="83"/>
    </row>
    <row r="635" spans="4:4" ht="15.75" customHeight="1">
      <c r="D635" s="83"/>
    </row>
    <row r="636" spans="4:4" ht="15.75" customHeight="1">
      <c r="D636" s="83"/>
    </row>
    <row r="637" spans="4:4" ht="15.75" customHeight="1">
      <c r="D637" s="83"/>
    </row>
    <row r="638" spans="4:4" ht="15.75" customHeight="1">
      <c r="D638" s="83"/>
    </row>
    <row r="639" spans="4:4" ht="15.75" customHeight="1">
      <c r="D639" s="83"/>
    </row>
    <row r="640" spans="4:4" ht="15.75" customHeight="1">
      <c r="D640" s="83"/>
    </row>
    <row r="641" spans="4:4" ht="15.75" customHeight="1">
      <c r="D641" s="83"/>
    </row>
    <row r="642" spans="4:4" ht="15.75" customHeight="1">
      <c r="D642" s="83"/>
    </row>
    <row r="643" spans="4:4" ht="15.75" customHeight="1">
      <c r="D643" s="83"/>
    </row>
    <row r="644" spans="4:4" ht="15.75" customHeight="1">
      <c r="D644" s="83"/>
    </row>
    <row r="645" spans="4:4" ht="15.75" customHeight="1">
      <c r="D645" s="83"/>
    </row>
    <row r="646" spans="4:4" ht="15.75" customHeight="1">
      <c r="D646" s="83"/>
    </row>
    <row r="647" spans="4:4" ht="15.75" customHeight="1">
      <c r="D647" s="83"/>
    </row>
    <row r="648" spans="4:4" ht="15.75" customHeight="1">
      <c r="D648" s="83"/>
    </row>
    <row r="649" spans="4:4" ht="15.75" customHeight="1">
      <c r="D649" s="83"/>
    </row>
    <row r="650" spans="4:4" ht="15.75" customHeight="1">
      <c r="D650" s="83"/>
    </row>
    <row r="651" spans="4:4" ht="15.75" customHeight="1">
      <c r="D651" s="83"/>
    </row>
    <row r="652" spans="4:4" ht="15.75" customHeight="1">
      <c r="D652" s="83"/>
    </row>
    <row r="653" spans="4:4" ht="15.75" customHeight="1">
      <c r="D653" s="83"/>
    </row>
    <row r="654" spans="4:4" ht="15.75" customHeight="1">
      <c r="D654" s="83"/>
    </row>
    <row r="655" spans="4:4" ht="15.75" customHeight="1">
      <c r="D655" s="83"/>
    </row>
    <row r="656" spans="4:4" ht="15.75" customHeight="1">
      <c r="D656" s="83"/>
    </row>
    <row r="657" spans="4:4" ht="15.75" customHeight="1">
      <c r="D657" s="83"/>
    </row>
    <row r="658" spans="4:4" ht="15.75" customHeight="1">
      <c r="D658" s="83"/>
    </row>
    <row r="659" spans="4:4" ht="15.75" customHeight="1">
      <c r="D659" s="83"/>
    </row>
    <row r="660" spans="4:4" ht="15.75" customHeight="1">
      <c r="D660" s="83"/>
    </row>
    <row r="661" spans="4:4" ht="15.75" customHeight="1">
      <c r="D661" s="83"/>
    </row>
    <row r="662" spans="4:4" ht="15.75" customHeight="1">
      <c r="D662" s="83"/>
    </row>
    <row r="663" spans="4:4" ht="15.75" customHeight="1">
      <c r="D663" s="83"/>
    </row>
    <row r="664" spans="4:4" ht="15.75" customHeight="1">
      <c r="D664" s="83"/>
    </row>
    <row r="665" spans="4:4" ht="15.75" customHeight="1">
      <c r="D665" s="83"/>
    </row>
    <row r="666" spans="4:4" ht="15.75" customHeight="1">
      <c r="D666" s="83"/>
    </row>
    <row r="667" spans="4:4" ht="15.75" customHeight="1">
      <c r="D667" s="83"/>
    </row>
    <row r="668" spans="4:4" ht="15.75" customHeight="1">
      <c r="D668" s="83"/>
    </row>
    <row r="669" spans="4:4" ht="15.75" customHeight="1">
      <c r="D669" s="83"/>
    </row>
    <row r="670" spans="4:4" ht="15.75" customHeight="1">
      <c r="D670" s="83"/>
    </row>
    <row r="671" spans="4:4" ht="15.75" customHeight="1">
      <c r="D671" s="83"/>
    </row>
    <row r="672" spans="4:4" ht="15.75" customHeight="1">
      <c r="D672" s="83"/>
    </row>
    <row r="673" spans="4:4" ht="15.75" customHeight="1">
      <c r="D673" s="83"/>
    </row>
    <row r="674" spans="4:4" ht="15.75" customHeight="1">
      <c r="D674" s="83"/>
    </row>
    <row r="675" spans="4:4" ht="15.75" customHeight="1">
      <c r="D675" s="83"/>
    </row>
    <row r="676" spans="4:4" ht="15.75" customHeight="1">
      <c r="D676" s="83"/>
    </row>
    <row r="677" spans="4:4" ht="15.75" customHeight="1">
      <c r="D677" s="83"/>
    </row>
    <row r="678" spans="4:4" ht="15.75" customHeight="1">
      <c r="D678" s="83"/>
    </row>
    <row r="679" spans="4:4" ht="15.75" customHeight="1">
      <c r="D679" s="83"/>
    </row>
    <row r="680" spans="4:4" ht="15.75" customHeight="1">
      <c r="D680" s="83"/>
    </row>
    <row r="681" spans="4:4" ht="15.75" customHeight="1">
      <c r="D681" s="83"/>
    </row>
    <row r="682" spans="4:4" ht="15.75" customHeight="1">
      <c r="D682" s="83"/>
    </row>
    <row r="683" spans="4:4" ht="15.75" customHeight="1">
      <c r="D683" s="83"/>
    </row>
    <row r="684" spans="4:4" ht="15.75" customHeight="1">
      <c r="D684" s="83"/>
    </row>
    <row r="685" spans="4:4" ht="15.75" customHeight="1">
      <c r="D685" s="83"/>
    </row>
    <row r="686" spans="4:4" ht="15.75" customHeight="1">
      <c r="D686" s="83"/>
    </row>
    <row r="687" spans="4:4" ht="15.75" customHeight="1">
      <c r="D687" s="83"/>
    </row>
    <row r="688" spans="4:4" ht="15.75" customHeight="1">
      <c r="D688" s="83"/>
    </row>
    <row r="689" spans="4:4" ht="15.75" customHeight="1">
      <c r="D689" s="83"/>
    </row>
    <row r="690" spans="4:4" ht="15.75" customHeight="1">
      <c r="D690" s="83"/>
    </row>
    <row r="691" spans="4:4" ht="15.75" customHeight="1">
      <c r="D691" s="83"/>
    </row>
    <row r="692" spans="4:4" ht="15.75" customHeight="1">
      <c r="D692" s="83"/>
    </row>
    <row r="693" spans="4:4" ht="15.75" customHeight="1">
      <c r="D693" s="83"/>
    </row>
    <row r="694" spans="4:4" ht="15.75" customHeight="1">
      <c r="D694" s="83"/>
    </row>
    <row r="695" spans="4:4" ht="15.75" customHeight="1">
      <c r="D695" s="83"/>
    </row>
    <row r="696" spans="4:4" ht="15.75" customHeight="1">
      <c r="D696" s="83"/>
    </row>
    <row r="697" spans="4:4" ht="15.75" customHeight="1">
      <c r="D697" s="83"/>
    </row>
    <row r="698" spans="4:4" ht="15.75" customHeight="1">
      <c r="D698" s="83"/>
    </row>
    <row r="699" spans="4:4" ht="15.75" customHeight="1">
      <c r="D699" s="83"/>
    </row>
    <row r="700" spans="4:4" ht="15.75" customHeight="1">
      <c r="D700" s="83"/>
    </row>
    <row r="701" spans="4:4" ht="15.75" customHeight="1">
      <c r="D701" s="83"/>
    </row>
    <row r="702" spans="4:4" ht="15.75" customHeight="1">
      <c r="D702" s="83"/>
    </row>
    <row r="703" spans="4:4" ht="15.75" customHeight="1">
      <c r="D703" s="83"/>
    </row>
    <row r="704" spans="4:4" ht="15.75" customHeight="1">
      <c r="D704" s="83"/>
    </row>
    <row r="705" spans="4:4" ht="15.75" customHeight="1">
      <c r="D705" s="83"/>
    </row>
    <row r="706" spans="4:4" ht="15.75" customHeight="1">
      <c r="D706" s="83"/>
    </row>
    <row r="707" spans="4:4" ht="15.75" customHeight="1">
      <c r="D707" s="83"/>
    </row>
    <row r="708" spans="4:4" ht="15.75" customHeight="1">
      <c r="D708" s="83"/>
    </row>
    <row r="709" spans="4:4" ht="15.75" customHeight="1">
      <c r="D709" s="83"/>
    </row>
    <row r="710" spans="4:4" ht="15.75" customHeight="1">
      <c r="D710" s="83"/>
    </row>
    <row r="711" spans="4:4" ht="15.75" customHeight="1">
      <c r="D711" s="83"/>
    </row>
    <row r="712" spans="4:4" ht="15.75" customHeight="1">
      <c r="D712" s="83"/>
    </row>
    <row r="713" spans="4:4" ht="15.75" customHeight="1">
      <c r="D713" s="83"/>
    </row>
    <row r="714" spans="4:4" ht="15.75" customHeight="1">
      <c r="D714" s="83"/>
    </row>
    <row r="715" spans="4:4" ht="15.75" customHeight="1">
      <c r="D715" s="83"/>
    </row>
    <row r="716" spans="4:4" ht="15.75" customHeight="1">
      <c r="D716" s="83"/>
    </row>
    <row r="717" spans="4:4" ht="15.75" customHeight="1">
      <c r="D717" s="83"/>
    </row>
    <row r="718" spans="4:4" ht="15.75" customHeight="1">
      <c r="D718" s="83"/>
    </row>
    <row r="719" spans="4:4" ht="15.75" customHeight="1">
      <c r="D719" s="83"/>
    </row>
    <row r="720" spans="4:4" ht="15.75" customHeight="1">
      <c r="D720" s="83"/>
    </row>
    <row r="721" spans="4:4" ht="15.75" customHeight="1">
      <c r="D721" s="83"/>
    </row>
    <row r="722" spans="4:4" ht="15.75" customHeight="1">
      <c r="D722" s="83"/>
    </row>
    <row r="723" spans="4:4" ht="15.75" customHeight="1">
      <c r="D723" s="83"/>
    </row>
    <row r="724" spans="4:4" ht="15.75" customHeight="1">
      <c r="D724" s="83"/>
    </row>
    <row r="725" spans="4:4" ht="15.75" customHeight="1">
      <c r="D725" s="83"/>
    </row>
    <row r="726" spans="4:4" ht="15.75" customHeight="1">
      <c r="D726" s="83"/>
    </row>
    <row r="727" spans="4:4" ht="15.75" customHeight="1">
      <c r="D727" s="83"/>
    </row>
    <row r="728" spans="4:4" ht="15.75" customHeight="1">
      <c r="D728" s="83"/>
    </row>
    <row r="729" spans="4:4" ht="15.75" customHeight="1">
      <c r="D729" s="83"/>
    </row>
    <row r="730" spans="4:4" ht="15.75" customHeight="1">
      <c r="D730" s="83"/>
    </row>
    <row r="731" spans="4:4" ht="15.75" customHeight="1">
      <c r="D731" s="83"/>
    </row>
    <row r="732" spans="4:4" ht="15.75" customHeight="1">
      <c r="D732" s="83"/>
    </row>
    <row r="733" spans="4:4" ht="15.75" customHeight="1">
      <c r="D733" s="83"/>
    </row>
    <row r="734" spans="4:4" ht="15.75" customHeight="1">
      <c r="D734" s="83"/>
    </row>
    <row r="735" spans="4:4" ht="15.75" customHeight="1">
      <c r="D735" s="83"/>
    </row>
    <row r="736" spans="4:4" ht="15.75" customHeight="1">
      <c r="D736" s="83"/>
    </row>
    <row r="737" spans="4:4" ht="15.75" customHeight="1">
      <c r="D737" s="83"/>
    </row>
    <row r="738" spans="4:4" ht="15.75" customHeight="1">
      <c r="D738" s="83"/>
    </row>
    <row r="739" spans="4:4" ht="15.75" customHeight="1">
      <c r="D739" s="83"/>
    </row>
    <row r="740" spans="4:4" ht="15.75" customHeight="1">
      <c r="D740" s="83"/>
    </row>
    <row r="741" spans="4:4" ht="15.75" customHeight="1">
      <c r="D741" s="83"/>
    </row>
    <row r="742" spans="4:4" ht="15.75" customHeight="1">
      <c r="D742" s="83"/>
    </row>
    <row r="743" spans="4:4" ht="15.75" customHeight="1">
      <c r="D743" s="83"/>
    </row>
    <row r="744" spans="4:4" ht="15.75" customHeight="1">
      <c r="D744" s="83"/>
    </row>
    <row r="745" spans="4:4" ht="15.75" customHeight="1">
      <c r="D745" s="83"/>
    </row>
    <row r="746" spans="4:4" ht="15.75" customHeight="1">
      <c r="D746" s="83"/>
    </row>
    <row r="747" spans="4:4" ht="15.75" customHeight="1">
      <c r="D747" s="83"/>
    </row>
    <row r="748" spans="4:4" ht="15.75" customHeight="1">
      <c r="D748" s="83"/>
    </row>
    <row r="749" spans="4:4" ht="15.75" customHeight="1">
      <c r="D749" s="83"/>
    </row>
    <row r="750" spans="4:4" ht="15.75" customHeight="1">
      <c r="D750" s="83"/>
    </row>
    <row r="751" spans="4:4" ht="15.75" customHeight="1">
      <c r="D751" s="83"/>
    </row>
    <row r="752" spans="4:4" ht="15.75" customHeight="1">
      <c r="D752" s="83"/>
    </row>
    <row r="753" spans="4:4" ht="15.75" customHeight="1">
      <c r="D753" s="83"/>
    </row>
    <row r="754" spans="4:4" ht="15.75" customHeight="1">
      <c r="D754" s="83"/>
    </row>
    <row r="755" spans="4:4" ht="15.75" customHeight="1">
      <c r="D755" s="83"/>
    </row>
    <row r="756" spans="4:4" ht="15.75" customHeight="1">
      <c r="D756" s="83"/>
    </row>
    <row r="757" spans="4:4" ht="15.75" customHeight="1">
      <c r="D757" s="83"/>
    </row>
    <row r="758" spans="4:4" ht="15.75" customHeight="1">
      <c r="D758" s="83"/>
    </row>
    <row r="759" spans="4:4" ht="15.75" customHeight="1">
      <c r="D759" s="83"/>
    </row>
    <row r="760" spans="4:4" ht="15.75" customHeight="1">
      <c r="D760" s="83"/>
    </row>
    <row r="761" spans="4:4" ht="15.75" customHeight="1">
      <c r="D761" s="83"/>
    </row>
    <row r="762" spans="4:4" ht="15.75" customHeight="1">
      <c r="D762" s="83"/>
    </row>
    <row r="763" spans="4:4" ht="15.75" customHeight="1">
      <c r="D763" s="83"/>
    </row>
    <row r="764" spans="4:4" ht="15.75" customHeight="1">
      <c r="D764" s="83"/>
    </row>
    <row r="765" spans="4:4" ht="15.75" customHeight="1">
      <c r="D765" s="83"/>
    </row>
    <row r="766" spans="4:4" ht="15.75" customHeight="1">
      <c r="D766" s="83"/>
    </row>
    <row r="767" spans="4:4" ht="15.75" customHeight="1">
      <c r="D767" s="83"/>
    </row>
    <row r="768" spans="4:4" ht="15.75" customHeight="1">
      <c r="D768" s="83"/>
    </row>
    <row r="769" spans="4:4" ht="15.75" customHeight="1">
      <c r="D769" s="83"/>
    </row>
    <row r="770" spans="4:4" ht="15.75" customHeight="1">
      <c r="D770" s="83"/>
    </row>
    <row r="771" spans="4:4" ht="15.75" customHeight="1">
      <c r="D771" s="83"/>
    </row>
    <row r="772" spans="4:4" ht="15.75" customHeight="1">
      <c r="D772" s="83"/>
    </row>
    <row r="773" spans="4:4" ht="15.75" customHeight="1">
      <c r="D773" s="83"/>
    </row>
    <row r="774" spans="4:4" ht="15.75" customHeight="1">
      <c r="D774" s="83"/>
    </row>
    <row r="775" spans="4:4" ht="15.75" customHeight="1">
      <c r="D775" s="83"/>
    </row>
    <row r="776" spans="4:4" ht="15.75" customHeight="1">
      <c r="D776" s="83"/>
    </row>
    <row r="777" spans="4:4" ht="15.75" customHeight="1">
      <c r="D777" s="83"/>
    </row>
    <row r="778" spans="4:4" ht="15.75" customHeight="1">
      <c r="D778" s="83"/>
    </row>
    <row r="779" spans="4:4" ht="15.75" customHeight="1">
      <c r="D779" s="83"/>
    </row>
    <row r="780" spans="4:4" ht="15.75" customHeight="1">
      <c r="D780" s="83"/>
    </row>
    <row r="781" spans="4:4" ht="15.75" customHeight="1">
      <c r="D781" s="83"/>
    </row>
    <row r="782" spans="4:4" ht="15.75" customHeight="1">
      <c r="D782" s="83"/>
    </row>
    <row r="783" spans="4:4" ht="15.75" customHeight="1">
      <c r="D783" s="83"/>
    </row>
    <row r="784" spans="4:4" ht="15.75" customHeight="1">
      <c r="D784" s="83"/>
    </row>
    <row r="785" spans="4:4" ht="15.75" customHeight="1">
      <c r="D785" s="83"/>
    </row>
    <row r="786" spans="4:4" ht="15.75" customHeight="1">
      <c r="D786" s="83"/>
    </row>
    <row r="787" spans="4:4" ht="15.75" customHeight="1">
      <c r="D787" s="83"/>
    </row>
    <row r="788" spans="4:4" ht="15.75" customHeight="1">
      <c r="D788" s="83"/>
    </row>
    <row r="789" spans="4:4" ht="15.75" customHeight="1">
      <c r="D789" s="83"/>
    </row>
    <row r="790" spans="4:4" ht="15.75" customHeight="1">
      <c r="D790" s="83"/>
    </row>
    <row r="791" spans="4:4" ht="15.75" customHeight="1">
      <c r="D791" s="83"/>
    </row>
    <row r="792" spans="4:4" ht="15.75" customHeight="1">
      <c r="D792" s="83"/>
    </row>
    <row r="793" spans="4:4" ht="15.75" customHeight="1">
      <c r="D793" s="83"/>
    </row>
    <row r="794" spans="4:4" ht="15.75" customHeight="1">
      <c r="D794" s="83"/>
    </row>
    <row r="795" spans="4:4" ht="15.75" customHeight="1">
      <c r="D795" s="83"/>
    </row>
    <row r="796" spans="4:4" ht="15.75" customHeight="1">
      <c r="D796" s="83"/>
    </row>
    <row r="797" spans="4:4" ht="15.75" customHeight="1">
      <c r="D797" s="83"/>
    </row>
    <row r="798" spans="4:4" ht="15.75" customHeight="1">
      <c r="D798" s="83"/>
    </row>
    <row r="799" spans="4:4" ht="15.75" customHeight="1">
      <c r="D799" s="83"/>
    </row>
    <row r="800" spans="4:4" ht="15.75" customHeight="1">
      <c r="D800" s="83"/>
    </row>
    <row r="801" spans="4:4" ht="15.75" customHeight="1">
      <c r="D801" s="83"/>
    </row>
    <row r="802" spans="4:4" ht="15.75" customHeight="1">
      <c r="D802" s="83"/>
    </row>
    <row r="803" spans="4:4" ht="15.75" customHeight="1">
      <c r="D803" s="83"/>
    </row>
    <row r="804" spans="4:4" ht="15.75" customHeight="1">
      <c r="D804" s="83"/>
    </row>
    <row r="805" spans="4:4" ht="15.75" customHeight="1">
      <c r="D805" s="83"/>
    </row>
    <row r="806" spans="4:4" ht="15.75" customHeight="1">
      <c r="D806" s="83"/>
    </row>
    <row r="807" spans="4:4" ht="15.75" customHeight="1">
      <c r="D807" s="83"/>
    </row>
    <row r="808" spans="4:4" ht="15.75" customHeight="1">
      <c r="D808" s="83"/>
    </row>
    <row r="809" spans="4:4" ht="15.75" customHeight="1">
      <c r="D809" s="83"/>
    </row>
    <row r="810" spans="4:4" ht="15.75" customHeight="1">
      <c r="D810" s="83"/>
    </row>
    <row r="811" spans="4:4" ht="15.75" customHeight="1">
      <c r="D811" s="83"/>
    </row>
    <row r="812" spans="4:4" ht="15.75" customHeight="1">
      <c r="D812" s="83"/>
    </row>
    <row r="813" spans="4:4" ht="15.75" customHeight="1">
      <c r="D813" s="83"/>
    </row>
    <row r="814" spans="4:4" ht="15.75" customHeight="1">
      <c r="D814" s="83"/>
    </row>
    <row r="815" spans="4:4" ht="15.75" customHeight="1">
      <c r="D815" s="83"/>
    </row>
    <row r="816" spans="4:4" ht="15.75" customHeight="1">
      <c r="D816" s="83"/>
    </row>
    <row r="817" spans="4:4" ht="15.75" customHeight="1">
      <c r="D817" s="83"/>
    </row>
    <row r="818" spans="4:4" ht="15.75" customHeight="1">
      <c r="D818" s="83"/>
    </row>
    <row r="819" spans="4:4" ht="15.75" customHeight="1">
      <c r="D819" s="83"/>
    </row>
    <row r="820" spans="4:4" ht="15.75" customHeight="1">
      <c r="D820" s="83"/>
    </row>
    <row r="821" spans="4:4" ht="15.75" customHeight="1">
      <c r="D821" s="83"/>
    </row>
    <row r="822" spans="4:4" ht="15.75" customHeight="1">
      <c r="D822" s="83"/>
    </row>
    <row r="823" spans="4:4" ht="15.75" customHeight="1">
      <c r="D823" s="83"/>
    </row>
    <row r="824" spans="4:4" ht="15.75" customHeight="1">
      <c r="D824" s="83"/>
    </row>
    <row r="825" spans="4:4" ht="15.75" customHeight="1">
      <c r="D825" s="83"/>
    </row>
    <row r="826" spans="4:4" ht="15.75" customHeight="1">
      <c r="D826" s="83"/>
    </row>
    <row r="827" spans="4:4" ht="15.75" customHeight="1">
      <c r="D827" s="83"/>
    </row>
    <row r="828" spans="4:4" ht="15.75" customHeight="1">
      <c r="D828" s="83"/>
    </row>
    <row r="829" spans="4:4" ht="15.75" customHeight="1">
      <c r="D829" s="83"/>
    </row>
    <row r="830" spans="4:4" ht="15.75" customHeight="1">
      <c r="D830" s="83"/>
    </row>
    <row r="831" spans="4:4" ht="15.75" customHeight="1">
      <c r="D831" s="83"/>
    </row>
    <row r="832" spans="4:4" ht="15.75" customHeight="1">
      <c r="D832" s="83"/>
    </row>
    <row r="833" spans="4:4" ht="15.75" customHeight="1">
      <c r="D833" s="83"/>
    </row>
    <row r="834" spans="4:4" ht="15.75" customHeight="1">
      <c r="D834" s="83"/>
    </row>
    <row r="835" spans="4:4" ht="15.75" customHeight="1">
      <c r="D835" s="83"/>
    </row>
    <row r="836" spans="4:4" ht="15.75" customHeight="1">
      <c r="D836" s="83"/>
    </row>
    <row r="837" spans="4:4" ht="15.75" customHeight="1">
      <c r="D837" s="83"/>
    </row>
    <row r="838" spans="4:4" ht="15.75" customHeight="1">
      <c r="D838" s="83"/>
    </row>
    <row r="839" spans="4:4" ht="15.75" customHeight="1">
      <c r="D839" s="83"/>
    </row>
    <row r="840" spans="4:4" ht="15.75" customHeight="1">
      <c r="D840" s="83"/>
    </row>
    <row r="841" spans="4:4" ht="15.75" customHeight="1">
      <c r="D841" s="83"/>
    </row>
    <row r="842" spans="4:4" ht="15.75" customHeight="1">
      <c r="D842" s="83"/>
    </row>
    <row r="843" spans="4:4" ht="15.75" customHeight="1">
      <c r="D843" s="83"/>
    </row>
    <row r="844" spans="4:4" ht="15.75" customHeight="1">
      <c r="D844" s="83"/>
    </row>
    <row r="845" spans="4:4" ht="15.75" customHeight="1">
      <c r="D845" s="83"/>
    </row>
    <row r="846" spans="4:4" ht="15.75" customHeight="1">
      <c r="D846" s="83"/>
    </row>
    <row r="847" spans="4:4" ht="15.75" customHeight="1">
      <c r="D847" s="83"/>
    </row>
    <row r="848" spans="4:4" ht="15.75" customHeight="1">
      <c r="D848" s="83"/>
    </row>
    <row r="849" spans="4:4" ht="15.75" customHeight="1">
      <c r="D849" s="83"/>
    </row>
    <row r="850" spans="4:4" ht="15.75" customHeight="1">
      <c r="D850" s="83"/>
    </row>
    <row r="851" spans="4:4" ht="15.75" customHeight="1">
      <c r="D851" s="83"/>
    </row>
    <row r="852" spans="4:4" ht="15.75" customHeight="1">
      <c r="D852" s="83"/>
    </row>
    <row r="853" spans="4:4" ht="15.75" customHeight="1">
      <c r="D853" s="83"/>
    </row>
    <row r="854" spans="4:4" ht="15.75" customHeight="1">
      <c r="D854" s="83"/>
    </row>
    <row r="855" spans="4:4" ht="15.75" customHeight="1">
      <c r="D855" s="83"/>
    </row>
    <row r="856" spans="4:4" ht="15.75" customHeight="1">
      <c r="D856" s="83"/>
    </row>
    <row r="857" spans="4:4" ht="15.75" customHeight="1">
      <c r="D857" s="83"/>
    </row>
    <row r="858" spans="4:4" ht="15.75" customHeight="1">
      <c r="D858" s="83"/>
    </row>
    <row r="859" spans="4:4" ht="15.75" customHeight="1">
      <c r="D859" s="83"/>
    </row>
    <row r="860" spans="4:4" ht="15.75" customHeight="1">
      <c r="D860" s="83"/>
    </row>
    <row r="861" spans="4:4" ht="15.75" customHeight="1">
      <c r="D861" s="83"/>
    </row>
    <row r="862" spans="4:4" ht="15.75" customHeight="1">
      <c r="D862" s="83"/>
    </row>
    <row r="863" spans="4:4" ht="15.75" customHeight="1">
      <c r="D863" s="83"/>
    </row>
    <row r="864" spans="4:4" ht="15.75" customHeight="1">
      <c r="D864" s="83"/>
    </row>
    <row r="865" spans="4:4" ht="15.75" customHeight="1">
      <c r="D865" s="83"/>
    </row>
    <row r="866" spans="4:4" ht="15.75" customHeight="1">
      <c r="D866" s="83"/>
    </row>
    <row r="867" spans="4:4" ht="15.75" customHeight="1">
      <c r="D867" s="83"/>
    </row>
    <row r="868" spans="4:4" ht="15.75" customHeight="1">
      <c r="D868" s="83"/>
    </row>
    <row r="869" spans="4:4" ht="15.75" customHeight="1">
      <c r="D869" s="83"/>
    </row>
    <row r="870" spans="4:4" ht="15.75" customHeight="1">
      <c r="D870" s="83"/>
    </row>
    <row r="871" spans="4:4" ht="15.75" customHeight="1">
      <c r="D871" s="83"/>
    </row>
    <row r="872" spans="4:4" ht="15.75" customHeight="1">
      <c r="D872" s="83"/>
    </row>
    <row r="873" spans="4:4" ht="15.75" customHeight="1">
      <c r="D873" s="83"/>
    </row>
    <row r="874" spans="4:4" ht="15.75" customHeight="1">
      <c r="D874" s="83"/>
    </row>
    <row r="875" spans="4:4" ht="15.75" customHeight="1">
      <c r="D875" s="83"/>
    </row>
    <row r="876" spans="4:4" ht="15.75" customHeight="1">
      <c r="D876" s="83"/>
    </row>
    <row r="877" spans="4:4" ht="15.75" customHeight="1">
      <c r="D877" s="83"/>
    </row>
    <row r="878" spans="4:4" ht="15.75" customHeight="1">
      <c r="D878" s="83"/>
    </row>
    <row r="879" spans="4:4" ht="15.75" customHeight="1">
      <c r="D879" s="83"/>
    </row>
    <row r="880" spans="4:4" ht="15.75" customHeight="1">
      <c r="D880" s="83"/>
    </row>
    <row r="881" spans="4:4" ht="15.75" customHeight="1">
      <c r="D881" s="83"/>
    </row>
    <row r="882" spans="4:4" ht="15.75" customHeight="1">
      <c r="D882" s="83"/>
    </row>
    <row r="883" spans="4:4" ht="15.75" customHeight="1">
      <c r="D883" s="83"/>
    </row>
    <row r="884" spans="4:4" ht="15.75" customHeight="1">
      <c r="D884" s="83"/>
    </row>
    <row r="885" spans="4:4" ht="15.75" customHeight="1">
      <c r="D885" s="83"/>
    </row>
    <row r="886" spans="4:4" ht="15.75" customHeight="1">
      <c r="D886" s="83"/>
    </row>
    <row r="887" spans="4:4" ht="15.75" customHeight="1">
      <c r="D887" s="83"/>
    </row>
    <row r="888" spans="4:4" ht="15.75" customHeight="1">
      <c r="D888" s="83"/>
    </row>
    <row r="889" spans="4:4" ht="15.75" customHeight="1">
      <c r="D889" s="83"/>
    </row>
    <row r="890" spans="4:4" ht="15.75" customHeight="1">
      <c r="D890" s="83"/>
    </row>
    <row r="891" spans="4:4" ht="15.75" customHeight="1">
      <c r="D891" s="83"/>
    </row>
    <row r="892" spans="4:4" ht="15.75" customHeight="1">
      <c r="D892" s="83"/>
    </row>
    <row r="893" spans="4:4" ht="15.75" customHeight="1">
      <c r="D893" s="83"/>
    </row>
    <row r="894" spans="4:4" ht="15.75" customHeight="1">
      <c r="D894" s="83"/>
    </row>
    <row r="895" spans="4:4" ht="15.75" customHeight="1">
      <c r="D895" s="83"/>
    </row>
    <row r="896" spans="4:4" ht="15.75" customHeight="1">
      <c r="D896" s="83"/>
    </row>
    <row r="897" spans="4:4" ht="15.75" customHeight="1">
      <c r="D897" s="83"/>
    </row>
    <row r="898" spans="4:4" ht="15.75" customHeight="1">
      <c r="D898" s="83"/>
    </row>
    <row r="899" spans="4:4" ht="15.75" customHeight="1">
      <c r="D899" s="83"/>
    </row>
    <row r="900" spans="4:4" ht="15.75" customHeight="1">
      <c r="D900" s="83"/>
    </row>
    <row r="901" spans="4:4" ht="15.75" customHeight="1">
      <c r="D901" s="83"/>
    </row>
    <row r="902" spans="4:4" ht="15.75" customHeight="1">
      <c r="D902" s="83"/>
    </row>
    <row r="903" spans="4:4" ht="15.75" customHeight="1">
      <c r="D903" s="83"/>
    </row>
    <row r="904" spans="4:4" ht="15.75" customHeight="1">
      <c r="D904" s="83"/>
    </row>
    <row r="905" spans="4:4" ht="15.75" customHeight="1">
      <c r="D905" s="83"/>
    </row>
    <row r="906" spans="4:4" ht="15.75" customHeight="1">
      <c r="D906" s="83"/>
    </row>
    <row r="907" spans="4:4" ht="15.75" customHeight="1">
      <c r="D907" s="83"/>
    </row>
    <row r="908" spans="4:4" ht="15.75" customHeight="1">
      <c r="D908" s="83"/>
    </row>
    <row r="909" spans="4:4" ht="15.75" customHeight="1">
      <c r="D909" s="83"/>
    </row>
    <row r="910" spans="4:4" ht="15.75" customHeight="1">
      <c r="D910" s="83"/>
    </row>
    <row r="911" spans="4:4" ht="15.75" customHeight="1">
      <c r="D911" s="83"/>
    </row>
    <row r="912" spans="4:4" ht="15.75" customHeight="1">
      <c r="D912" s="83"/>
    </row>
    <row r="913" spans="4:4" ht="15.75" customHeight="1">
      <c r="D913" s="83"/>
    </row>
    <row r="914" spans="4:4" ht="15.75" customHeight="1">
      <c r="D914" s="83"/>
    </row>
    <row r="915" spans="4:4" ht="15.75" customHeight="1">
      <c r="D915" s="83"/>
    </row>
    <row r="916" spans="4:4" ht="15.75" customHeight="1">
      <c r="D916" s="83"/>
    </row>
    <row r="917" spans="4:4" ht="15.75" customHeight="1">
      <c r="D917" s="83"/>
    </row>
    <row r="918" spans="4:4" ht="15.75" customHeight="1">
      <c r="D918" s="83"/>
    </row>
    <row r="919" spans="4:4" ht="15.75" customHeight="1">
      <c r="D919" s="83"/>
    </row>
    <row r="920" spans="4:4" ht="15.75" customHeight="1">
      <c r="D920" s="83"/>
    </row>
    <row r="921" spans="4:4" ht="15.75" customHeight="1">
      <c r="D921" s="83"/>
    </row>
    <row r="922" spans="4:4" ht="15.75" customHeight="1">
      <c r="D922" s="83"/>
    </row>
    <row r="923" spans="4:4" ht="15.75" customHeight="1">
      <c r="D923" s="83"/>
    </row>
    <row r="924" spans="4:4" ht="15.75" customHeight="1">
      <c r="D924" s="83"/>
    </row>
    <row r="925" spans="4:4" ht="15.75" customHeight="1">
      <c r="D925" s="83"/>
    </row>
    <row r="926" spans="4:4" ht="15.75" customHeight="1">
      <c r="D926" s="83"/>
    </row>
    <row r="927" spans="4:4" ht="15.75" customHeight="1">
      <c r="D927" s="83"/>
    </row>
    <row r="928" spans="4:4" ht="15.75" customHeight="1">
      <c r="D928" s="83"/>
    </row>
    <row r="929" spans="4:4" ht="15.75" customHeight="1">
      <c r="D929" s="83"/>
    </row>
    <row r="930" spans="4:4" ht="15.75" customHeight="1">
      <c r="D930" s="83"/>
    </row>
    <row r="931" spans="4:4" ht="15.75" customHeight="1">
      <c r="D931" s="83"/>
    </row>
    <row r="932" spans="4:4" ht="15.75" customHeight="1">
      <c r="D932" s="83"/>
    </row>
    <row r="933" spans="4:4" ht="15.75" customHeight="1">
      <c r="D933" s="83"/>
    </row>
    <row r="934" spans="4:4" ht="15.75" customHeight="1">
      <c r="D934" s="83"/>
    </row>
    <row r="935" spans="4:4" ht="15.75" customHeight="1">
      <c r="D935" s="83"/>
    </row>
    <row r="936" spans="4:4" ht="15.75" customHeight="1">
      <c r="D936" s="83"/>
    </row>
    <row r="937" spans="4:4" ht="15.75" customHeight="1">
      <c r="D937" s="83"/>
    </row>
    <row r="938" spans="4:4" ht="15.75" customHeight="1">
      <c r="D938" s="83"/>
    </row>
    <row r="939" spans="4:4" ht="15.75" customHeight="1">
      <c r="D939" s="83"/>
    </row>
    <row r="940" spans="4:4" ht="15.75" customHeight="1">
      <c r="D940" s="83"/>
    </row>
    <row r="941" spans="4:4" ht="15.75" customHeight="1">
      <c r="D941" s="83"/>
    </row>
    <row r="942" spans="4:4" ht="15.75" customHeight="1">
      <c r="D942" s="83"/>
    </row>
    <row r="943" spans="4:4" ht="15.75" customHeight="1">
      <c r="D943" s="83"/>
    </row>
    <row r="944" spans="4:4" ht="15.75" customHeight="1">
      <c r="D944" s="83"/>
    </row>
    <row r="945" spans="4:4" ht="15.75" customHeight="1">
      <c r="D945" s="83"/>
    </row>
    <row r="946" spans="4:4" ht="15.75" customHeight="1">
      <c r="D946" s="83"/>
    </row>
    <row r="947" spans="4:4" ht="15.75" customHeight="1">
      <c r="D947" s="83"/>
    </row>
    <row r="948" spans="4:4" ht="15.75" customHeight="1">
      <c r="D948" s="83"/>
    </row>
    <row r="949" spans="4:4" ht="15.75" customHeight="1">
      <c r="D949" s="83"/>
    </row>
    <row r="950" spans="4:4" ht="15.75" customHeight="1">
      <c r="D950" s="83"/>
    </row>
    <row r="951" spans="4:4" ht="15.75" customHeight="1">
      <c r="D951" s="83"/>
    </row>
    <row r="952" spans="4:4" ht="15.75" customHeight="1">
      <c r="D952" s="83"/>
    </row>
    <row r="953" spans="4:4" ht="15.75" customHeight="1">
      <c r="D953" s="83"/>
    </row>
    <row r="954" spans="4:4" ht="15.75" customHeight="1">
      <c r="D954" s="83"/>
    </row>
    <row r="955" spans="4:4" ht="15.75" customHeight="1">
      <c r="D955" s="83"/>
    </row>
    <row r="956" spans="4:4" ht="15.75" customHeight="1">
      <c r="D956" s="83"/>
    </row>
    <row r="957" spans="4:4" ht="15.75" customHeight="1">
      <c r="D957" s="83"/>
    </row>
    <row r="958" spans="4:4" ht="15.75" customHeight="1">
      <c r="D958" s="83"/>
    </row>
    <row r="959" spans="4:4" ht="15.75" customHeight="1">
      <c r="D959" s="83"/>
    </row>
    <row r="960" spans="4:4" ht="15.75" customHeight="1">
      <c r="D960" s="83"/>
    </row>
    <row r="961" spans="4:4" ht="15.75" customHeight="1">
      <c r="D961" s="83"/>
    </row>
    <row r="962" spans="4:4" ht="15.75" customHeight="1">
      <c r="D962" s="83"/>
    </row>
    <row r="963" spans="4:4" ht="15.75" customHeight="1">
      <c r="D963" s="83"/>
    </row>
    <row r="964" spans="4:4" ht="15.75" customHeight="1">
      <c r="D964" s="83"/>
    </row>
    <row r="965" spans="4:4" ht="15.75" customHeight="1">
      <c r="D965" s="83"/>
    </row>
    <row r="966" spans="4:4" ht="15.75" customHeight="1">
      <c r="D966" s="83"/>
    </row>
    <row r="967" spans="4:4" ht="15.75" customHeight="1">
      <c r="D967" s="83"/>
    </row>
    <row r="968" spans="4:4" ht="15.75" customHeight="1">
      <c r="D968" s="83"/>
    </row>
    <row r="969" spans="4:4" ht="15.75" customHeight="1">
      <c r="D969" s="83"/>
    </row>
    <row r="970" spans="4:4" ht="15.75" customHeight="1">
      <c r="D970" s="83"/>
    </row>
    <row r="971" spans="4:4" ht="15.75" customHeight="1">
      <c r="D971" s="83"/>
    </row>
    <row r="972" spans="4:4" ht="15.75" customHeight="1">
      <c r="D972" s="83"/>
    </row>
    <row r="973" spans="4:4" ht="15.75" customHeight="1">
      <c r="D973" s="83"/>
    </row>
    <row r="974" spans="4:4" ht="15.75" customHeight="1">
      <c r="D974" s="83"/>
    </row>
    <row r="975" spans="4:4" ht="15.75" customHeight="1">
      <c r="D975" s="83"/>
    </row>
    <row r="976" spans="4:4" ht="15.75" customHeight="1">
      <c r="D976" s="83"/>
    </row>
    <row r="977" spans="4:4" ht="15.75" customHeight="1">
      <c r="D977" s="83"/>
    </row>
    <row r="978" spans="4:4" ht="15.75" customHeight="1">
      <c r="D978" s="83"/>
    </row>
    <row r="979" spans="4:4" ht="15.75" customHeight="1">
      <c r="D979" s="83"/>
    </row>
    <row r="980" spans="4:4" ht="15.75" customHeight="1">
      <c r="D980" s="83"/>
    </row>
    <row r="981" spans="4:4" ht="15.75" customHeight="1">
      <c r="D981" s="83"/>
    </row>
    <row r="982" spans="4:4" ht="15.75" customHeight="1">
      <c r="D982" s="83"/>
    </row>
    <row r="983" spans="4:4" ht="15.75" customHeight="1">
      <c r="D983" s="83"/>
    </row>
    <row r="984" spans="4:4" ht="15.75" customHeight="1">
      <c r="D984" s="83"/>
    </row>
    <row r="985" spans="4:4" ht="15.75" customHeight="1">
      <c r="D985" s="83"/>
    </row>
    <row r="986" spans="4:4" ht="15.75" customHeight="1">
      <c r="D986" s="83"/>
    </row>
    <row r="987" spans="4:4" ht="15.75" customHeight="1">
      <c r="D987" s="83"/>
    </row>
    <row r="988" spans="4:4" ht="15.75" customHeight="1">
      <c r="D988" s="83"/>
    </row>
    <row r="989" spans="4:4" ht="15.75" customHeight="1">
      <c r="D989" s="83"/>
    </row>
    <row r="990" spans="4:4" ht="15.75" customHeight="1">
      <c r="D990" s="83"/>
    </row>
    <row r="991" spans="4:4" ht="15.75" customHeight="1">
      <c r="D991" s="83"/>
    </row>
    <row r="992" spans="4:4" ht="15.75" customHeight="1">
      <c r="D992" s="83"/>
    </row>
    <row r="993" spans="4:4" ht="15.75" customHeight="1">
      <c r="D993" s="83"/>
    </row>
    <row r="994" spans="4:4" ht="15.75" customHeight="1">
      <c r="D994" s="83"/>
    </row>
    <row r="995" spans="4:4" ht="15.75" customHeight="1">
      <c r="D995" s="83"/>
    </row>
    <row r="996" spans="4:4" ht="15.75" customHeight="1">
      <c r="D996" s="83"/>
    </row>
    <row r="997" spans="4:4" ht="15.75" customHeight="1">
      <c r="D997" s="83"/>
    </row>
    <row r="998" spans="4:4" ht="15.75" customHeight="1">
      <c r="D998" s="83"/>
    </row>
  </sheetData>
  <autoFilter ref="A1:Z162" xr:uid="{00000000-0009-0000-0000-000004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J1000"/>
  <sheetViews>
    <sheetView tabSelected="1" workbookViewId="0">
      <selection activeCell="B48" sqref="B48"/>
    </sheetView>
  </sheetViews>
  <sheetFormatPr defaultColWidth="14.44140625" defaultRowHeight="15.75" customHeight="1"/>
  <cols>
    <col min="1" max="2" width="25.44140625" customWidth="1"/>
    <col min="3" max="3" width="63.44140625" customWidth="1"/>
  </cols>
  <sheetData>
    <row r="1" spans="1:10" ht="53.4">
      <c r="A1" s="48"/>
      <c r="B1" s="48" t="s">
        <v>59</v>
      </c>
      <c r="C1" s="49" t="s">
        <v>60</v>
      </c>
      <c r="D1" s="50" t="s">
        <v>61</v>
      </c>
      <c r="E1" s="51" t="s">
        <v>58</v>
      </c>
      <c r="F1" s="52" t="s">
        <v>62</v>
      </c>
      <c r="G1" s="52" t="s">
        <v>63</v>
      </c>
      <c r="H1" s="42" t="s">
        <v>1220</v>
      </c>
      <c r="I1" s="53" t="s">
        <v>1221</v>
      </c>
      <c r="J1" s="492" t="s">
        <v>2017</v>
      </c>
    </row>
    <row r="2" spans="1:10" ht="57.6">
      <c r="A2" s="54" t="s">
        <v>1223</v>
      </c>
      <c r="B2" s="54" t="s">
        <v>1224</v>
      </c>
      <c r="C2" s="55" t="s">
        <v>1225</v>
      </c>
      <c r="D2" s="43" t="s">
        <v>80</v>
      </c>
      <c r="E2" s="56" t="s">
        <v>80</v>
      </c>
      <c r="F2" s="56" t="s">
        <v>80</v>
      </c>
      <c r="G2" s="56" t="s">
        <v>80</v>
      </c>
      <c r="H2" s="57" t="s">
        <v>80</v>
      </c>
      <c r="I2" s="44" t="e">
        <f>MATCH(B2,'Master_crosswalk '!W:W,0)</f>
        <v>#N/A</v>
      </c>
    </row>
    <row r="3" spans="1:10" ht="28.8">
      <c r="A3" s="54" t="s">
        <v>1223</v>
      </c>
      <c r="B3" s="54" t="s">
        <v>195</v>
      </c>
      <c r="C3" s="55" t="s">
        <v>196</v>
      </c>
      <c r="D3" s="43" t="s">
        <v>80</v>
      </c>
      <c r="E3" s="56" t="s">
        <v>80</v>
      </c>
      <c r="F3" s="56" t="s">
        <v>80</v>
      </c>
      <c r="G3" s="56" t="s">
        <v>80</v>
      </c>
      <c r="H3" s="57" t="s">
        <v>80</v>
      </c>
      <c r="I3" s="44">
        <f>MATCH(B3,'Master_crosswalk '!W:W,0)</f>
        <v>31</v>
      </c>
    </row>
    <row r="4" spans="1:10" ht="43.2">
      <c r="A4" s="54" t="s">
        <v>1223</v>
      </c>
      <c r="B4" s="54" t="s">
        <v>94</v>
      </c>
      <c r="C4" s="55" t="s">
        <v>95</v>
      </c>
      <c r="D4" s="43" t="s">
        <v>80</v>
      </c>
      <c r="E4" s="56" t="s">
        <v>80</v>
      </c>
      <c r="F4" s="56" t="s">
        <v>80</v>
      </c>
      <c r="G4" s="56" t="s">
        <v>80</v>
      </c>
      <c r="H4" s="57" t="s">
        <v>80</v>
      </c>
      <c r="I4" s="44">
        <f>MATCH(B4,'Master_crosswalk '!W:W,0)</f>
        <v>49</v>
      </c>
    </row>
    <row r="5" spans="1:10" ht="14.4">
      <c r="A5" s="54" t="s">
        <v>1223</v>
      </c>
      <c r="B5" s="54" t="s">
        <v>78</v>
      </c>
      <c r="C5" s="55" t="s">
        <v>79</v>
      </c>
      <c r="D5" s="43" t="s">
        <v>80</v>
      </c>
      <c r="E5" s="56" t="s">
        <v>80</v>
      </c>
      <c r="F5" s="56" t="s">
        <v>80</v>
      </c>
      <c r="G5" s="56" t="s">
        <v>80</v>
      </c>
      <c r="H5" s="57" t="s">
        <v>80</v>
      </c>
      <c r="I5" s="44">
        <f>MATCH(B5,'Master_crosswalk '!W:W,0)</f>
        <v>27</v>
      </c>
    </row>
    <row r="6" spans="1:10" ht="14.4">
      <c r="A6" s="54" t="s">
        <v>1223</v>
      </c>
      <c r="B6" s="54" t="s">
        <v>108</v>
      </c>
      <c r="C6" s="55" t="s">
        <v>111</v>
      </c>
      <c r="D6" s="43" t="s">
        <v>80</v>
      </c>
      <c r="E6" s="56" t="s">
        <v>112</v>
      </c>
      <c r="F6" s="56" t="s">
        <v>80</v>
      </c>
      <c r="G6" s="56" t="s">
        <v>80</v>
      </c>
      <c r="H6" s="57" t="s">
        <v>80</v>
      </c>
      <c r="I6" s="44" t="e">
        <f>MATCH(B6,'Master_crosswalk '!W:W,0)</f>
        <v>#N/A</v>
      </c>
    </row>
    <row r="7" spans="1:10" ht="28.8">
      <c r="A7" s="54" t="s">
        <v>1223</v>
      </c>
      <c r="B7" s="54" t="s">
        <v>155</v>
      </c>
      <c r="C7" s="55" t="s">
        <v>156</v>
      </c>
      <c r="D7" s="43" t="s">
        <v>80</v>
      </c>
      <c r="E7" s="56" t="s">
        <v>80</v>
      </c>
      <c r="F7" s="56" t="s">
        <v>80</v>
      </c>
      <c r="G7" s="56" t="s">
        <v>80</v>
      </c>
      <c r="H7" s="57" t="s">
        <v>80</v>
      </c>
      <c r="I7" s="44">
        <f>MATCH(B7,'Master_crosswalk '!W:W,0)</f>
        <v>22</v>
      </c>
    </row>
    <row r="8" spans="1:10" ht="28.8">
      <c r="A8" s="54" t="s">
        <v>1223</v>
      </c>
      <c r="B8" s="54" t="s">
        <v>158</v>
      </c>
      <c r="C8" s="55" t="s">
        <v>159</v>
      </c>
      <c r="D8" s="43" t="s">
        <v>80</v>
      </c>
      <c r="E8" s="56" t="s">
        <v>160</v>
      </c>
      <c r="F8" s="56">
        <v>1</v>
      </c>
      <c r="G8" s="56" t="s">
        <v>161</v>
      </c>
      <c r="H8" s="57" t="s">
        <v>80</v>
      </c>
      <c r="I8" s="44">
        <f>MATCH(B8,'Master_crosswalk '!W:W,0)</f>
        <v>23</v>
      </c>
    </row>
    <row r="9" spans="1:10" ht="14.4">
      <c r="A9" s="54" t="s">
        <v>1223</v>
      </c>
      <c r="B9" s="54" t="s">
        <v>224</v>
      </c>
      <c r="C9" s="55" t="s">
        <v>225</v>
      </c>
      <c r="D9" s="43" t="s">
        <v>80</v>
      </c>
      <c r="E9" s="56" t="s">
        <v>180</v>
      </c>
      <c r="F9" s="56" t="s">
        <v>80</v>
      </c>
      <c r="G9" s="56" t="s">
        <v>80</v>
      </c>
      <c r="H9" s="57" t="s">
        <v>80</v>
      </c>
      <c r="I9" s="44">
        <f>MATCH(B9,'Master_crosswalk '!W:W,0)</f>
        <v>43</v>
      </c>
    </row>
    <row r="10" spans="1:10" ht="14.4">
      <c r="A10" s="54" t="s">
        <v>1223</v>
      </c>
      <c r="B10" s="54" t="s">
        <v>227</v>
      </c>
      <c r="C10" s="55" t="s">
        <v>228</v>
      </c>
      <c r="D10" s="43" t="s">
        <v>80</v>
      </c>
      <c r="E10" s="56" t="s">
        <v>180</v>
      </c>
      <c r="F10" s="56" t="s">
        <v>80</v>
      </c>
      <c r="G10" s="56" t="s">
        <v>80</v>
      </c>
      <c r="H10" s="57" t="s">
        <v>80</v>
      </c>
      <c r="I10" s="44">
        <f>MATCH(B10,'Master_crosswalk '!W:W,0)</f>
        <v>44</v>
      </c>
    </row>
    <row r="11" spans="1:10" ht="14.4">
      <c r="A11" s="54" t="s">
        <v>1223</v>
      </c>
      <c r="B11" s="54" t="s">
        <v>117</v>
      </c>
      <c r="C11" s="55" t="s">
        <v>163</v>
      </c>
      <c r="D11" s="43" t="s">
        <v>80</v>
      </c>
      <c r="E11" s="56" t="s">
        <v>80</v>
      </c>
      <c r="F11" s="56" t="s">
        <v>80</v>
      </c>
      <c r="G11" s="56" t="s">
        <v>80</v>
      </c>
      <c r="H11" s="57" t="s">
        <v>80</v>
      </c>
      <c r="I11" s="44">
        <f>MATCH(B11,'Master_crosswalk '!W:W,0)</f>
        <v>24</v>
      </c>
    </row>
    <row r="12" spans="1:10" ht="14.4">
      <c r="A12" s="54" t="s">
        <v>1223</v>
      </c>
      <c r="B12" s="54" t="s">
        <v>150</v>
      </c>
      <c r="C12" s="55" t="s">
        <v>151</v>
      </c>
      <c r="D12" s="43" t="s">
        <v>80</v>
      </c>
      <c r="E12" s="56" t="s">
        <v>80</v>
      </c>
      <c r="F12" s="56" t="s">
        <v>152</v>
      </c>
      <c r="G12" s="56" t="s">
        <v>153</v>
      </c>
      <c r="H12" s="57" t="s">
        <v>80</v>
      </c>
      <c r="I12" s="44">
        <f>MATCH(B12,'Master_crosswalk '!W:W,0)</f>
        <v>53</v>
      </c>
    </row>
    <row r="13" spans="1:10" ht="14.4">
      <c r="A13" s="54" t="s">
        <v>1223</v>
      </c>
      <c r="B13" s="54" t="s">
        <v>200</v>
      </c>
      <c r="C13" s="55" t="s">
        <v>201</v>
      </c>
      <c r="D13" s="43" t="s">
        <v>80</v>
      </c>
      <c r="E13" s="56" t="s">
        <v>80</v>
      </c>
      <c r="F13" s="56" t="s">
        <v>80</v>
      </c>
      <c r="G13" s="56" t="s">
        <v>80</v>
      </c>
      <c r="H13" s="57" t="s">
        <v>80</v>
      </c>
      <c r="I13" s="44">
        <f>MATCH(B13,'Master_crosswalk '!W:W,0)</f>
        <v>37</v>
      </c>
    </row>
    <row r="14" spans="1:10" ht="14.4">
      <c r="A14" s="54" t="s">
        <v>1223</v>
      </c>
      <c r="B14" s="54" t="s">
        <v>206</v>
      </c>
      <c r="C14" s="55" t="s">
        <v>207</v>
      </c>
      <c r="D14" s="43" t="s">
        <v>80</v>
      </c>
      <c r="E14" s="56" t="s">
        <v>80</v>
      </c>
      <c r="F14" s="56" t="s">
        <v>80</v>
      </c>
      <c r="G14" s="56" t="s">
        <v>80</v>
      </c>
      <c r="H14" s="57" t="s">
        <v>80</v>
      </c>
      <c r="I14" s="44">
        <f>MATCH(B14,'Master_crosswalk '!W:W,0)</f>
        <v>38</v>
      </c>
    </row>
    <row r="15" spans="1:10" ht="14.4">
      <c r="A15" s="54" t="s">
        <v>1223</v>
      </c>
      <c r="B15" s="54" t="s">
        <v>212</v>
      </c>
      <c r="C15" s="55" t="s">
        <v>213</v>
      </c>
      <c r="D15" s="43" t="s">
        <v>80</v>
      </c>
      <c r="E15" s="56" t="s">
        <v>80</v>
      </c>
      <c r="F15" s="56" t="s">
        <v>80</v>
      </c>
      <c r="G15" s="56" t="s">
        <v>80</v>
      </c>
      <c r="H15" s="57" t="s">
        <v>80</v>
      </c>
      <c r="I15" s="44">
        <f>MATCH(B15,'Master_crosswalk '!W:W,0)</f>
        <v>39</v>
      </c>
    </row>
    <row r="16" spans="1:10" ht="14.4">
      <c r="A16" s="54" t="s">
        <v>1223</v>
      </c>
      <c r="B16" s="54" t="s">
        <v>165</v>
      </c>
      <c r="C16" s="55" t="s">
        <v>166</v>
      </c>
      <c r="D16" s="43" t="s">
        <v>80</v>
      </c>
      <c r="E16" s="56" t="s">
        <v>80</v>
      </c>
      <c r="F16" s="56" t="s">
        <v>80</v>
      </c>
      <c r="G16" s="56" t="s">
        <v>80</v>
      </c>
      <c r="H16" s="57" t="s">
        <v>80</v>
      </c>
      <c r="I16" s="44">
        <f>MATCH(B16,'Master_crosswalk '!W:W,0)</f>
        <v>25</v>
      </c>
    </row>
    <row r="17" spans="1:9" ht="43.2">
      <c r="A17" s="54" t="s">
        <v>1223</v>
      </c>
      <c r="B17" s="54" t="s">
        <v>168</v>
      </c>
      <c r="C17" s="55" t="s">
        <v>169</v>
      </c>
      <c r="D17" s="43" t="s">
        <v>80</v>
      </c>
      <c r="E17" s="56" t="s">
        <v>80</v>
      </c>
      <c r="F17" s="56" t="s">
        <v>168</v>
      </c>
      <c r="G17" s="56" t="s">
        <v>170</v>
      </c>
      <c r="H17" s="57" t="s">
        <v>80</v>
      </c>
      <c r="I17" s="44">
        <f>MATCH(B17,'Master_crosswalk '!W:W,0)</f>
        <v>26</v>
      </c>
    </row>
    <row r="18" spans="1:9" ht="14.4">
      <c r="A18" s="54" t="s">
        <v>1223</v>
      </c>
      <c r="B18" s="54" t="s">
        <v>451</v>
      </c>
      <c r="C18" s="55" t="s">
        <v>452</v>
      </c>
      <c r="D18" s="43" t="s">
        <v>80</v>
      </c>
      <c r="E18" s="56" t="s">
        <v>80</v>
      </c>
      <c r="F18" s="56">
        <v>1</v>
      </c>
      <c r="G18" s="56" t="s">
        <v>161</v>
      </c>
      <c r="H18" s="57" t="s">
        <v>80</v>
      </c>
      <c r="I18" s="44">
        <f>MATCH(B18,'Master_crosswalk '!W:W,0)</f>
        <v>101</v>
      </c>
    </row>
    <row r="19" spans="1:9" ht="57.6">
      <c r="A19" s="54" t="s">
        <v>1223</v>
      </c>
      <c r="B19" s="54" t="s">
        <v>515</v>
      </c>
      <c r="C19" s="55" t="s">
        <v>516</v>
      </c>
      <c r="D19" s="43" t="s">
        <v>80</v>
      </c>
      <c r="E19" s="56" t="s">
        <v>80</v>
      </c>
      <c r="F19" s="56" t="s">
        <v>80</v>
      </c>
      <c r="G19" s="56" t="s">
        <v>80</v>
      </c>
      <c r="H19" s="57" t="s">
        <v>80</v>
      </c>
      <c r="I19" s="44">
        <f>MATCH(B19,'Master_crosswalk '!W:W,0)</f>
        <v>123</v>
      </c>
    </row>
    <row r="20" spans="1:9" ht="57.6">
      <c r="A20" s="54" t="s">
        <v>1223</v>
      </c>
      <c r="B20" s="54" t="s">
        <v>518</v>
      </c>
      <c r="C20" s="55" t="s">
        <v>519</v>
      </c>
      <c r="D20" s="43" t="s">
        <v>80</v>
      </c>
      <c r="E20" s="56" t="s">
        <v>80</v>
      </c>
      <c r="F20" s="56" t="s">
        <v>80</v>
      </c>
      <c r="G20" s="56" t="s">
        <v>80</v>
      </c>
      <c r="H20" s="57" t="s">
        <v>80</v>
      </c>
      <c r="I20" s="44">
        <f>MATCH(B20,'Master_crosswalk '!W:W,0)</f>
        <v>124</v>
      </c>
    </row>
    <row r="21" spans="1:9" ht="43.2">
      <c r="A21" s="54" t="s">
        <v>1223</v>
      </c>
      <c r="B21" s="54" t="s">
        <v>260</v>
      </c>
      <c r="C21" s="55" t="s">
        <v>261</v>
      </c>
      <c r="D21" s="43" t="s">
        <v>80</v>
      </c>
      <c r="E21" s="56" t="s">
        <v>80</v>
      </c>
      <c r="F21" s="56" t="s">
        <v>80</v>
      </c>
      <c r="G21" s="56" t="s">
        <v>80</v>
      </c>
      <c r="H21" s="57" t="s">
        <v>80</v>
      </c>
      <c r="I21" s="44">
        <f>MATCH(B21,'Master_crosswalk '!W:W,0)</f>
        <v>63</v>
      </c>
    </row>
    <row r="22" spans="1:9" ht="14.4">
      <c r="A22" s="54" t="s">
        <v>1223</v>
      </c>
      <c r="B22" s="54" t="s">
        <v>254</v>
      </c>
      <c r="C22" s="55" t="s">
        <v>255</v>
      </c>
      <c r="D22" s="43" t="s">
        <v>80</v>
      </c>
      <c r="E22" s="56" t="s">
        <v>80</v>
      </c>
      <c r="F22" s="56" t="s">
        <v>80</v>
      </c>
      <c r="G22" s="56" t="s">
        <v>80</v>
      </c>
      <c r="H22" s="58" t="s">
        <v>80</v>
      </c>
      <c r="I22" s="44">
        <f>MATCH(B22,'Master_crosswalk '!W:W,0)</f>
        <v>61</v>
      </c>
    </row>
    <row r="23" spans="1:9" ht="14.4">
      <c r="A23" s="54" t="s">
        <v>1223</v>
      </c>
      <c r="B23" s="54" t="s">
        <v>257</v>
      </c>
      <c r="C23" s="55" t="s">
        <v>258</v>
      </c>
      <c r="D23" s="43" t="s">
        <v>80</v>
      </c>
      <c r="E23" s="56" t="s">
        <v>80</v>
      </c>
      <c r="F23" s="56" t="s">
        <v>80</v>
      </c>
      <c r="G23" s="56" t="s">
        <v>80</v>
      </c>
      <c r="H23" s="58" t="s">
        <v>80</v>
      </c>
      <c r="I23" s="44">
        <f>MATCH(B23,'Master_crosswalk '!W:W,0)</f>
        <v>62</v>
      </c>
    </row>
    <row r="24" spans="1:9" ht="14.4">
      <c r="A24" s="54" t="s">
        <v>1223</v>
      </c>
      <c r="B24" s="54" t="s">
        <v>176</v>
      </c>
      <c r="C24" s="55" t="s">
        <v>179</v>
      </c>
      <c r="D24" s="43" t="s">
        <v>80</v>
      </c>
      <c r="E24" s="56" t="s">
        <v>180</v>
      </c>
      <c r="F24" s="56" t="s">
        <v>80</v>
      </c>
      <c r="G24" s="56" t="s">
        <v>80</v>
      </c>
      <c r="H24" s="57" t="s">
        <v>80</v>
      </c>
      <c r="I24" s="44">
        <f>MATCH(B24,'Master_crosswalk '!W:W,0)</f>
        <v>29</v>
      </c>
    </row>
    <row r="25" spans="1:9" ht="14.4">
      <c r="A25" s="54" t="s">
        <v>1223</v>
      </c>
      <c r="B25" s="54" t="s">
        <v>188</v>
      </c>
      <c r="C25" s="55" t="s">
        <v>190</v>
      </c>
      <c r="D25" s="43" t="s">
        <v>80</v>
      </c>
      <c r="E25" s="56" t="s">
        <v>180</v>
      </c>
      <c r="F25" s="56" t="s">
        <v>80</v>
      </c>
      <c r="G25" s="56" t="s">
        <v>80</v>
      </c>
      <c r="H25" s="57" t="s">
        <v>80</v>
      </c>
      <c r="I25" s="44">
        <f>MATCH(B25,'Master_crosswalk '!W:W,0)</f>
        <v>30</v>
      </c>
    </row>
    <row r="26" spans="1:9" ht="14.4">
      <c r="A26" s="54" t="s">
        <v>1223</v>
      </c>
      <c r="B26" s="54" t="s">
        <v>230</v>
      </c>
      <c r="C26" s="55" t="s">
        <v>231</v>
      </c>
      <c r="D26" s="43" t="s">
        <v>80</v>
      </c>
      <c r="E26" s="56" t="s">
        <v>180</v>
      </c>
      <c r="F26" s="56" t="s">
        <v>80</v>
      </c>
      <c r="G26" s="56" t="s">
        <v>80</v>
      </c>
      <c r="H26" s="57" t="s">
        <v>80</v>
      </c>
      <c r="I26" s="44">
        <f>MATCH(B26,'Master_crosswalk '!W:W,0)</f>
        <v>45</v>
      </c>
    </row>
    <row r="27" spans="1:9" ht="14.4">
      <c r="A27" s="54" t="s">
        <v>1223</v>
      </c>
      <c r="B27" s="54" t="s">
        <v>233</v>
      </c>
      <c r="C27" s="55" t="s">
        <v>234</v>
      </c>
      <c r="D27" s="43" t="s">
        <v>80</v>
      </c>
      <c r="E27" s="56" t="s">
        <v>180</v>
      </c>
      <c r="F27" s="56" t="s">
        <v>80</v>
      </c>
      <c r="G27" s="56" t="s">
        <v>80</v>
      </c>
      <c r="H27" s="57" t="s">
        <v>80</v>
      </c>
      <c r="I27" s="44">
        <f>MATCH(B27,'Master_crosswalk '!W:W,0)</f>
        <v>46</v>
      </c>
    </row>
    <row r="28" spans="1:9" ht="86.4">
      <c r="A28" s="54" t="s">
        <v>1223</v>
      </c>
      <c r="B28" s="54" t="s">
        <v>289</v>
      </c>
      <c r="C28" s="55" t="s">
        <v>290</v>
      </c>
      <c r="D28" s="43" t="s">
        <v>80</v>
      </c>
      <c r="E28" s="56" t="s">
        <v>250</v>
      </c>
      <c r="F28" s="56">
        <v>150</v>
      </c>
      <c r="G28" s="56">
        <v>4000</v>
      </c>
      <c r="H28" s="57" t="s">
        <v>80</v>
      </c>
      <c r="I28" s="44">
        <f>MATCH(B28,'Master_crosswalk '!W:W,0)</f>
        <v>67</v>
      </c>
    </row>
    <row r="29" spans="1:9" ht="57.6">
      <c r="A29" s="54" t="s">
        <v>1223</v>
      </c>
      <c r="B29" s="54" t="s">
        <v>172</v>
      </c>
      <c r="C29" s="55" t="s">
        <v>173</v>
      </c>
      <c r="D29" s="43" t="s">
        <v>80</v>
      </c>
      <c r="E29" s="56" t="s">
        <v>80</v>
      </c>
      <c r="F29" s="56" t="s">
        <v>80</v>
      </c>
      <c r="G29" s="56" t="s">
        <v>80</v>
      </c>
      <c r="H29" s="58" t="s">
        <v>80</v>
      </c>
      <c r="I29" s="44">
        <f>MATCH(B29,'Master_crosswalk '!W:W,0)</f>
        <v>54</v>
      </c>
    </row>
    <row r="30" spans="1:9" ht="43.2">
      <c r="A30" s="63" t="s">
        <v>1246</v>
      </c>
      <c r="B30" s="54" t="s">
        <v>1091</v>
      </c>
      <c r="C30" s="55" t="s">
        <v>1092</v>
      </c>
      <c r="D30" s="43" t="s">
        <v>371</v>
      </c>
      <c r="E30" s="56" t="s">
        <v>279</v>
      </c>
      <c r="F30" s="56">
        <v>0</v>
      </c>
      <c r="G30" s="56">
        <v>100</v>
      </c>
      <c r="H30" s="57" t="s">
        <v>80</v>
      </c>
      <c r="I30" s="44">
        <f>MATCH(B30,'Master_crosswalk '!W:W,0)</f>
        <v>324</v>
      </c>
    </row>
    <row r="31" spans="1:9" ht="43.2">
      <c r="A31" s="63" t="s">
        <v>1246</v>
      </c>
      <c r="B31" s="54" t="s">
        <v>1094</v>
      </c>
      <c r="C31" s="55" t="s">
        <v>1095</v>
      </c>
      <c r="D31" s="43" t="s">
        <v>371</v>
      </c>
      <c r="E31" s="56" t="s">
        <v>279</v>
      </c>
      <c r="F31" s="56">
        <v>0</v>
      </c>
      <c r="G31" s="56">
        <v>100</v>
      </c>
      <c r="H31" s="57" t="s">
        <v>80</v>
      </c>
      <c r="I31" s="44">
        <f>MATCH(B31,'Master_crosswalk '!W:W,0)</f>
        <v>325</v>
      </c>
    </row>
    <row r="32" spans="1:9" ht="100.8">
      <c r="A32" s="63" t="s">
        <v>1246</v>
      </c>
      <c r="B32" s="54" t="s">
        <v>1248</v>
      </c>
      <c r="C32" s="55" t="s">
        <v>1249</v>
      </c>
      <c r="D32" s="43" t="s">
        <v>371</v>
      </c>
      <c r="E32" s="56" t="s">
        <v>161</v>
      </c>
      <c r="F32" s="56">
        <v>0</v>
      </c>
      <c r="G32" s="56">
        <v>2.6</v>
      </c>
      <c r="H32" s="57" t="s">
        <v>80</v>
      </c>
      <c r="I32" s="44" t="e">
        <f>MATCH(B32,'Master_crosswalk '!W:W,0)</f>
        <v>#N/A</v>
      </c>
    </row>
    <row r="33" spans="1:9" ht="57.6">
      <c r="A33" s="63" t="s">
        <v>1246</v>
      </c>
      <c r="B33" s="54" t="s">
        <v>1251</v>
      </c>
      <c r="C33" s="55" t="s">
        <v>1252</v>
      </c>
      <c r="D33" s="43" t="s">
        <v>371</v>
      </c>
      <c r="E33" s="56" t="s">
        <v>161</v>
      </c>
      <c r="F33" s="56">
        <v>0</v>
      </c>
      <c r="G33" s="56">
        <v>0.88</v>
      </c>
      <c r="H33" s="57" t="s">
        <v>497</v>
      </c>
      <c r="I33" s="44" t="e">
        <f>MATCH(B33,'Master_crosswalk '!W:W,0)</f>
        <v>#N/A</v>
      </c>
    </row>
    <row r="34" spans="1:9" ht="57.6">
      <c r="A34" s="63" t="s">
        <v>1246</v>
      </c>
      <c r="B34" s="54" t="s">
        <v>1253</v>
      </c>
      <c r="C34" s="55" t="s">
        <v>1254</v>
      </c>
      <c r="D34" s="43" t="s">
        <v>371</v>
      </c>
      <c r="E34" s="56" t="s">
        <v>161</v>
      </c>
      <c r="F34" s="56">
        <v>0</v>
      </c>
      <c r="G34" s="56">
        <v>0.88</v>
      </c>
      <c r="H34" s="57" t="s">
        <v>497</v>
      </c>
      <c r="I34" s="44" t="e">
        <f>MATCH(B34,'Master_crosswalk '!W:W,0)</f>
        <v>#N/A</v>
      </c>
    </row>
    <row r="35" spans="1:9" ht="57.6">
      <c r="A35" s="63" t="s">
        <v>1246</v>
      </c>
      <c r="B35" s="54" t="s">
        <v>1255</v>
      </c>
      <c r="C35" s="55" t="s">
        <v>1256</v>
      </c>
      <c r="D35" s="43" t="s">
        <v>371</v>
      </c>
      <c r="E35" s="56" t="s">
        <v>161</v>
      </c>
      <c r="F35" s="56">
        <v>0</v>
      </c>
      <c r="G35" s="56">
        <v>0.88</v>
      </c>
      <c r="H35" s="57" t="s">
        <v>497</v>
      </c>
      <c r="I35" s="44" t="e">
        <f>MATCH(B35,'Master_crosswalk '!W:W,0)</f>
        <v>#N/A</v>
      </c>
    </row>
    <row r="36" spans="1:9" ht="57.6">
      <c r="A36" s="63" t="s">
        <v>1246</v>
      </c>
      <c r="B36" s="54" t="s">
        <v>1257</v>
      </c>
      <c r="C36" s="55" t="s">
        <v>1258</v>
      </c>
      <c r="D36" s="43" t="s">
        <v>309</v>
      </c>
      <c r="E36" s="56" t="s">
        <v>279</v>
      </c>
      <c r="F36" s="56">
        <v>0</v>
      </c>
      <c r="G36" s="56">
        <v>100</v>
      </c>
      <c r="H36" s="57" t="s">
        <v>497</v>
      </c>
      <c r="I36" s="44" t="e">
        <f>MATCH(B36,'Master_crosswalk '!W:W,0)</f>
        <v>#N/A</v>
      </c>
    </row>
    <row r="37" spans="1:9" ht="57.6">
      <c r="A37" s="63" t="s">
        <v>1246</v>
      </c>
      <c r="B37" s="54" t="s">
        <v>1259</v>
      </c>
      <c r="C37" s="55" t="s">
        <v>1260</v>
      </c>
      <c r="D37" s="43" t="s">
        <v>371</v>
      </c>
      <c r="E37" s="56" t="s">
        <v>279</v>
      </c>
      <c r="F37" s="56">
        <v>0</v>
      </c>
      <c r="G37" s="56">
        <v>100</v>
      </c>
      <c r="H37" s="57" t="s">
        <v>497</v>
      </c>
      <c r="I37" s="44" t="e">
        <f>MATCH(B37,'Master_crosswalk '!W:W,0)</f>
        <v>#N/A</v>
      </c>
    </row>
    <row r="38" spans="1:9" ht="57.6">
      <c r="A38" s="63" t="s">
        <v>1246</v>
      </c>
      <c r="B38" s="54" t="s">
        <v>1261</v>
      </c>
      <c r="C38" s="55" t="s">
        <v>1262</v>
      </c>
      <c r="D38" s="43" t="s">
        <v>309</v>
      </c>
      <c r="E38" s="56" t="s">
        <v>279</v>
      </c>
      <c r="F38" s="56">
        <v>0</v>
      </c>
      <c r="G38" s="56">
        <v>100</v>
      </c>
      <c r="H38" s="57" t="s">
        <v>497</v>
      </c>
      <c r="I38" s="44" t="e">
        <f>MATCH(B38,'Master_crosswalk '!W:W,0)</f>
        <v>#N/A</v>
      </c>
    </row>
    <row r="39" spans="1:9" ht="57.6">
      <c r="A39" s="63" t="s">
        <v>1246</v>
      </c>
      <c r="B39" s="54" t="s">
        <v>1263</v>
      </c>
      <c r="C39" s="55" t="s">
        <v>1264</v>
      </c>
      <c r="D39" s="43" t="s">
        <v>371</v>
      </c>
      <c r="E39" s="56" t="s">
        <v>279</v>
      </c>
      <c r="F39" s="56">
        <v>0</v>
      </c>
      <c r="G39" s="56">
        <v>100</v>
      </c>
      <c r="H39" s="57" t="s">
        <v>497</v>
      </c>
      <c r="I39" s="44" t="e">
        <f>MATCH(B39,'Master_crosswalk '!W:W,0)</f>
        <v>#N/A</v>
      </c>
    </row>
    <row r="40" spans="1:9" ht="57.6">
      <c r="A40" s="63" t="s">
        <v>1246</v>
      </c>
      <c r="B40" s="54" t="s">
        <v>1267</v>
      </c>
      <c r="C40" s="55" t="s">
        <v>1268</v>
      </c>
      <c r="D40" s="43" t="s">
        <v>371</v>
      </c>
      <c r="E40" s="56" t="s">
        <v>279</v>
      </c>
      <c r="F40" s="56">
        <v>0</v>
      </c>
      <c r="G40" s="56">
        <v>100</v>
      </c>
      <c r="H40" s="57" t="s">
        <v>497</v>
      </c>
      <c r="I40" s="44" t="e">
        <f>MATCH(B40,'Master_crosswalk '!W:W,0)</f>
        <v>#N/A</v>
      </c>
    </row>
    <row r="41" spans="1:9" ht="14.4">
      <c r="A41" s="63" t="s">
        <v>1246</v>
      </c>
      <c r="B41" s="54" t="s">
        <v>878</v>
      </c>
      <c r="C41" s="55" t="s">
        <v>879</v>
      </c>
      <c r="D41" s="43" t="s">
        <v>309</v>
      </c>
      <c r="E41" s="56" t="s">
        <v>80</v>
      </c>
      <c r="F41" s="56" t="s">
        <v>448</v>
      </c>
      <c r="G41" s="56" t="s">
        <v>513</v>
      </c>
      <c r="H41" s="57" t="s">
        <v>80</v>
      </c>
      <c r="I41" s="44">
        <f>MATCH(B41,'Master_crosswalk '!W:W,0)</f>
        <v>236</v>
      </c>
    </row>
    <row r="42" spans="1:9" ht="28.8">
      <c r="A42" s="63" t="s">
        <v>1246</v>
      </c>
      <c r="B42" s="54" t="s">
        <v>862</v>
      </c>
      <c r="C42" s="55" t="s">
        <v>863</v>
      </c>
      <c r="D42" s="43" t="s">
        <v>371</v>
      </c>
      <c r="E42" s="56" t="s">
        <v>864</v>
      </c>
      <c r="F42" s="56">
        <v>0</v>
      </c>
      <c r="G42" s="56" t="s">
        <v>161</v>
      </c>
      <c r="H42" s="57" t="s">
        <v>80</v>
      </c>
      <c r="I42" s="44">
        <f>MATCH(B42,'Master_crosswalk '!W:W,0)</f>
        <v>231</v>
      </c>
    </row>
    <row r="43" spans="1:9" ht="28.8">
      <c r="A43" s="63" t="s">
        <v>1246</v>
      </c>
      <c r="B43" s="54" t="s">
        <v>868</v>
      </c>
      <c r="C43" s="55" t="s">
        <v>869</v>
      </c>
      <c r="D43" s="43" t="s">
        <v>80</v>
      </c>
      <c r="E43" s="56" t="s">
        <v>864</v>
      </c>
      <c r="F43" s="56" t="s">
        <v>870</v>
      </c>
      <c r="G43" s="56" t="s">
        <v>161</v>
      </c>
      <c r="H43" s="57" t="s">
        <v>80</v>
      </c>
      <c r="I43" s="44">
        <f>MATCH(B43,'Master_crosswalk '!W:W,0)</f>
        <v>232</v>
      </c>
    </row>
    <row r="44" spans="1:9" ht="100.8">
      <c r="A44" s="63" t="s">
        <v>1246</v>
      </c>
      <c r="B44" s="54" t="s">
        <v>874</v>
      </c>
      <c r="C44" s="66" t="s">
        <v>875</v>
      </c>
      <c r="D44" s="43" t="s">
        <v>371</v>
      </c>
      <c r="E44" s="67" t="s">
        <v>161</v>
      </c>
      <c r="F44" s="56">
        <v>0</v>
      </c>
      <c r="G44" s="56" t="s">
        <v>876</v>
      </c>
      <c r="H44" s="57" t="s">
        <v>80</v>
      </c>
      <c r="I44" s="44">
        <f>MATCH(B44,'Master_crosswalk '!W:W,0)</f>
        <v>234</v>
      </c>
    </row>
    <row r="45" spans="1:9" ht="28.8">
      <c r="A45" s="63" t="s">
        <v>1246</v>
      </c>
      <c r="B45" s="54" t="s">
        <v>883</v>
      </c>
      <c r="C45" s="55" t="s">
        <v>884</v>
      </c>
      <c r="D45" s="43" t="s">
        <v>371</v>
      </c>
      <c r="E45" s="56" t="s">
        <v>161</v>
      </c>
      <c r="F45" s="56" t="s">
        <v>80</v>
      </c>
      <c r="G45" s="56" t="s">
        <v>80</v>
      </c>
      <c r="H45" s="57" t="s">
        <v>80</v>
      </c>
      <c r="I45" s="44">
        <f>MATCH(B45,'Master_crosswalk '!W:W,0)</f>
        <v>237</v>
      </c>
    </row>
    <row r="46" spans="1:9" ht="86.4">
      <c r="A46" s="63" t="s">
        <v>1246</v>
      </c>
      <c r="B46" s="54" t="s">
        <v>886</v>
      </c>
      <c r="C46" s="55" t="s">
        <v>887</v>
      </c>
      <c r="D46" s="43" t="s">
        <v>80</v>
      </c>
      <c r="E46" s="56" t="s">
        <v>80</v>
      </c>
      <c r="F46" s="56" t="s">
        <v>80</v>
      </c>
      <c r="G46" s="56" t="s">
        <v>80</v>
      </c>
      <c r="H46" s="57" t="s">
        <v>80</v>
      </c>
      <c r="I46" s="44">
        <f>MATCH(B46,'Master_crosswalk '!W:W,0)</f>
        <v>238</v>
      </c>
    </row>
    <row r="47" spans="1:9" ht="72">
      <c r="A47" s="63" t="s">
        <v>1246</v>
      </c>
      <c r="B47" s="54" t="s">
        <v>897</v>
      </c>
      <c r="C47" s="55" t="s">
        <v>894</v>
      </c>
      <c r="D47" s="43" t="s">
        <v>80</v>
      </c>
      <c r="E47" s="56" t="s">
        <v>895</v>
      </c>
      <c r="F47" s="56">
        <v>0</v>
      </c>
      <c r="G47" s="56">
        <v>400</v>
      </c>
      <c r="H47" s="57" t="s">
        <v>80</v>
      </c>
      <c r="I47" s="44">
        <f>MATCH(B47,'Master_crosswalk '!W:W,0)</f>
        <v>242</v>
      </c>
    </row>
    <row r="48" spans="1:9" ht="86.4">
      <c r="A48" s="63" t="s">
        <v>1246</v>
      </c>
      <c r="B48" s="54" t="s">
        <v>893</v>
      </c>
      <c r="C48" s="55" t="s">
        <v>898</v>
      </c>
      <c r="D48" s="43" t="s">
        <v>80</v>
      </c>
      <c r="E48" s="56" t="s">
        <v>80</v>
      </c>
      <c r="F48" s="56" t="s">
        <v>899</v>
      </c>
      <c r="G48" s="56" t="s">
        <v>900</v>
      </c>
      <c r="H48" s="57" t="s">
        <v>80</v>
      </c>
      <c r="I48" s="44">
        <f>MATCH(B48,'Master_crosswalk '!W:W,0)</f>
        <v>241</v>
      </c>
    </row>
    <row r="49" spans="1:9" ht="14.4">
      <c r="A49" s="54" t="s">
        <v>1280</v>
      </c>
      <c r="B49" s="54" t="s">
        <v>830</v>
      </c>
      <c r="C49" s="55" t="s">
        <v>831</v>
      </c>
      <c r="D49" s="43" t="s">
        <v>309</v>
      </c>
      <c r="E49" s="56" t="s">
        <v>832</v>
      </c>
      <c r="F49" s="56">
        <v>0</v>
      </c>
      <c r="G49" s="56" t="s">
        <v>161</v>
      </c>
      <c r="H49" s="57" t="s">
        <v>80</v>
      </c>
      <c r="I49" s="44">
        <f>MATCH(B49,'Master_crosswalk '!W:W,0)</f>
        <v>221</v>
      </c>
    </row>
    <row r="50" spans="1:9" ht="28.8">
      <c r="A50" s="54" t="s">
        <v>1280</v>
      </c>
      <c r="B50" s="54" t="s">
        <v>834</v>
      </c>
      <c r="C50" s="55" t="s">
        <v>835</v>
      </c>
      <c r="D50" s="43" t="s">
        <v>80</v>
      </c>
      <c r="E50" s="56" t="s">
        <v>832</v>
      </c>
      <c r="F50" s="56">
        <v>0</v>
      </c>
      <c r="G50" s="56" t="s">
        <v>161</v>
      </c>
      <c r="H50" s="57" t="s">
        <v>80</v>
      </c>
      <c r="I50" s="44">
        <f>MATCH(B50,'Master_crosswalk '!W:W,0)</f>
        <v>222</v>
      </c>
    </row>
    <row r="51" spans="1:9" ht="14.4">
      <c r="A51" s="54" t="s">
        <v>1280</v>
      </c>
      <c r="B51" s="54" t="s">
        <v>837</v>
      </c>
      <c r="C51" s="55" t="s">
        <v>838</v>
      </c>
      <c r="D51" s="43" t="s">
        <v>309</v>
      </c>
      <c r="E51" s="56" t="s">
        <v>832</v>
      </c>
      <c r="F51" s="56">
        <v>0</v>
      </c>
      <c r="G51" s="56" t="s">
        <v>161</v>
      </c>
      <c r="H51" s="57" t="s">
        <v>80</v>
      </c>
      <c r="I51" s="44">
        <f>MATCH(B51,'Master_crosswalk '!W:W,0)</f>
        <v>223</v>
      </c>
    </row>
    <row r="52" spans="1:9" ht="28.8">
      <c r="A52" s="54" t="s">
        <v>1280</v>
      </c>
      <c r="B52" s="54" t="s">
        <v>840</v>
      </c>
      <c r="C52" s="55" t="s">
        <v>841</v>
      </c>
      <c r="D52" s="43" t="s">
        <v>309</v>
      </c>
      <c r="E52" s="56" t="s">
        <v>832</v>
      </c>
      <c r="F52" s="56">
        <v>0</v>
      </c>
      <c r="G52" s="56" t="s">
        <v>161</v>
      </c>
      <c r="H52" s="57" t="s">
        <v>80</v>
      </c>
      <c r="I52" s="44">
        <f>MATCH(B52,'Master_crosswalk '!W:W,0)</f>
        <v>224</v>
      </c>
    </row>
    <row r="53" spans="1:9" ht="43.2">
      <c r="A53" s="54" t="s">
        <v>1280</v>
      </c>
      <c r="B53" s="54" t="s">
        <v>843</v>
      </c>
      <c r="C53" s="55" t="s">
        <v>844</v>
      </c>
      <c r="D53" s="43" t="s">
        <v>309</v>
      </c>
      <c r="E53" s="56" t="s">
        <v>845</v>
      </c>
      <c r="F53" s="56">
        <v>0</v>
      </c>
      <c r="G53" s="56">
        <v>65500</v>
      </c>
      <c r="H53" s="57" t="s">
        <v>80</v>
      </c>
      <c r="I53" s="44">
        <f>MATCH(B53,'Master_crosswalk '!W:W,0)</f>
        <v>225</v>
      </c>
    </row>
    <row r="54" spans="1:9" ht="28.8">
      <c r="A54" s="54" t="s">
        <v>1280</v>
      </c>
      <c r="B54" s="54" t="s">
        <v>847</v>
      </c>
      <c r="C54" s="55" t="s">
        <v>848</v>
      </c>
      <c r="D54" s="43" t="s">
        <v>80</v>
      </c>
      <c r="E54" s="56" t="s">
        <v>845</v>
      </c>
      <c r="F54" s="56">
        <v>0</v>
      </c>
      <c r="G54" s="56">
        <v>65500</v>
      </c>
      <c r="H54" s="57" t="s">
        <v>80</v>
      </c>
      <c r="I54" s="44">
        <f>MATCH(B54,'Master_crosswalk '!W:W,0)</f>
        <v>226</v>
      </c>
    </row>
    <row r="55" spans="1:9" ht="14.4">
      <c r="A55" s="54" t="s">
        <v>1280</v>
      </c>
      <c r="B55" s="54" t="s">
        <v>849</v>
      </c>
      <c r="C55" s="55" t="s">
        <v>850</v>
      </c>
      <c r="D55" s="43" t="s">
        <v>851</v>
      </c>
      <c r="E55" s="56" t="s">
        <v>852</v>
      </c>
      <c r="F55" s="56">
        <v>0</v>
      </c>
      <c r="G55" s="56">
        <v>14</v>
      </c>
      <c r="H55" s="57" t="s">
        <v>80</v>
      </c>
      <c r="I55" s="44">
        <f>MATCH(B55,'Master_crosswalk '!W:W,0)</f>
        <v>227</v>
      </c>
    </row>
    <row r="56" spans="1:9" ht="14.4">
      <c r="A56" s="54" t="s">
        <v>1280</v>
      </c>
      <c r="B56" s="54" t="s">
        <v>816</v>
      </c>
      <c r="C56" s="55" t="s">
        <v>818</v>
      </c>
      <c r="D56" s="43" t="s">
        <v>309</v>
      </c>
      <c r="E56" s="56" t="s">
        <v>819</v>
      </c>
      <c r="F56" s="56">
        <v>0</v>
      </c>
      <c r="G56" s="56" t="s">
        <v>161</v>
      </c>
      <c r="H56" s="57" t="s">
        <v>80</v>
      </c>
      <c r="I56" s="44">
        <f>MATCH(B56,'Master_crosswalk '!W:W,0)</f>
        <v>219</v>
      </c>
    </row>
    <row r="57" spans="1:9" ht="28.8">
      <c r="A57" s="54" t="s">
        <v>1280</v>
      </c>
      <c r="B57" s="54" t="s">
        <v>855</v>
      </c>
      <c r="C57" s="55" t="s">
        <v>856</v>
      </c>
      <c r="D57" s="43" t="s">
        <v>309</v>
      </c>
      <c r="E57" s="56" t="s">
        <v>857</v>
      </c>
      <c r="F57" s="56">
        <v>0</v>
      </c>
      <c r="G57" s="56" t="s">
        <v>161</v>
      </c>
      <c r="H57" s="57" t="s">
        <v>80</v>
      </c>
      <c r="I57" s="44">
        <f>MATCH(B57,'Master_crosswalk '!W:W,0)</f>
        <v>229</v>
      </c>
    </row>
    <row r="58" spans="1:9" ht="57.6">
      <c r="A58" s="69" t="s">
        <v>1281</v>
      </c>
      <c r="B58" s="54" t="s">
        <v>402</v>
      </c>
      <c r="C58" s="55" t="s">
        <v>403</v>
      </c>
      <c r="D58" s="43" t="s">
        <v>371</v>
      </c>
      <c r="E58" s="56" t="s">
        <v>279</v>
      </c>
      <c r="F58" s="56">
        <v>0</v>
      </c>
      <c r="G58" s="56">
        <v>100</v>
      </c>
      <c r="H58" s="57" t="s">
        <v>388</v>
      </c>
      <c r="I58" s="44">
        <f>MATCH(B58,'Master_crosswalk '!W:W,0)</f>
        <v>93</v>
      </c>
    </row>
    <row r="59" spans="1:9" ht="57.6">
      <c r="A59" s="69" t="s">
        <v>1281</v>
      </c>
      <c r="B59" s="54" t="s">
        <v>386</v>
      </c>
      <c r="C59" s="55" t="s">
        <v>387</v>
      </c>
      <c r="D59" s="43" t="s">
        <v>371</v>
      </c>
      <c r="E59" s="56" t="s">
        <v>250</v>
      </c>
      <c r="F59" s="56">
        <v>0</v>
      </c>
      <c r="G59" s="56" t="s">
        <v>161</v>
      </c>
      <c r="H59" s="57" t="s">
        <v>388</v>
      </c>
      <c r="I59" s="44">
        <f>MATCH(B59,'Master_crosswalk '!W:W,0)</f>
        <v>90</v>
      </c>
    </row>
    <row r="60" spans="1:9" ht="57.6">
      <c r="A60" s="69" t="s">
        <v>1281</v>
      </c>
      <c r="B60" s="54" t="s">
        <v>411</v>
      </c>
      <c r="C60" s="55" t="s">
        <v>412</v>
      </c>
      <c r="D60" s="43" t="s">
        <v>371</v>
      </c>
      <c r="E60" s="56" t="s">
        <v>413</v>
      </c>
      <c r="F60" s="56">
        <v>0</v>
      </c>
      <c r="G60" s="56" t="s">
        <v>161</v>
      </c>
      <c r="H60" s="57" t="s">
        <v>388</v>
      </c>
      <c r="I60" s="44">
        <f>MATCH(B60,'Master_crosswalk '!W:W,0)</f>
        <v>94</v>
      </c>
    </row>
    <row r="61" spans="1:9" ht="28.8">
      <c r="A61" s="69" t="s">
        <v>1281</v>
      </c>
      <c r="B61" s="54" t="s">
        <v>715</v>
      </c>
      <c r="C61" s="55" t="s">
        <v>716</v>
      </c>
      <c r="D61" s="43" t="s">
        <v>371</v>
      </c>
      <c r="E61" s="56" t="s">
        <v>717</v>
      </c>
      <c r="F61" s="56">
        <v>0</v>
      </c>
      <c r="G61" s="56" t="s">
        <v>161</v>
      </c>
      <c r="H61" s="57" t="s">
        <v>80</v>
      </c>
      <c r="I61" s="44">
        <f>MATCH(B61,'Master_crosswalk '!W:W,0)</f>
        <v>183</v>
      </c>
    </row>
    <row r="62" spans="1:9" ht="28.8">
      <c r="A62" s="69" t="s">
        <v>1281</v>
      </c>
      <c r="B62" s="54" t="s">
        <v>725</v>
      </c>
      <c r="C62" s="55" t="s">
        <v>726</v>
      </c>
      <c r="D62" s="43" t="s">
        <v>371</v>
      </c>
      <c r="E62" s="56" t="s">
        <v>727</v>
      </c>
      <c r="F62" s="56">
        <v>0</v>
      </c>
      <c r="G62" s="56" t="s">
        <v>161</v>
      </c>
      <c r="H62" s="57" t="s">
        <v>80</v>
      </c>
      <c r="I62" s="44">
        <f>MATCH(B62,'Master_crosswalk '!W:W,0)</f>
        <v>184</v>
      </c>
    </row>
    <row r="63" spans="1:9" ht="86.4">
      <c r="A63" s="69" t="s">
        <v>1281</v>
      </c>
      <c r="B63" s="54" t="s">
        <v>583</v>
      </c>
      <c r="C63" s="55" t="s">
        <v>584</v>
      </c>
      <c r="D63" s="43" t="s">
        <v>309</v>
      </c>
      <c r="E63" s="56" t="s">
        <v>279</v>
      </c>
      <c r="F63" s="56">
        <v>0</v>
      </c>
      <c r="G63" s="56">
        <v>100</v>
      </c>
      <c r="H63" s="57" t="s">
        <v>585</v>
      </c>
      <c r="I63" s="44">
        <f>MATCH(B63,'Master_crosswalk '!W:W,0)</f>
        <v>140</v>
      </c>
    </row>
    <row r="64" spans="1:9" ht="86.4">
      <c r="A64" s="69" t="s">
        <v>1281</v>
      </c>
      <c r="B64" s="54" t="s">
        <v>590</v>
      </c>
      <c r="C64" s="55" t="s">
        <v>592</v>
      </c>
      <c r="D64" s="43" t="s">
        <v>309</v>
      </c>
      <c r="E64" s="56" t="s">
        <v>279</v>
      </c>
      <c r="F64" s="56">
        <v>0</v>
      </c>
      <c r="G64" s="56">
        <v>100</v>
      </c>
      <c r="H64" s="57" t="s">
        <v>585</v>
      </c>
      <c r="I64" s="44">
        <f>MATCH(B64,'Master_crosswalk '!W:W,0)</f>
        <v>141</v>
      </c>
    </row>
    <row r="65" spans="1:9" ht="57.6">
      <c r="A65" s="69" t="s">
        <v>1281</v>
      </c>
      <c r="B65" s="54" t="s">
        <v>596</v>
      </c>
      <c r="C65" s="55" t="s">
        <v>597</v>
      </c>
      <c r="D65" s="43" t="s">
        <v>371</v>
      </c>
      <c r="E65" s="56" t="s">
        <v>572</v>
      </c>
      <c r="F65" s="56">
        <v>1</v>
      </c>
      <c r="G65" s="56">
        <v>4098</v>
      </c>
      <c r="H65" s="57" t="s">
        <v>388</v>
      </c>
      <c r="I65" s="44">
        <f>MATCH(B65,'Master_crosswalk '!W:W,0)</f>
        <v>144</v>
      </c>
    </row>
    <row r="66" spans="1:9" ht="57.6">
      <c r="A66" s="69" t="s">
        <v>1281</v>
      </c>
      <c r="B66" s="54" t="s">
        <v>599</v>
      </c>
      <c r="C66" s="55" t="s">
        <v>600</v>
      </c>
      <c r="D66" s="43" t="s">
        <v>371</v>
      </c>
      <c r="E66" s="56" t="s">
        <v>572</v>
      </c>
      <c r="F66" s="56">
        <v>1</v>
      </c>
      <c r="G66" s="56">
        <v>4098</v>
      </c>
      <c r="H66" s="57" t="s">
        <v>388</v>
      </c>
      <c r="I66" s="44">
        <f>MATCH(B66,'Master_crosswalk '!W:W,0)</f>
        <v>145</v>
      </c>
    </row>
    <row r="67" spans="1:9" ht="57.6">
      <c r="A67" s="69" t="s">
        <v>1281</v>
      </c>
      <c r="B67" s="54" t="s">
        <v>570</v>
      </c>
      <c r="C67" s="55" t="s">
        <v>571</v>
      </c>
      <c r="D67" s="43" t="s">
        <v>371</v>
      </c>
      <c r="E67" s="56" t="s">
        <v>572</v>
      </c>
      <c r="F67" s="56">
        <v>1</v>
      </c>
      <c r="G67" s="56">
        <v>4098</v>
      </c>
      <c r="H67" s="57" t="s">
        <v>388</v>
      </c>
      <c r="I67" s="44">
        <f>MATCH(B67,'Master_crosswalk '!W:W,0)</f>
        <v>139</v>
      </c>
    </row>
    <row r="68" spans="1:9" ht="86.4">
      <c r="A68" s="69" t="s">
        <v>1281</v>
      </c>
      <c r="B68" s="54" t="s">
        <v>669</v>
      </c>
      <c r="C68" s="55" t="s">
        <v>670</v>
      </c>
      <c r="D68" s="43" t="s">
        <v>371</v>
      </c>
      <c r="E68" s="56" t="s">
        <v>572</v>
      </c>
      <c r="F68" s="56">
        <v>1</v>
      </c>
      <c r="G68" s="56">
        <v>4098</v>
      </c>
      <c r="H68" s="57" t="s">
        <v>388</v>
      </c>
      <c r="I68" s="44">
        <f>MATCH(B68,'Master_crosswalk '!W:W,0)</f>
        <v>167</v>
      </c>
    </row>
    <row r="69" spans="1:9" ht="72">
      <c r="A69" s="69" t="s">
        <v>1281</v>
      </c>
      <c r="B69" s="54" t="s">
        <v>575</v>
      </c>
      <c r="C69" s="55" t="s">
        <v>577</v>
      </c>
      <c r="D69" s="43" t="s">
        <v>309</v>
      </c>
      <c r="E69" s="56" t="s">
        <v>279</v>
      </c>
      <c r="F69" s="56">
        <v>0</v>
      </c>
      <c r="G69" s="56">
        <v>100</v>
      </c>
      <c r="H69" s="57" t="s">
        <v>578</v>
      </c>
      <c r="I69" s="44">
        <f>MATCH(B69,'Master_crosswalk '!W:W,0)</f>
        <v>142</v>
      </c>
    </row>
    <row r="70" spans="1:9" ht="72">
      <c r="A70" s="69" t="s">
        <v>1281</v>
      </c>
      <c r="B70" s="54" t="s">
        <v>602</v>
      </c>
      <c r="C70" s="55" t="s">
        <v>603</v>
      </c>
      <c r="D70" s="43" t="s">
        <v>309</v>
      </c>
      <c r="E70" s="56" t="s">
        <v>279</v>
      </c>
      <c r="F70" s="56">
        <v>0</v>
      </c>
      <c r="G70" s="56">
        <v>100</v>
      </c>
      <c r="H70" s="57" t="s">
        <v>578</v>
      </c>
      <c r="I70" s="44">
        <f>MATCH(B70,'Master_crosswalk '!W:W,0)</f>
        <v>143</v>
      </c>
    </row>
    <row r="71" spans="1:9" ht="43.2">
      <c r="A71" s="69" t="s">
        <v>1281</v>
      </c>
      <c r="B71" s="54" t="s">
        <v>552</v>
      </c>
      <c r="C71" s="55" t="s">
        <v>553</v>
      </c>
      <c r="D71" s="43" t="s">
        <v>371</v>
      </c>
      <c r="E71" s="56" t="s">
        <v>279</v>
      </c>
      <c r="F71" s="56">
        <v>0</v>
      </c>
      <c r="G71" s="56">
        <v>100</v>
      </c>
      <c r="H71" s="57" t="s">
        <v>80</v>
      </c>
      <c r="I71" s="44">
        <f>MATCH(B71,'Master_crosswalk '!W:W,0)</f>
        <v>133</v>
      </c>
    </row>
    <row r="72" spans="1:9" ht="28.8">
      <c r="A72" s="69" t="s">
        <v>1281</v>
      </c>
      <c r="B72" s="54" t="s">
        <v>531</v>
      </c>
      <c r="C72" s="55" t="s">
        <v>532</v>
      </c>
      <c r="D72" s="43" t="s">
        <v>371</v>
      </c>
      <c r="E72" s="56" t="s">
        <v>279</v>
      </c>
      <c r="F72" s="56">
        <v>0</v>
      </c>
      <c r="G72" s="56">
        <v>100</v>
      </c>
      <c r="H72" s="57" t="s">
        <v>80</v>
      </c>
      <c r="I72" s="44">
        <f>MATCH(B72,'Master_crosswalk '!W:W,0)</f>
        <v>127</v>
      </c>
    </row>
    <row r="73" spans="1:9" ht="57.6">
      <c r="A73" s="69" t="s">
        <v>1281</v>
      </c>
      <c r="B73" s="54" t="s">
        <v>555</v>
      </c>
      <c r="C73" s="55" t="s">
        <v>556</v>
      </c>
      <c r="D73" s="43" t="s">
        <v>371</v>
      </c>
      <c r="E73" s="56" t="s">
        <v>279</v>
      </c>
      <c r="F73" s="56">
        <v>0</v>
      </c>
      <c r="G73" s="56">
        <v>100</v>
      </c>
      <c r="H73" s="57" t="s">
        <v>80</v>
      </c>
      <c r="I73" s="44">
        <f>MATCH(B73,'Master_crosswalk '!W:W,0)</f>
        <v>134</v>
      </c>
    </row>
    <row r="74" spans="1:9" ht="28.8">
      <c r="A74" s="69" t="s">
        <v>1281</v>
      </c>
      <c r="B74" s="71" t="s">
        <v>558</v>
      </c>
      <c r="C74" s="55" t="s">
        <v>559</v>
      </c>
      <c r="D74" s="43" t="s">
        <v>371</v>
      </c>
      <c r="E74" s="56" t="s">
        <v>279</v>
      </c>
      <c r="F74" s="56">
        <v>0</v>
      </c>
      <c r="G74" s="56">
        <v>100</v>
      </c>
      <c r="H74" s="57" t="s">
        <v>80</v>
      </c>
      <c r="I74" s="44">
        <f>MATCH(B74,'Master_crosswalk '!W:W,0)</f>
        <v>135</v>
      </c>
    </row>
    <row r="75" spans="1:9" ht="28.8">
      <c r="A75" s="69" t="s">
        <v>1281</v>
      </c>
      <c r="B75" s="71" t="s">
        <v>561</v>
      </c>
      <c r="C75" s="55" t="s">
        <v>562</v>
      </c>
      <c r="D75" s="43" t="s">
        <v>371</v>
      </c>
      <c r="E75" s="56" t="s">
        <v>279</v>
      </c>
      <c r="F75" s="56">
        <v>0</v>
      </c>
      <c r="G75" s="56">
        <v>100</v>
      </c>
      <c r="H75" s="57" t="s">
        <v>80</v>
      </c>
      <c r="I75" s="44">
        <f>MATCH(B75,'Master_crosswalk '!W:W,0)</f>
        <v>136</v>
      </c>
    </row>
    <row r="76" spans="1:9" ht="14.4">
      <c r="A76" s="69" t="s">
        <v>1281</v>
      </c>
      <c r="B76" s="71" t="s">
        <v>564</v>
      </c>
      <c r="C76" s="55" t="s">
        <v>565</v>
      </c>
      <c r="D76" s="43" t="s">
        <v>371</v>
      </c>
      <c r="E76" s="56" t="s">
        <v>279</v>
      </c>
      <c r="F76" s="56">
        <v>0</v>
      </c>
      <c r="G76" s="56">
        <v>100</v>
      </c>
      <c r="H76" s="57" t="s">
        <v>80</v>
      </c>
      <c r="I76" s="44">
        <f>MATCH(B76,'Master_crosswalk '!W:W,0)</f>
        <v>137</v>
      </c>
    </row>
    <row r="77" spans="1:9" ht="28.8">
      <c r="A77" s="69" t="s">
        <v>1281</v>
      </c>
      <c r="B77" s="71" t="s">
        <v>566</v>
      </c>
      <c r="C77" s="55" t="s">
        <v>567</v>
      </c>
      <c r="D77" s="43" t="s">
        <v>371</v>
      </c>
      <c r="E77" s="56" t="s">
        <v>279</v>
      </c>
      <c r="F77" s="56">
        <v>0</v>
      </c>
      <c r="G77" s="56">
        <v>100</v>
      </c>
      <c r="H77" s="57" t="s">
        <v>80</v>
      </c>
      <c r="I77" s="44">
        <f>MATCH(B77,'Master_crosswalk '!W:W,0)</f>
        <v>138</v>
      </c>
    </row>
    <row r="78" spans="1:9" ht="28.8">
      <c r="A78" s="69" t="s">
        <v>1281</v>
      </c>
      <c r="B78" s="54" t="s">
        <v>307</v>
      </c>
      <c r="C78" s="55" t="s">
        <v>308</v>
      </c>
      <c r="D78" s="43" t="s">
        <v>309</v>
      </c>
      <c r="E78" s="56" t="s">
        <v>250</v>
      </c>
      <c r="F78" s="56">
        <v>0</v>
      </c>
      <c r="G78" s="56" t="s">
        <v>161</v>
      </c>
      <c r="H78" s="57" t="s">
        <v>80</v>
      </c>
      <c r="I78" s="44">
        <f>MATCH(B78,'Master_crosswalk '!W:W,0)</f>
        <v>69</v>
      </c>
    </row>
    <row r="79" spans="1:9" ht="28.8">
      <c r="A79" s="69" t="s">
        <v>1281</v>
      </c>
      <c r="B79" s="54" t="s">
        <v>361</v>
      </c>
      <c r="C79" s="55" t="s">
        <v>362</v>
      </c>
      <c r="D79" s="43" t="s">
        <v>309</v>
      </c>
      <c r="E79" s="56" t="s">
        <v>250</v>
      </c>
      <c r="F79" s="56">
        <v>0</v>
      </c>
      <c r="G79" s="56" t="s">
        <v>161</v>
      </c>
      <c r="H79" s="57" t="s">
        <v>80</v>
      </c>
      <c r="I79" s="44">
        <f>MATCH(B79,'Master_crosswalk '!W:W,0)</f>
        <v>85</v>
      </c>
    </row>
    <row r="80" spans="1:9" ht="43.2">
      <c r="A80" s="69" t="s">
        <v>1281</v>
      </c>
      <c r="B80" s="54" t="s">
        <v>489</v>
      </c>
      <c r="C80" s="55" t="s">
        <v>490</v>
      </c>
      <c r="D80" s="43" t="s">
        <v>309</v>
      </c>
      <c r="E80" s="56" t="s">
        <v>161</v>
      </c>
      <c r="F80" s="56">
        <v>-1</v>
      </c>
      <c r="G80" s="56">
        <v>2</v>
      </c>
      <c r="H80" s="57" t="s">
        <v>80</v>
      </c>
      <c r="I80" s="44">
        <f>MATCH(B80,'Master_crosswalk '!W:W,0)</f>
        <v>116</v>
      </c>
    </row>
    <row r="81" spans="1:9" ht="86.4">
      <c r="A81" s="69" t="s">
        <v>1281</v>
      </c>
      <c r="B81" s="54" t="s">
        <v>492</v>
      </c>
      <c r="C81" s="55" t="s">
        <v>493</v>
      </c>
      <c r="D81" s="43" t="s">
        <v>371</v>
      </c>
      <c r="E81" s="56" t="s">
        <v>161</v>
      </c>
      <c r="F81" s="56">
        <v>0</v>
      </c>
      <c r="G81" s="56">
        <v>2.2999999999999998</v>
      </c>
      <c r="H81" s="57" t="s">
        <v>80</v>
      </c>
      <c r="I81" s="44">
        <f>MATCH(B81,'Master_crosswalk '!W:W,0)</f>
        <v>117</v>
      </c>
    </row>
    <row r="82" spans="1:9" ht="43.2">
      <c r="A82" s="69" t="s">
        <v>1281</v>
      </c>
      <c r="B82" s="54" t="s">
        <v>522</v>
      </c>
      <c r="C82" s="55" t="s">
        <v>523</v>
      </c>
      <c r="D82" s="43" t="s">
        <v>309</v>
      </c>
      <c r="E82" s="56" t="s">
        <v>524</v>
      </c>
      <c r="F82" s="56">
        <v>0</v>
      </c>
      <c r="G82" s="56">
        <v>180</v>
      </c>
      <c r="H82" s="57" t="s">
        <v>80</v>
      </c>
      <c r="I82" s="44">
        <f>MATCH(B82,'Master_crosswalk '!W:W,0)</f>
        <v>126</v>
      </c>
    </row>
    <row r="83" spans="1:9" ht="28.8">
      <c r="A83" s="69" t="s">
        <v>1281</v>
      </c>
      <c r="B83" s="54" t="s">
        <v>369</v>
      </c>
      <c r="C83" s="55" t="s">
        <v>370</v>
      </c>
      <c r="D83" s="43" t="s">
        <v>371</v>
      </c>
      <c r="E83" s="56" t="s">
        <v>161</v>
      </c>
      <c r="F83" s="56">
        <v>0</v>
      </c>
      <c r="G83" s="56" t="s">
        <v>161</v>
      </c>
      <c r="H83" s="57" t="s">
        <v>80</v>
      </c>
      <c r="I83" s="44">
        <f>MATCH(B83,'Master_crosswalk '!W:W,0)</f>
        <v>88</v>
      </c>
    </row>
    <row r="84" spans="1:9" ht="28.8">
      <c r="A84" s="69" t="s">
        <v>1281</v>
      </c>
      <c r="B84" s="54" t="s">
        <v>376</v>
      </c>
      <c r="C84" s="55" t="s">
        <v>377</v>
      </c>
      <c r="D84" s="43" t="s">
        <v>80</v>
      </c>
      <c r="E84" s="56" t="s">
        <v>250</v>
      </c>
      <c r="F84" s="56">
        <v>0</v>
      </c>
      <c r="G84" s="56" t="s">
        <v>161</v>
      </c>
      <c r="H84" s="57" t="s">
        <v>80</v>
      </c>
      <c r="I84" s="44">
        <f>MATCH(B84,'Master_crosswalk '!W:W,0)</f>
        <v>89</v>
      </c>
    </row>
    <row r="85" spans="1:9" ht="57.6">
      <c r="A85" s="69" t="s">
        <v>1281</v>
      </c>
      <c r="B85" s="54" t="s">
        <v>437</v>
      </c>
      <c r="C85" s="55" t="s">
        <v>439</v>
      </c>
      <c r="D85" s="43" t="s">
        <v>309</v>
      </c>
      <c r="E85" s="56" t="s">
        <v>279</v>
      </c>
      <c r="F85" s="56">
        <v>0</v>
      </c>
      <c r="G85" s="56">
        <v>100</v>
      </c>
      <c r="H85" s="57" t="s">
        <v>80</v>
      </c>
      <c r="I85" s="44">
        <f>MATCH(B85,'Master_crosswalk '!W:W,0)</f>
        <v>99</v>
      </c>
    </row>
    <row r="86" spans="1:9" ht="14.4">
      <c r="A86" s="54" t="s">
        <v>1314</v>
      </c>
      <c r="B86" s="54" t="s">
        <v>267</v>
      </c>
      <c r="C86" s="55" t="s">
        <v>268</v>
      </c>
      <c r="D86" s="43" t="s">
        <v>80</v>
      </c>
      <c r="E86" s="56" t="s">
        <v>250</v>
      </c>
      <c r="F86" s="56">
        <v>0</v>
      </c>
      <c r="G86" s="56" t="s">
        <v>161</v>
      </c>
      <c r="H86" s="57" t="s">
        <v>80</v>
      </c>
      <c r="I86" s="44">
        <f>MATCH(B86,'Master_crosswalk '!W:W,0)</f>
        <v>65</v>
      </c>
    </row>
    <row r="87" spans="1:9" ht="14.4">
      <c r="A87" s="54" t="s">
        <v>1314</v>
      </c>
      <c r="B87" s="54" t="s">
        <v>314</v>
      </c>
      <c r="C87" s="55" t="s">
        <v>315</v>
      </c>
      <c r="D87" s="43" t="s">
        <v>80</v>
      </c>
      <c r="E87" s="56" t="s">
        <v>250</v>
      </c>
      <c r="F87" s="56">
        <v>0</v>
      </c>
      <c r="G87" s="56" t="s">
        <v>161</v>
      </c>
      <c r="H87" s="57" t="s">
        <v>80</v>
      </c>
      <c r="I87" s="44">
        <f>MATCH(B87,'Master_crosswalk '!W:W,0)</f>
        <v>70</v>
      </c>
    </row>
    <row r="88" spans="1:9" ht="57.6">
      <c r="A88" s="54" t="s">
        <v>1314</v>
      </c>
      <c r="B88" s="54" t="s">
        <v>495</v>
      </c>
      <c r="C88" s="55" t="s">
        <v>496</v>
      </c>
      <c r="D88" s="43" t="s">
        <v>80</v>
      </c>
      <c r="E88" s="56" t="s">
        <v>250</v>
      </c>
      <c r="F88" s="56">
        <v>0</v>
      </c>
      <c r="G88" s="56" t="s">
        <v>161</v>
      </c>
      <c r="H88" s="57" t="s">
        <v>497</v>
      </c>
      <c r="I88" s="44">
        <f>MATCH(B88,'Master_crosswalk '!W:W,0)</f>
        <v>118</v>
      </c>
    </row>
    <row r="89" spans="1:9" ht="115.2">
      <c r="A89" s="54" t="s">
        <v>1314</v>
      </c>
      <c r="B89" s="54" t="s">
        <v>503</v>
      </c>
      <c r="C89" s="55" t="s">
        <v>504</v>
      </c>
      <c r="D89" s="43" t="s">
        <v>80</v>
      </c>
      <c r="E89" s="56" t="s">
        <v>161</v>
      </c>
      <c r="F89" s="56">
        <v>1</v>
      </c>
      <c r="G89" s="56">
        <v>3</v>
      </c>
      <c r="H89" s="57" t="s">
        <v>497</v>
      </c>
      <c r="I89" s="44">
        <f>MATCH(B89,'Master_crosswalk '!W:W,0)</f>
        <v>120</v>
      </c>
    </row>
    <row r="90" spans="1:9" ht="43.2">
      <c r="A90" s="54" t="s">
        <v>1314</v>
      </c>
      <c r="B90" s="54" t="s">
        <v>277</v>
      </c>
      <c r="C90" s="55" t="s">
        <v>278</v>
      </c>
      <c r="D90" s="43" t="s">
        <v>80</v>
      </c>
      <c r="E90" s="56" t="s">
        <v>279</v>
      </c>
      <c r="F90" s="56">
        <v>0</v>
      </c>
      <c r="G90" s="56" t="s">
        <v>280</v>
      </c>
      <c r="H90" s="57" t="s">
        <v>80</v>
      </c>
      <c r="I90" s="44">
        <f>MATCH(B90,'Master_crosswalk '!W:W,0)</f>
        <v>66</v>
      </c>
    </row>
    <row r="91" spans="1:9" ht="28.8">
      <c r="A91" s="54" t="s">
        <v>1314</v>
      </c>
      <c r="B91" s="54" t="s">
        <v>430</v>
      </c>
      <c r="C91" s="55" t="s">
        <v>431</v>
      </c>
      <c r="D91" s="43" t="s">
        <v>80</v>
      </c>
      <c r="E91" s="56" t="s">
        <v>161</v>
      </c>
      <c r="F91" s="56">
        <v>1</v>
      </c>
      <c r="G91" s="56" t="s">
        <v>80</v>
      </c>
      <c r="H91" s="57" t="s">
        <v>80</v>
      </c>
      <c r="I91" s="44">
        <f>MATCH(B91,'Master_crosswalk '!W:W,0)</f>
        <v>98</v>
      </c>
    </row>
    <row r="92" spans="1:9" ht="28.8">
      <c r="A92" s="54" t="s">
        <v>1314</v>
      </c>
      <c r="B92" s="54" t="s">
        <v>506</v>
      </c>
      <c r="C92" s="55" t="s">
        <v>507</v>
      </c>
      <c r="D92" s="43" t="s">
        <v>80</v>
      </c>
      <c r="E92" s="56" t="s">
        <v>161</v>
      </c>
      <c r="F92" s="56" t="s">
        <v>508</v>
      </c>
      <c r="G92" s="56" t="s">
        <v>509</v>
      </c>
      <c r="H92" s="57" t="s">
        <v>80</v>
      </c>
      <c r="I92" s="44">
        <f>MATCH(B92,'Master_crosswalk '!W:W,0)</f>
        <v>121</v>
      </c>
    </row>
    <row r="93" spans="1:9" ht="28.8">
      <c r="A93" s="54" t="s">
        <v>1314</v>
      </c>
      <c r="B93" s="54" t="s">
        <v>446</v>
      </c>
      <c r="C93" s="55" t="s">
        <v>447</v>
      </c>
      <c r="D93" s="43" t="s">
        <v>80</v>
      </c>
      <c r="E93" s="56" t="s">
        <v>161</v>
      </c>
      <c r="F93" s="56" t="s">
        <v>448</v>
      </c>
      <c r="G93" s="56" t="s">
        <v>449</v>
      </c>
      <c r="H93" s="57" t="s">
        <v>80</v>
      </c>
      <c r="I93" s="44">
        <f>MATCH(B93,'Master_crosswalk '!W:W,0)</f>
        <v>100</v>
      </c>
    </row>
    <row r="94" spans="1:9" ht="14.4">
      <c r="A94" s="54" t="s">
        <v>1314</v>
      </c>
      <c r="B94" s="54" t="s">
        <v>511</v>
      </c>
      <c r="C94" s="55" t="s">
        <v>512</v>
      </c>
      <c r="D94" s="43" t="s">
        <v>309</v>
      </c>
      <c r="E94" s="56" t="s">
        <v>161</v>
      </c>
      <c r="F94" s="56" t="s">
        <v>448</v>
      </c>
      <c r="G94" s="56" t="s">
        <v>513</v>
      </c>
      <c r="H94" s="57" t="s">
        <v>80</v>
      </c>
      <c r="I94" s="44">
        <f>MATCH(B94,'Master_crosswalk '!W:W,0)</f>
        <v>122</v>
      </c>
    </row>
    <row r="95" spans="1:9" ht="14.4">
      <c r="A95" s="54" t="s">
        <v>1314</v>
      </c>
      <c r="B95" s="54" t="s">
        <v>1156</v>
      </c>
      <c r="C95" s="55" t="s">
        <v>1157</v>
      </c>
      <c r="D95" s="43" t="s">
        <v>80</v>
      </c>
      <c r="E95" s="56" t="s">
        <v>112</v>
      </c>
      <c r="F95" s="56" t="s">
        <v>80</v>
      </c>
      <c r="G95" s="56" t="s">
        <v>80</v>
      </c>
      <c r="H95" s="57" t="s">
        <v>80</v>
      </c>
      <c r="I95" s="44">
        <f>MATCH(B95,'Master_crosswalk '!W:W,0)</f>
        <v>344</v>
      </c>
    </row>
    <row r="96" spans="1:9" ht="28.8">
      <c r="A96" s="54" t="s">
        <v>1314</v>
      </c>
      <c r="B96" s="54" t="s">
        <v>1159</v>
      </c>
      <c r="C96" s="55" t="s">
        <v>1160</v>
      </c>
      <c r="D96" s="43" t="s">
        <v>80</v>
      </c>
      <c r="E96" s="56" t="s">
        <v>80</v>
      </c>
      <c r="F96" s="56" t="s">
        <v>80</v>
      </c>
      <c r="G96" s="56" t="s">
        <v>80</v>
      </c>
      <c r="H96" s="57" t="s">
        <v>80</v>
      </c>
      <c r="I96" s="44">
        <f>MATCH(B96,'Master_crosswalk '!W:W,0)</f>
        <v>345</v>
      </c>
    </row>
    <row r="97" spans="1:8" ht="14.4">
      <c r="A97" s="72"/>
      <c r="B97" s="72"/>
      <c r="C97" s="73"/>
      <c r="D97" s="74"/>
      <c r="E97" s="75"/>
      <c r="F97" s="75"/>
      <c r="G97" s="75"/>
      <c r="H97" s="76"/>
    </row>
    <row r="98" spans="1:8" ht="14.4">
      <c r="A98" s="72"/>
      <c r="B98" s="72"/>
      <c r="C98" s="73"/>
      <c r="D98" s="74"/>
      <c r="E98" s="75"/>
      <c r="F98" s="75"/>
      <c r="G98" s="75"/>
      <c r="H98" s="76"/>
    </row>
    <row r="99" spans="1:8" ht="14.4">
      <c r="A99" s="72"/>
      <c r="B99" s="72"/>
      <c r="C99" s="73"/>
      <c r="D99" s="74"/>
      <c r="E99" s="75"/>
      <c r="F99" s="75"/>
      <c r="G99" s="75"/>
      <c r="H99" s="76"/>
    </row>
    <row r="100" spans="1:8" ht="14.4">
      <c r="A100" s="72"/>
      <c r="B100" s="72"/>
      <c r="C100" s="73"/>
      <c r="D100" s="74"/>
      <c r="E100" s="75"/>
      <c r="F100" s="75"/>
      <c r="G100" s="75"/>
      <c r="H100" s="76"/>
    </row>
    <row r="101" spans="1:8" ht="14.4">
      <c r="A101" s="72"/>
      <c r="B101" s="72"/>
      <c r="C101" s="73"/>
      <c r="D101" s="74"/>
      <c r="E101" s="75"/>
      <c r="F101" s="75"/>
      <c r="G101" s="75"/>
      <c r="H101" s="76"/>
    </row>
    <row r="102" spans="1:8" ht="14.4">
      <c r="A102" s="72"/>
      <c r="B102" s="72"/>
      <c r="C102" s="73"/>
      <c r="D102" s="74"/>
      <c r="E102" s="75"/>
      <c r="F102" s="75"/>
      <c r="G102" s="75"/>
      <c r="H102" s="76"/>
    </row>
    <row r="103" spans="1:8" ht="14.4">
      <c r="A103" s="72"/>
      <c r="B103" s="72"/>
      <c r="C103" s="73"/>
      <c r="D103" s="74"/>
      <c r="E103" s="75"/>
      <c r="F103" s="75"/>
      <c r="G103" s="75"/>
      <c r="H103" s="76"/>
    </row>
    <row r="104" spans="1:8" ht="14.4">
      <c r="A104" s="72"/>
      <c r="B104" s="72"/>
      <c r="C104" s="73"/>
      <c r="D104" s="74"/>
      <c r="E104" s="75"/>
      <c r="F104" s="75"/>
      <c r="G104" s="75"/>
      <c r="H104" s="76"/>
    </row>
    <row r="105" spans="1:8" ht="14.4">
      <c r="A105" s="72"/>
      <c r="B105" s="72"/>
      <c r="C105" s="73"/>
      <c r="D105" s="74"/>
      <c r="E105" s="75"/>
      <c r="F105" s="75"/>
      <c r="G105" s="75"/>
      <c r="H105" s="76"/>
    </row>
    <row r="106" spans="1:8" ht="14.4">
      <c r="A106" s="72"/>
      <c r="B106" s="72"/>
      <c r="C106" s="73"/>
      <c r="D106" s="74"/>
      <c r="E106" s="75"/>
      <c r="F106" s="75"/>
      <c r="G106" s="75"/>
      <c r="H106" s="76"/>
    </row>
    <row r="107" spans="1:8" ht="14.4">
      <c r="A107" s="72"/>
      <c r="B107" s="72"/>
      <c r="C107" s="73"/>
      <c r="D107" s="74"/>
      <c r="E107" s="75"/>
      <c r="F107" s="75"/>
      <c r="G107" s="75"/>
      <c r="H107" s="76"/>
    </row>
    <row r="108" spans="1:8" ht="14.4">
      <c r="A108" s="72"/>
      <c r="B108" s="72"/>
      <c r="C108" s="73"/>
      <c r="D108" s="74"/>
      <c r="E108" s="75"/>
      <c r="F108" s="75"/>
      <c r="G108" s="75"/>
      <c r="H108" s="76"/>
    </row>
    <row r="109" spans="1:8" ht="14.4">
      <c r="A109" s="72"/>
      <c r="B109" s="72"/>
      <c r="C109" s="73"/>
      <c r="D109" s="72"/>
      <c r="E109" s="77"/>
      <c r="F109" s="77"/>
      <c r="G109" s="77"/>
      <c r="H109" s="73"/>
    </row>
    <row r="110" spans="1:8" ht="14.4">
      <c r="A110" s="72"/>
      <c r="B110" s="72"/>
      <c r="C110" s="73"/>
      <c r="D110" s="78"/>
      <c r="E110" s="78"/>
      <c r="F110" s="78"/>
      <c r="G110" s="78"/>
      <c r="H110" s="73"/>
    </row>
    <row r="111" spans="1:8" ht="14.4">
      <c r="A111" s="72"/>
      <c r="B111" s="72"/>
      <c r="C111" s="73"/>
      <c r="D111" s="78"/>
      <c r="E111" s="78"/>
      <c r="F111" s="78"/>
      <c r="G111" s="78"/>
      <c r="H111" s="73"/>
    </row>
    <row r="112" spans="1:8" ht="14.4">
      <c r="A112" s="72"/>
      <c r="B112" s="72"/>
      <c r="C112" s="79"/>
      <c r="D112" s="80"/>
      <c r="E112" s="80"/>
      <c r="F112" s="80"/>
      <c r="G112" s="80"/>
      <c r="H112" s="76"/>
    </row>
    <row r="113" spans="1:8" ht="14.4">
      <c r="A113" s="72"/>
      <c r="B113" s="72"/>
      <c r="C113" s="73"/>
      <c r="D113" s="81"/>
      <c r="E113" s="81"/>
      <c r="F113" s="81"/>
      <c r="G113" s="81"/>
      <c r="H113" s="76"/>
    </row>
    <row r="114" spans="1:8" ht="14.4">
      <c r="A114" s="72"/>
      <c r="B114" s="72"/>
      <c r="C114" s="73"/>
      <c r="D114" s="80"/>
      <c r="E114" s="80"/>
      <c r="F114" s="80"/>
      <c r="G114" s="80"/>
      <c r="H114" s="76"/>
    </row>
    <row r="115" spans="1:8" ht="14.4">
      <c r="A115" s="72"/>
      <c r="B115" s="72"/>
      <c r="C115" s="73"/>
      <c r="D115" s="80"/>
      <c r="E115" s="80"/>
      <c r="F115" s="80"/>
      <c r="G115" s="80"/>
      <c r="H115" s="76"/>
    </row>
    <row r="116" spans="1:8" ht="14.4">
      <c r="A116" s="72"/>
      <c r="B116" s="72"/>
      <c r="C116" s="73"/>
      <c r="D116" s="82"/>
      <c r="E116" s="82"/>
      <c r="F116" s="82"/>
      <c r="G116" s="82"/>
      <c r="H116" s="76"/>
    </row>
    <row r="117" spans="1:8" ht="15.75" customHeight="1">
      <c r="C117" s="83"/>
      <c r="H117" s="83"/>
    </row>
    <row r="118" spans="1:8" ht="15.75" customHeight="1">
      <c r="C118" s="83"/>
      <c r="H118" s="83"/>
    </row>
    <row r="119" spans="1:8" ht="15.75" customHeight="1">
      <c r="C119" s="83"/>
      <c r="H119" s="83"/>
    </row>
    <row r="120" spans="1:8" ht="15.75" customHeight="1">
      <c r="C120" s="83"/>
      <c r="H120" s="83"/>
    </row>
    <row r="121" spans="1:8" ht="15.75" customHeight="1">
      <c r="C121" s="83"/>
      <c r="H121" s="83"/>
    </row>
    <row r="122" spans="1:8" ht="15.75" customHeight="1">
      <c r="C122" s="83"/>
      <c r="H122" s="83"/>
    </row>
    <row r="123" spans="1:8" ht="15.75" customHeight="1">
      <c r="C123" s="83"/>
      <c r="H123" s="83"/>
    </row>
    <row r="124" spans="1:8" ht="15.75" customHeight="1">
      <c r="C124" s="83"/>
      <c r="H124" s="83"/>
    </row>
    <row r="125" spans="1:8" ht="15.75" customHeight="1">
      <c r="C125" s="83"/>
      <c r="H125" s="83"/>
    </row>
    <row r="126" spans="1:8" ht="15.75" customHeight="1">
      <c r="C126" s="83"/>
      <c r="H126" s="83"/>
    </row>
    <row r="127" spans="1:8" ht="15.75" customHeight="1">
      <c r="C127" s="83"/>
      <c r="H127" s="83"/>
    </row>
    <row r="128" spans="1:8" ht="15.75" customHeight="1">
      <c r="C128" s="83"/>
      <c r="H128" s="83"/>
    </row>
    <row r="129" spans="3:8" ht="15.75" customHeight="1">
      <c r="C129" s="83"/>
      <c r="H129" s="83"/>
    </row>
    <row r="130" spans="3:8" ht="15.75" customHeight="1">
      <c r="C130" s="83"/>
      <c r="H130" s="83"/>
    </row>
    <row r="131" spans="3:8" ht="15.75" customHeight="1">
      <c r="C131" s="83"/>
      <c r="H131" s="83"/>
    </row>
    <row r="132" spans="3:8" ht="15.75" customHeight="1">
      <c r="C132" s="83"/>
      <c r="H132" s="83"/>
    </row>
    <row r="133" spans="3:8" ht="15.75" customHeight="1">
      <c r="C133" s="83"/>
      <c r="H133" s="83"/>
    </row>
    <row r="134" spans="3:8" ht="15.75" customHeight="1">
      <c r="C134" s="83"/>
      <c r="H134" s="83"/>
    </row>
    <row r="135" spans="3:8" ht="15.75" customHeight="1">
      <c r="C135" s="83"/>
      <c r="H135" s="83"/>
    </row>
    <row r="136" spans="3:8" ht="15.75" customHeight="1">
      <c r="C136" s="83"/>
      <c r="H136" s="83"/>
    </row>
    <row r="137" spans="3:8" ht="15.75" customHeight="1">
      <c r="C137" s="83"/>
      <c r="H137" s="83"/>
    </row>
    <row r="138" spans="3:8" ht="15.75" customHeight="1">
      <c r="C138" s="83"/>
      <c r="H138" s="83"/>
    </row>
    <row r="139" spans="3:8" ht="15.75" customHeight="1">
      <c r="C139" s="83"/>
      <c r="H139" s="83"/>
    </row>
    <row r="140" spans="3:8" ht="15.75" customHeight="1">
      <c r="C140" s="83"/>
      <c r="H140" s="83"/>
    </row>
    <row r="141" spans="3:8" ht="15.75" customHeight="1">
      <c r="C141" s="83"/>
      <c r="H141" s="83"/>
    </row>
    <row r="142" spans="3:8" ht="15.75" customHeight="1">
      <c r="C142" s="83"/>
      <c r="H142" s="83"/>
    </row>
    <row r="143" spans="3:8" ht="15.75" customHeight="1">
      <c r="C143" s="83"/>
      <c r="H143" s="83"/>
    </row>
    <row r="144" spans="3:8" ht="15.75" customHeight="1">
      <c r="C144" s="83"/>
      <c r="H144" s="83"/>
    </row>
    <row r="145" spans="3:8" ht="15.75" customHeight="1">
      <c r="C145" s="83"/>
      <c r="H145" s="83"/>
    </row>
    <row r="146" spans="3:8" ht="15.75" customHeight="1">
      <c r="C146" s="83"/>
      <c r="H146" s="83"/>
    </row>
    <row r="147" spans="3:8" ht="15.75" customHeight="1">
      <c r="C147" s="83"/>
      <c r="H147" s="83"/>
    </row>
    <row r="148" spans="3:8" ht="15.75" customHeight="1">
      <c r="C148" s="83"/>
      <c r="H148" s="83"/>
    </row>
    <row r="149" spans="3:8" ht="15.75" customHeight="1">
      <c r="C149" s="83"/>
      <c r="H149" s="83"/>
    </row>
    <row r="150" spans="3:8" ht="15.75" customHeight="1">
      <c r="C150" s="83"/>
      <c r="H150" s="83"/>
    </row>
    <row r="151" spans="3:8" ht="15.75" customHeight="1">
      <c r="C151" s="83"/>
      <c r="H151" s="83"/>
    </row>
    <row r="152" spans="3:8" ht="15.75" customHeight="1">
      <c r="C152" s="83"/>
      <c r="H152" s="83"/>
    </row>
    <row r="153" spans="3:8" ht="15.75" customHeight="1">
      <c r="C153" s="83"/>
      <c r="H153" s="83"/>
    </row>
    <row r="154" spans="3:8" ht="15.75" customHeight="1">
      <c r="C154" s="83"/>
      <c r="H154" s="83"/>
    </row>
    <row r="155" spans="3:8" ht="15.75" customHeight="1">
      <c r="C155" s="83"/>
      <c r="H155" s="83"/>
    </row>
    <row r="156" spans="3:8" ht="15.75" customHeight="1">
      <c r="C156" s="83"/>
      <c r="H156" s="83"/>
    </row>
    <row r="157" spans="3:8" ht="15.75" customHeight="1">
      <c r="C157" s="83"/>
      <c r="H157" s="83"/>
    </row>
    <row r="158" spans="3:8" ht="15.75" customHeight="1">
      <c r="C158" s="83"/>
      <c r="H158" s="83"/>
    </row>
    <row r="159" spans="3:8" ht="15.75" customHeight="1">
      <c r="C159" s="83"/>
      <c r="H159" s="83"/>
    </row>
    <row r="160" spans="3:8" ht="15.75" customHeight="1">
      <c r="C160" s="83"/>
      <c r="H160" s="83"/>
    </row>
    <row r="161" spans="3:8" ht="15.75" customHeight="1">
      <c r="C161" s="83"/>
      <c r="H161" s="83"/>
    </row>
    <row r="162" spans="3:8" ht="15.75" customHeight="1">
      <c r="C162" s="83"/>
      <c r="H162" s="83"/>
    </row>
    <row r="163" spans="3:8" ht="15.75" customHeight="1">
      <c r="C163" s="83"/>
      <c r="H163" s="83"/>
    </row>
    <row r="164" spans="3:8" ht="15.75" customHeight="1">
      <c r="C164" s="83"/>
      <c r="H164" s="83"/>
    </row>
    <row r="165" spans="3:8" ht="15.75" customHeight="1">
      <c r="C165" s="83"/>
      <c r="H165" s="83"/>
    </row>
    <row r="166" spans="3:8" ht="15.75" customHeight="1">
      <c r="C166" s="83"/>
      <c r="H166" s="83"/>
    </row>
    <row r="167" spans="3:8" ht="15.75" customHeight="1">
      <c r="C167" s="83"/>
      <c r="H167" s="83"/>
    </row>
    <row r="168" spans="3:8" ht="15.75" customHeight="1">
      <c r="C168" s="83"/>
      <c r="H168" s="83"/>
    </row>
    <row r="169" spans="3:8" ht="15.75" customHeight="1">
      <c r="C169" s="83"/>
      <c r="H169" s="83"/>
    </row>
    <row r="170" spans="3:8" ht="15.75" customHeight="1">
      <c r="C170" s="83"/>
      <c r="H170" s="83"/>
    </row>
    <row r="171" spans="3:8" ht="15.75" customHeight="1">
      <c r="C171" s="83"/>
      <c r="H171" s="83"/>
    </row>
    <row r="172" spans="3:8" ht="15.75" customHeight="1">
      <c r="C172" s="83"/>
      <c r="H172" s="83"/>
    </row>
    <row r="173" spans="3:8" ht="15.75" customHeight="1">
      <c r="C173" s="83"/>
      <c r="H173" s="83"/>
    </row>
    <row r="174" spans="3:8" ht="15.75" customHeight="1">
      <c r="C174" s="83"/>
      <c r="H174" s="83"/>
    </row>
    <row r="175" spans="3:8" ht="15.75" customHeight="1">
      <c r="C175" s="83"/>
      <c r="H175" s="83"/>
    </row>
    <row r="176" spans="3:8" ht="15.75" customHeight="1">
      <c r="C176" s="83"/>
      <c r="H176" s="83"/>
    </row>
    <row r="177" spans="3:8" ht="15.75" customHeight="1">
      <c r="C177" s="83"/>
      <c r="H177" s="83"/>
    </row>
    <row r="178" spans="3:8" ht="15.75" customHeight="1">
      <c r="C178" s="83"/>
      <c r="H178" s="83"/>
    </row>
    <row r="179" spans="3:8" ht="15.75" customHeight="1">
      <c r="C179" s="83"/>
      <c r="H179" s="83"/>
    </row>
    <row r="180" spans="3:8" ht="15.75" customHeight="1">
      <c r="C180" s="83"/>
      <c r="H180" s="83"/>
    </row>
    <row r="181" spans="3:8" ht="15.75" customHeight="1">
      <c r="C181" s="83"/>
      <c r="H181" s="83"/>
    </row>
    <row r="182" spans="3:8" ht="15.75" customHeight="1">
      <c r="C182" s="83"/>
      <c r="H182" s="83"/>
    </row>
    <row r="183" spans="3:8" ht="15.75" customHeight="1">
      <c r="C183" s="83"/>
      <c r="H183" s="83"/>
    </row>
    <row r="184" spans="3:8" ht="15.75" customHeight="1">
      <c r="C184" s="83"/>
      <c r="H184" s="83"/>
    </row>
    <row r="185" spans="3:8" ht="15.75" customHeight="1">
      <c r="C185" s="83"/>
      <c r="H185" s="83"/>
    </row>
    <row r="186" spans="3:8" ht="15.75" customHeight="1">
      <c r="C186" s="83"/>
      <c r="H186" s="83"/>
    </row>
    <row r="187" spans="3:8" ht="15.75" customHeight="1">
      <c r="C187" s="83"/>
      <c r="H187" s="83"/>
    </row>
    <row r="188" spans="3:8" ht="15.75" customHeight="1">
      <c r="C188" s="83"/>
      <c r="H188" s="83"/>
    </row>
    <row r="189" spans="3:8" ht="15.75" customHeight="1">
      <c r="C189" s="83"/>
      <c r="H189" s="83"/>
    </row>
    <row r="190" spans="3:8" ht="15.75" customHeight="1">
      <c r="C190" s="83"/>
      <c r="H190" s="83"/>
    </row>
    <row r="191" spans="3:8" ht="15.75" customHeight="1">
      <c r="C191" s="83"/>
      <c r="H191" s="83"/>
    </row>
    <row r="192" spans="3:8" ht="15.75" customHeight="1">
      <c r="C192" s="83"/>
      <c r="H192" s="83"/>
    </row>
    <row r="193" spans="3:8" ht="15.75" customHeight="1">
      <c r="C193" s="83"/>
      <c r="H193" s="83"/>
    </row>
    <row r="194" spans="3:8" ht="15.75" customHeight="1">
      <c r="C194" s="83"/>
      <c r="H194" s="83"/>
    </row>
    <row r="195" spans="3:8" ht="15.75" customHeight="1">
      <c r="C195" s="83"/>
      <c r="H195" s="83"/>
    </row>
    <row r="196" spans="3:8" ht="15.75" customHeight="1">
      <c r="C196" s="83"/>
      <c r="H196" s="83"/>
    </row>
    <row r="197" spans="3:8" ht="15.75" customHeight="1">
      <c r="C197" s="83"/>
      <c r="H197" s="83"/>
    </row>
    <row r="198" spans="3:8" ht="15.75" customHeight="1">
      <c r="C198" s="83"/>
      <c r="H198" s="83"/>
    </row>
    <row r="199" spans="3:8" ht="15.75" customHeight="1">
      <c r="C199" s="83"/>
      <c r="H199" s="83"/>
    </row>
    <row r="200" spans="3:8" ht="15.75" customHeight="1">
      <c r="C200" s="83"/>
      <c r="H200" s="83"/>
    </row>
    <row r="201" spans="3:8" ht="15.75" customHeight="1">
      <c r="C201" s="83"/>
      <c r="H201" s="83"/>
    </row>
    <row r="202" spans="3:8" ht="15.75" customHeight="1">
      <c r="C202" s="83"/>
      <c r="H202" s="83"/>
    </row>
    <row r="203" spans="3:8" ht="15.75" customHeight="1">
      <c r="C203" s="83"/>
      <c r="H203" s="83"/>
    </row>
    <row r="204" spans="3:8" ht="15.75" customHeight="1">
      <c r="C204" s="83"/>
      <c r="H204" s="83"/>
    </row>
    <row r="205" spans="3:8" ht="15.75" customHeight="1">
      <c r="C205" s="83"/>
      <c r="H205" s="83"/>
    </row>
    <row r="206" spans="3:8" ht="15.75" customHeight="1">
      <c r="C206" s="83"/>
      <c r="H206" s="83"/>
    </row>
    <row r="207" spans="3:8" ht="15.75" customHeight="1">
      <c r="C207" s="83"/>
      <c r="H207" s="83"/>
    </row>
    <row r="208" spans="3:8" ht="15.75" customHeight="1">
      <c r="C208" s="83"/>
      <c r="H208" s="83"/>
    </row>
    <row r="209" spans="3:8" ht="15.75" customHeight="1">
      <c r="C209" s="83"/>
      <c r="H209" s="83"/>
    </row>
    <row r="210" spans="3:8" ht="15.75" customHeight="1">
      <c r="C210" s="83"/>
      <c r="H210" s="83"/>
    </row>
    <row r="211" spans="3:8" ht="15.75" customHeight="1">
      <c r="C211" s="83"/>
      <c r="H211" s="83"/>
    </row>
    <row r="212" spans="3:8" ht="15.75" customHeight="1">
      <c r="C212" s="83"/>
      <c r="H212" s="83"/>
    </row>
    <row r="213" spans="3:8" ht="15.75" customHeight="1">
      <c r="C213" s="83"/>
      <c r="H213" s="83"/>
    </row>
    <row r="214" spans="3:8" ht="15.75" customHeight="1">
      <c r="C214" s="83"/>
      <c r="H214" s="83"/>
    </row>
    <row r="215" spans="3:8" ht="15.75" customHeight="1">
      <c r="C215" s="83"/>
      <c r="H215" s="83"/>
    </row>
    <row r="216" spans="3:8" ht="15.75" customHeight="1">
      <c r="C216" s="83"/>
      <c r="H216" s="83"/>
    </row>
    <row r="217" spans="3:8" ht="15.75" customHeight="1">
      <c r="C217" s="83"/>
      <c r="H217" s="83"/>
    </row>
    <row r="218" spans="3:8" ht="15.75" customHeight="1">
      <c r="C218" s="83"/>
      <c r="H218" s="83"/>
    </row>
    <row r="219" spans="3:8" ht="15.75" customHeight="1">
      <c r="C219" s="83"/>
      <c r="H219" s="83"/>
    </row>
    <row r="220" spans="3:8" ht="15.75" customHeight="1">
      <c r="C220" s="83"/>
      <c r="H220" s="83"/>
    </row>
    <row r="221" spans="3:8" ht="15.75" customHeight="1">
      <c r="C221" s="83"/>
      <c r="H221" s="83"/>
    </row>
    <row r="222" spans="3:8" ht="15.75" customHeight="1">
      <c r="C222" s="83"/>
      <c r="H222" s="83"/>
    </row>
    <row r="223" spans="3:8" ht="15.75" customHeight="1">
      <c r="C223" s="83"/>
      <c r="H223" s="83"/>
    </row>
    <row r="224" spans="3:8" ht="15.75" customHeight="1">
      <c r="C224" s="83"/>
      <c r="H224" s="83"/>
    </row>
    <row r="225" spans="3:8" ht="15.75" customHeight="1">
      <c r="C225" s="83"/>
      <c r="H225" s="83"/>
    </row>
    <row r="226" spans="3:8" ht="15.75" customHeight="1">
      <c r="C226" s="83"/>
      <c r="H226" s="83"/>
    </row>
    <row r="227" spans="3:8" ht="15.75" customHeight="1">
      <c r="C227" s="83"/>
      <c r="H227" s="83"/>
    </row>
    <row r="228" spans="3:8" ht="15.75" customHeight="1">
      <c r="C228" s="83"/>
      <c r="H228" s="83"/>
    </row>
    <row r="229" spans="3:8" ht="15.75" customHeight="1">
      <c r="C229" s="83"/>
      <c r="H229" s="83"/>
    </row>
    <row r="230" spans="3:8" ht="15.75" customHeight="1">
      <c r="C230" s="83"/>
      <c r="H230" s="83"/>
    </row>
    <row r="231" spans="3:8" ht="15.75" customHeight="1">
      <c r="C231" s="83"/>
      <c r="H231" s="83"/>
    </row>
    <row r="232" spans="3:8" ht="15.75" customHeight="1">
      <c r="C232" s="83"/>
      <c r="H232" s="83"/>
    </row>
    <row r="233" spans="3:8" ht="15.75" customHeight="1">
      <c r="C233" s="83"/>
      <c r="H233" s="83"/>
    </row>
    <row r="234" spans="3:8" ht="15.75" customHeight="1">
      <c r="C234" s="83"/>
      <c r="H234" s="83"/>
    </row>
    <row r="235" spans="3:8" ht="15.75" customHeight="1">
      <c r="C235" s="83"/>
      <c r="H235" s="83"/>
    </row>
    <row r="236" spans="3:8" ht="15.75" customHeight="1">
      <c r="C236" s="83"/>
      <c r="H236" s="83"/>
    </row>
    <row r="237" spans="3:8" ht="15.75" customHeight="1">
      <c r="C237" s="83"/>
      <c r="H237" s="83"/>
    </row>
    <row r="238" spans="3:8" ht="15.75" customHeight="1">
      <c r="C238" s="83"/>
      <c r="H238" s="83"/>
    </row>
    <row r="239" spans="3:8" ht="15.75" customHeight="1">
      <c r="C239" s="83"/>
      <c r="H239" s="83"/>
    </row>
    <row r="240" spans="3:8" ht="15.75" customHeight="1">
      <c r="C240" s="83"/>
      <c r="H240" s="83"/>
    </row>
    <row r="241" spans="3:8" ht="15.75" customHeight="1">
      <c r="C241" s="83"/>
      <c r="H241" s="83"/>
    </row>
    <row r="242" spans="3:8" ht="15.75" customHeight="1">
      <c r="C242" s="83"/>
      <c r="H242" s="83"/>
    </row>
    <row r="243" spans="3:8" ht="15.75" customHeight="1">
      <c r="C243" s="83"/>
      <c r="H243" s="83"/>
    </row>
    <row r="244" spans="3:8" ht="15.75" customHeight="1">
      <c r="C244" s="83"/>
      <c r="H244" s="83"/>
    </row>
    <row r="245" spans="3:8" ht="15.75" customHeight="1">
      <c r="C245" s="83"/>
      <c r="H245" s="83"/>
    </row>
    <row r="246" spans="3:8" ht="15.75" customHeight="1">
      <c r="C246" s="83"/>
      <c r="H246" s="83"/>
    </row>
    <row r="247" spans="3:8" ht="15.75" customHeight="1">
      <c r="C247" s="83"/>
      <c r="H247" s="83"/>
    </row>
    <row r="248" spans="3:8" ht="15.75" customHeight="1">
      <c r="C248" s="83"/>
      <c r="H248" s="83"/>
    </row>
    <row r="249" spans="3:8" ht="15.75" customHeight="1">
      <c r="C249" s="83"/>
      <c r="H249" s="83"/>
    </row>
    <row r="250" spans="3:8" ht="15.75" customHeight="1">
      <c r="C250" s="83"/>
      <c r="H250" s="83"/>
    </row>
    <row r="251" spans="3:8" ht="15.75" customHeight="1">
      <c r="C251" s="83"/>
      <c r="H251" s="83"/>
    </row>
    <row r="252" spans="3:8" ht="15.75" customHeight="1">
      <c r="C252" s="83"/>
      <c r="H252" s="83"/>
    </row>
    <row r="253" spans="3:8" ht="15.75" customHeight="1">
      <c r="C253" s="83"/>
      <c r="H253" s="83"/>
    </row>
    <row r="254" spans="3:8" ht="15.75" customHeight="1">
      <c r="C254" s="83"/>
      <c r="H254" s="83"/>
    </row>
    <row r="255" spans="3:8" ht="15.75" customHeight="1">
      <c r="C255" s="83"/>
      <c r="H255" s="83"/>
    </row>
    <row r="256" spans="3:8" ht="15.75" customHeight="1">
      <c r="C256" s="83"/>
      <c r="H256" s="83"/>
    </row>
    <row r="257" spans="3:8" ht="15.75" customHeight="1">
      <c r="C257" s="83"/>
      <c r="H257" s="83"/>
    </row>
    <row r="258" spans="3:8" ht="15.75" customHeight="1">
      <c r="C258" s="83"/>
      <c r="H258" s="83"/>
    </row>
    <row r="259" spans="3:8" ht="15.75" customHeight="1">
      <c r="C259" s="83"/>
      <c r="H259" s="83"/>
    </row>
    <row r="260" spans="3:8" ht="15.75" customHeight="1">
      <c r="C260" s="83"/>
      <c r="H260" s="83"/>
    </row>
    <row r="261" spans="3:8" ht="15.75" customHeight="1">
      <c r="C261" s="83"/>
      <c r="H261" s="83"/>
    </row>
    <row r="262" spans="3:8" ht="15.75" customHeight="1">
      <c r="C262" s="83"/>
      <c r="H262" s="83"/>
    </row>
    <row r="263" spans="3:8" ht="15.75" customHeight="1">
      <c r="C263" s="83"/>
      <c r="H263" s="83"/>
    </row>
    <row r="264" spans="3:8" ht="15.75" customHeight="1">
      <c r="C264" s="83"/>
      <c r="H264" s="83"/>
    </row>
    <row r="265" spans="3:8" ht="15.75" customHeight="1">
      <c r="C265" s="83"/>
      <c r="H265" s="83"/>
    </row>
    <row r="266" spans="3:8" ht="15.75" customHeight="1">
      <c r="C266" s="83"/>
      <c r="H266" s="83"/>
    </row>
    <row r="267" spans="3:8" ht="15.75" customHeight="1">
      <c r="C267" s="83"/>
      <c r="H267" s="83"/>
    </row>
    <row r="268" spans="3:8" ht="15.75" customHeight="1">
      <c r="C268" s="83"/>
      <c r="H268" s="83"/>
    </row>
    <row r="269" spans="3:8" ht="15.75" customHeight="1">
      <c r="C269" s="83"/>
      <c r="H269" s="83"/>
    </row>
    <row r="270" spans="3:8" ht="15.75" customHeight="1">
      <c r="C270" s="83"/>
      <c r="H270" s="83"/>
    </row>
    <row r="271" spans="3:8" ht="15.75" customHeight="1">
      <c r="C271" s="83"/>
      <c r="H271" s="83"/>
    </row>
    <row r="272" spans="3:8" ht="15.75" customHeight="1">
      <c r="C272" s="83"/>
      <c r="H272" s="83"/>
    </row>
    <row r="273" spans="3:8" ht="15.75" customHeight="1">
      <c r="C273" s="83"/>
      <c r="H273" s="83"/>
    </row>
    <row r="274" spans="3:8" ht="15.75" customHeight="1">
      <c r="C274" s="83"/>
      <c r="H274" s="83"/>
    </row>
    <row r="275" spans="3:8" ht="15.75" customHeight="1">
      <c r="C275" s="83"/>
      <c r="H275" s="83"/>
    </row>
    <row r="276" spans="3:8" ht="15.75" customHeight="1">
      <c r="C276" s="83"/>
      <c r="H276" s="83"/>
    </row>
    <row r="277" spans="3:8" ht="15.75" customHeight="1">
      <c r="C277" s="83"/>
      <c r="H277" s="83"/>
    </row>
    <row r="278" spans="3:8" ht="15.75" customHeight="1">
      <c r="C278" s="83"/>
      <c r="H278" s="83"/>
    </row>
    <row r="279" spans="3:8" ht="15.75" customHeight="1">
      <c r="C279" s="83"/>
      <c r="H279" s="83"/>
    </row>
    <row r="280" spans="3:8" ht="15.75" customHeight="1">
      <c r="C280" s="83"/>
      <c r="H280" s="83"/>
    </row>
    <row r="281" spans="3:8" ht="15.75" customHeight="1">
      <c r="C281" s="83"/>
      <c r="H281" s="83"/>
    </row>
    <row r="282" spans="3:8" ht="15.75" customHeight="1">
      <c r="C282" s="83"/>
      <c r="H282" s="83"/>
    </row>
    <row r="283" spans="3:8" ht="15.75" customHeight="1">
      <c r="C283" s="83"/>
      <c r="H283" s="83"/>
    </row>
    <row r="284" spans="3:8" ht="15.75" customHeight="1">
      <c r="C284" s="83"/>
      <c r="H284" s="83"/>
    </row>
    <row r="285" spans="3:8" ht="15.75" customHeight="1">
      <c r="C285" s="83"/>
      <c r="H285" s="83"/>
    </row>
    <row r="286" spans="3:8" ht="15.75" customHeight="1">
      <c r="C286" s="83"/>
      <c r="H286" s="83"/>
    </row>
    <row r="287" spans="3:8" ht="15.75" customHeight="1">
      <c r="C287" s="83"/>
      <c r="H287" s="83"/>
    </row>
    <row r="288" spans="3:8" ht="15.75" customHeight="1">
      <c r="C288" s="83"/>
      <c r="H288" s="83"/>
    </row>
    <row r="289" spans="3:8" ht="15.75" customHeight="1">
      <c r="C289" s="83"/>
      <c r="H289" s="83"/>
    </row>
    <row r="290" spans="3:8" ht="15.75" customHeight="1">
      <c r="C290" s="83"/>
      <c r="H290" s="83"/>
    </row>
    <row r="291" spans="3:8" ht="15.75" customHeight="1">
      <c r="C291" s="83"/>
      <c r="H291" s="83"/>
    </row>
    <row r="292" spans="3:8" ht="15.75" customHeight="1">
      <c r="C292" s="83"/>
      <c r="H292" s="83"/>
    </row>
    <row r="293" spans="3:8" ht="15.75" customHeight="1">
      <c r="C293" s="83"/>
      <c r="H293" s="83"/>
    </row>
    <row r="294" spans="3:8" ht="15.75" customHeight="1">
      <c r="C294" s="83"/>
      <c r="H294" s="83"/>
    </row>
    <row r="295" spans="3:8" ht="15.75" customHeight="1">
      <c r="C295" s="83"/>
      <c r="H295" s="83"/>
    </row>
    <row r="296" spans="3:8" ht="15.75" customHeight="1">
      <c r="C296" s="83"/>
      <c r="H296" s="83"/>
    </row>
    <row r="297" spans="3:8" ht="15.75" customHeight="1">
      <c r="C297" s="83"/>
      <c r="H297" s="83"/>
    </row>
    <row r="298" spans="3:8" ht="15.75" customHeight="1">
      <c r="C298" s="83"/>
      <c r="H298" s="83"/>
    </row>
    <row r="299" spans="3:8" ht="15.75" customHeight="1">
      <c r="C299" s="83"/>
      <c r="H299" s="83"/>
    </row>
    <row r="300" spans="3:8" ht="15.75" customHeight="1">
      <c r="C300" s="83"/>
      <c r="H300" s="83"/>
    </row>
    <row r="301" spans="3:8" ht="15.75" customHeight="1">
      <c r="C301" s="83"/>
      <c r="H301" s="83"/>
    </row>
    <row r="302" spans="3:8" ht="15.75" customHeight="1">
      <c r="C302" s="83"/>
      <c r="H302" s="83"/>
    </row>
    <row r="303" spans="3:8" ht="15.75" customHeight="1">
      <c r="C303" s="83"/>
      <c r="H303" s="83"/>
    </row>
    <row r="304" spans="3:8" ht="15.75" customHeight="1">
      <c r="C304" s="83"/>
      <c r="H304" s="83"/>
    </row>
    <row r="305" spans="3:8" ht="15.75" customHeight="1">
      <c r="C305" s="83"/>
      <c r="H305" s="83"/>
    </row>
    <row r="306" spans="3:8" ht="15.75" customHeight="1">
      <c r="C306" s="83"/>
      <c r="H306" s="83"/>
    </row>
    <row r="307" spans="3:8" ht="15.75" customHeight="1">
      <c r="C307" s="83"/>
      <c r="H307" s="83"/>
    </row>
    <row r="308" spans="3:8" ht="15.75" customHeight="1">
      <c r="C308" s="83"/>
      <c r="H308" s="83"/>
    </row>
    <row r="309" spans="3:8" ht="15.75" customHeight="1">
      <c r="C309" s="83"/>
      <c r="H309" s="83"/>
    </row>
    <row r="310" spans="3:8" ht="15.75" customHeight="1">
      <c r="C310" s="83"/>
      <c r="H310" s="83"/>
    </row>
    <row r="311" spans="3:8" ht="15.75" customHeight="1">
      <c r="C311" s="83"/>
      <c r="H311" s="83"/>
    </row>
    <row r="312" spans="3:8" ht="15.75" customHeight="1">
      <c r="C312" s="83"/>
      <c r="H312" s="83"/>
    </row>
    <row r="313" spans="3:8" ht="15.75" customHeight="1">
      <c r="C313" s="83"/>
      <c r="H313" s="83"/>
    </row>
    <row r="314" spans="3:8" ht="15.75" customHeight="1">
      <c r="C314" s="83"/>
      <c r="H314" s="83"/>
    </row>
    <row r="315" spans="3:8" ht="15.75" customHeight="1">
      <c r="C315" s="83"/>
      <c r="H315" s="83"/>
    </row>
    <row r="316" spans="3:8" ht="15.75" customHeight="1">
      <c r="C316" s="83"/>
      <c r="H316" s="83"/>
    </row>
    <row r="317" spans="3:8" ht="15.75" customHeight="1">
      <c r="C317" s="83"/>
      <c r="H317" s="83"/>
    </row>
    <row r="318" spans="3:8" ht="15.75" customHeight="1">
      <c r="C318" s="83"/>
      <c r="H318" s="83"/>
    </row>
    <row r="319" spans="3:8" ht="15.75" customHeight="1">
      <c r="C319" s="83"/>
      <c r="H319" s="83"/>
    </row>
    <row r="320" spans="3:8" ht="15.75" customHeight="1">
      <c r="C320" s="83"/>
      <c r="H320" s="83"/>
    </row>
    <row r="321" spans="3:8" ht="15.75" customHeight="1">
      <c r="C321" s="83"/>
      <c r="H321" s="83"/>
    </row>
    <row r="322" spans="3:8" ht="15.75" customHeight="1">
      <c r="C322" s="83"/>
      <c r="H322" s="83"/>
    </row>
    <row r="323" spans="3:8" ht="15.75" customHeight="1">
      <c r="C323" s="83"/>
      <c r="H323" s="83"/>
    </row>
    <row r="324" spans="3:8" ht="15.75" customHeight="1">
      <c r="C324" s="83"/>
      <c r="H324" s="83"/>
    </row>
    <row r="325" spans="3:8" ht="15.75" customHeight="1">
      <c r="C325" s="83"/>
      <c r="H325" s="83"/>
    </row>
    <row r="326" spans="3:8" ht="15.75" customHeight="1">
      <c r="C326" s="83"/>
      <c r="H326" s="83"/>
    </row>
    <row r="327" spans="3:8" ht="15.75" customHeight="1">
      <c r="C327" s="83"/>
      <c r="H327" s="83"/>
    </row>
    <row r="328" spans="3:8" ht="15.75" customHeight="1">
      <c r="C328" s="83"/>
      <c r="H328" s="83"/>
    </row>
    <row r="329" spans="3:8" ht="15.75" customHeight="1">
      <c r="C329" s="83"/>
      <c r="H329" s="83"/>
    </row>
    <row r="330" spans="3:8" ht="15.75" customHeight="1">
      <c r="C330" s="83"/>
      <c r="H330" s="83"/>
    </row>
    <row r="331" spans="3:8" ht="15.75" customHeight="1">
      <c r="C331" s="83"/>
      <c r="H331" s="83"/>
    </row>
    <row r="332" spans="3:8" ht="15.75" customHeight="1">
      <c r="C332" s="83"/>
      <c r="H332" s="83"/>
    </row>
    <row r="333" spans="3:8" ht="15.75" customHeight="1">
      <c r="C333" s="83"/>
      <c r="H333" s="83"/>
    </row>
    <row r="334" spans="3:8" ht="15.75" customHeight="1">
      <c r="C334" s="83"/>
      <c r="H334" s="83"/>
    </row>
    <row r="335" spans="3:8" ht="15.75" customHeight="1">
      <c r="C335" s="83"/>
      <c r="H335" s="83"/>
    </row>
    <row r="336" spans="3:8" ht="15.75" customHeight="1">
      <c r="C336" s="83"/>
      <c r="H336" s="83"/>
    </row>
    <row r="337" spans="3:8" ht="15.75" customHeight="1">
      <c r="C337" s="83"/>
      <c r="H337" s="83"/>
    </row>
    <row r="338" spans="3:8" ht="15.75" customHeight="1">
      <c r="C338" s="83"/>
      <c r="H338" s="83"/>
    </row>
    <row r="339" spans="3:8" ht="15.75" customHeight="1">
      <c r="C339" s="83"/>
      <c r="H339" s="83"/>
    </row>
    <row r="340" spans="3:8" ht="15.75" customHeight="1">
      <c r="C340" s="83"/>
      <c r="H340" s="83"/>
    </row>
    <row r="341" spans="3:8" ht="15.75" customHeight="1">
      <c r="C341" s="83"/>
      <c r="H341" s="83"/>
    </row>
    <row r="342" spans="3:8" ht="15.75" customHeight="1">
      <c r="C342" s="83"/>
      <c r="H342" s="83"/>
    </row>
    <row r="343" spans="3:8" ht="15.75" customHeight="1">
      <c r="C343" s="83"/>
      <c r="H343" s="83"/>
    </row>
    <row r="344" spans="3:8" ht="15.75" customHeight="1">
      <c r="C344" s="83"/>
      <c r="H344" s="83"/>
    </row>
    <row r="345" spans="3:8" ht="15.75" customHeight="1">
      <c r="C345" s="83"/>
      <c r="H345" s="83"/>
    </row>
    <row r="346" spans="3:8" ht="15.75" customHeight="1">
      <c r="C346" s="83"/>
      <c r="H346" s="83"/>
    </row>
    <row r="347" spans="3:8" ht="15.75" customHeight="1">
      <c r="C347" s="83"/>
      <c r="H347" s="83"/>
    </row>
    <row r="348" spans="3:8" ht="15.75" customHeight="1">
      <c r="C348" s="83"/>
      <c r="H348" s="83"/>
    </row>
    <row r="349" spans="3:8" ht="15.75" customHeight="1">
      <c r="C349" s="83"/>
      <c r="H349" s="83"/>
    </row>
    <row r="350" spans="3:8" ht="15.75" customHeight="1">
      <c r="C350" s="83"/>
      <c r="H350" s="83"/>
    </row>
    <row r="351" spans="3:8" ht="15.75" customHeight="1">
      <c r="C351" s="83"/>
      <c r="H351" s="83"/>
    </row>
    <row r="352" spans="3:8" ht="15.75" customHeight="1">
      <c r="C352" s="83"/>
      <c r="H352" s="83"/>
    </row>
    <row r="353" spans="3:8" ht="15.75" customHeight="1">
      <c r="C353" s="83"/>
      <c r="H353" s="83"/>
    </row>
    <row r="354" spans="3:8" ht="15.75" customHeight="1">
      <c r="C354" s="83"/>
      <c r="H354" s="83"/>
    </row>
    <row r="355" spans="3:8" ht="15.75" customHeight="1">
      <c r="C355" s="83"/>
      <c r="H355" s="83"/>
    </row>
    <row r="356" spans="3:8" ht="15.75" customHeight="1">
      <c r="C356" s="83"/>
      <c r="H356" s="83"/>
    </row>
    <row r="357" spans="3:8" ht="15.75" customHeight="1">
      <c r="C357" s="83"/>
      <c r="H357" s="83"/>
    </row>
    <row r="358" spans="3:8" ht="15.75" customHeight="1">
      <c r="C358" s="83"/>
      <c r="H358" s="83"/>
    </row>
    <row r="359" spans="3:8" ht="15.75" customHeight="1">
      <c r="C359" s="83"/>
      <c r="H359" s="83"/>
    </row>
    <row r="360" spans="3:8" ht="15.75" customHeight="1">
      <c r="C360" s="83"/>
      <c r="H360" s="83"/>
    </row>
    <row r="361" spans="3:8" ht="15.75" customHeight="1">
      <c r="C361" s="83"/>
      <c r="H361" s="83"/>
    </row>
    <row r="362" spans="3:8" ht="15.75" customHeight="1">
      <c r="C362" s="83"/>
      <c r="H362" s="83"/>
    </row>
    <row r="363" spans="3:8" ht="15.75" customHeight="1">
      <c r="C363" s="83"/>
      <c r="H363" s="83"/>
    </row>
    <row r="364" spans="3:8" ht="15.75" customHeight="1">
      <c r="C364" s="83"/>
      <c r="H364" s="83"/>
    </row>
    <row r="365" spans="3:8" ht="15.75" customHeight="1">
      <c r="C365" s="83"/>
      <c r="H365" s="83"/>
    </row>
    <row r="366" spans="3:8" ht="15.75" customHeight="1">
      <c r="C366" s="83"/>
      <c r="H366" s="83"/>
    </row>
    <row r="367" spans="3:8" ht="15.75" customHeight="1">
      <c r="C367" s="83"/>
      <c r="H367" s="83"/>
    </row>
    <row r="368" spans="3:8" ht="15.75" customHeight="1">
      <c r="C368" s="83"/>
      <c r="H368" s="83"/>
    </row>
    <row r="369" spans="3:8" ht="15.75" customHeight="1">
      <c r="C369" s="83"/>
      <c r="H369" s="83"/>
    </row>
    <row r="370" spans="3:8" ht="15.75" customHeight="1">
      <c r="C370" s="83"/>
      <c r="H370" s="83"/>
    </row>
    <row r="371" spans="3:8" ht="15.75" customHeight="1">
      <c r="C371" s="83"/>
      <c r="H371" s="83"/>
    </row>
    <row r="372" spans="3:8" ht="15.75" customHeight="1">
      <c r="C372" s="83"/>
      <c r="H372" s="83"/>
    </row>
    <row r="373" spans="3:8" ht="15.75" customHeight="1">
      <c r="C373" s="83"/>
      <c r="H373" s="83"/>
    </row>
    <row r="374" spans="3:8" ht="15.75" customHeight="1">
      <c r="C374" s="83"/>
      <c r="H374" s="83"/>
    </row>
    <row r="375" spans="3:8" ht="15.75" customHeight="1">
      <c r="C375" s="83"/>
      <c r="H375" s="83"/>
    </row>
    <row r="376" spans="3:8" ht="15.75" customHeight="1">
      <c r="C376" s="83"/>
      <c r="H376" s="83"/>
    </row>
    <row r="377" spans="3:8" ht="15.75" customHeight="1">
      <c r="C377" s="83"/>
      <c r="H377" s="83"/>
    </row>
    <row r="378" spans="3:8" ht="15.75" customHeight="1">
      <c r="C378" s="83"/>
      <c r="H378" s="83"/>
    </row>
    <row r="379" spans="3:8" ht="15.75" customHeight="1">
      <c r="C379" s="83"/>
      <c r="H379" s="83"/>
    </row>
    <row r="380" spans="3:8" ht="15.75" customHeight="1">
      <c r="C380" s="83"/>
      <c r="H380" s="83"/>
    </row>
    <row r="381" spans="3:8" ht="15.75" customHeight="1">
      <c r="C381" s="83"/>
      <c r="H381" s="83"/>
    </row>
    <row r="382" spans="3:8" ht="15.75" customHeight="1">
      <c r="C382" s="83"/>
      <c r="H382" s="83"/>
    </row>
    <row r="383" spans="3:8" ht="15.75" customHeight="1">
      <c r="C383" s="83"/>
      <c r="H383" s="83"/>
    </row>
    <row r="384" spans="3:8" ht="15.75" customHeight="1">
      <c r="C384" s="83"/>
      <c r="H384" s="83"/>
    </row>
    <row r="385" spans="3:8" ht="15.75" customHeight="1">
      <c r="C385" s="83"/>
      <c r="H385" s="83"/>
    </row>
    <row r="386" spans="3:8" ht="15.75" customHeight="1">
      <c r="C386" s="83"/>
      <c r="H386" s="83"/>
    </row>
    <row r="387" spans="3:8" ht="15.75" customHeight="1">
      <c r="C387" s="83"/>
      <c r="H387" s="83"/>
    </row>
    <row r="388" spans="3:8" ht="15.75" customHeight="1">
      <c r="C388" s="83"/>
      <c r="H388" s="83"/>
    </row>
    <row r="389" spans="3:8" ht="15.75" customHeight="1">
      <c r="C389" s="83"/>
      <c r="H389" s="83"/>
    </row>
    <row r="390" spans="3:8" ht="15.75" customHeight="1">
      <c r="C390" s="83"/>
      <c r="H390" s="83"/>
    </row>
    <row r="391" spans="3:8" ht="15.75" customHeight="1">
      <c r="C391" s="83"/>
      <c r="H391" s="83"/>
    </row>
    <row r="392" spans="3:8" ht="15.75" customHeight="1">
      <c r="C392" s="83"/>
      <c r="H392" s="83"/>
    </row>
    <row r="393" spans="3:8" ht="15.75" customHeight="1">
      <c r="C393" s="83"/>
      <c r="H393" s="83"/>
    </row>
    <row r="394" spans="3:8" ht="15.75" customHeight="1">
      <c r="C394" s="83"/>
      <c r="H394" s="83"/>
    </row>
    <row r="395" spans="3:8" ht="15.75" customHeight="1">
      <c r="C395" s="83"/>
      <c r="H395" s="83"/>
    </row>
    <row r="396" spans="3:8" ht="15.75" customHeight="1">
      <c r="C396" s="83"/>
      <c r="H396" s="83"/>
    </row>
    <row r="397" spans="3:8" ht="15.75" customHeight="1">
      <c r="C397" s="83"/>
      <c r="H397" s="83"/>
    </row>
    <row r="398" spans="3:8" ht="15.75" customHeight="1">
      <c r="C398" s="83"/>
      <c r="H398" s="83"/>
    </row>
    <row r="399" spans="3:8" ht="15.75" customHeight="1">
      <c r="C399" s="83"/>
      <c r="H399" s="83"/>
    </row>
    <row r="400" spans="3:8" ht="15.75" customHeight="1">
      <c r="C400" s="83"/>
      <c r="H400" s="83"/>
    </row>
    <row r="401" spans="3:8" ht="15.75" customHeight="1">
      <c r="C401" s="83"/>
      <c r="H401" s="83"/>
    </row>
    <row r="402" spans="3:8" ht="15.75" customHeight="1">
      <c r="C402" s="83"/>
      <c r="H402" s="83"/>
    </row>
    <row r="403" spans="3:8" ht="15.75" customHeight="1">
      <c r="C403" s="83"/>
      <c r="H403" s="83"/>
    </row>
    <row r="404" spans="3:8" ht="15.75" customHeight="1">
      <c r="C404" s="83"/>
      <c r="H404" s="83"/>
    </row>
    <row r="405" spans="3:8" ht="15.75" customHeight="1">
      <c r="C405" s="83"/>
      <c r="H405" s="83"/>
    </row>
    <row r="406" spans="3:8" ht="15.75" customHeight="1">
      <c r="C406" s="83"/>
      <c r="H406" s="83"/>
    </row>
    <row r="407" spans="3:8" ht="15.75" customHeight="1">
      <c r="C407" s="83"/>
      <c r="H407" s="83"/>
    </row>
    <row r="408" spans="3:8" ht="15.75" customHeight="1">
      <c r="C408" s="83"/>
      <c r="H408" s="83"/>
    </row>
    <row r="409" spans="3:8" ht="15.75" customHeight="1">
      <c r="C409" s="83"/>
      <c r="H409" s="83"/>
    </row>
    <row r="410" spans="3:8" ht="15.75" customHeight="1">
      <c r="C410" s="83"/>
      <c r="H410" s="83"/>
    </row>
    <row r="411" spans="3:8" ht="15.75" customHeight="1">
      <c r="C411" s="83"/>
      <c r="H411" s="83"/>
    </row>
    <row r="412" spans="3:8" ht="15.75" customHeight="1">
      <c r="C412" s="83"/>
      <c r="H412" s="83"/>
    </row>
    <row r="413" spans="3:8" ht="15.75" customHeight="1">
      <c r="C413" s="83"/>
      <c r="H413" s="83"/>
    </row>
    <row r="414" spans="3:8" ht="15.75" customHeight="1">
      <c r="C414" s="83"/>
      <c r="H414" s="83"/>
    </row>
    <row r="415" spans="3:8" ht="15.75" customHeight="1">
      <c r="C415" s="83"/>
      <c r="H415" s="83"/>
    </row>
    <row r="416" spans="3:8" ht="15.75" customHeight="1">
      <c r="C416" s="83"/>
      <c r="H416" s="83"/>
    </row>
    <row r="417" spans="3:8" ht="15.75" customHeight="1">
      <c r="C417" s="83"/>
      <c r="H417" s="83"/>
    </row>
    <row r="418" spans="3:8" ht="15.75" customHeight="1">
      <c r="C418" s="83"/>
      <c r="H418" s="83"/>
    </row>
    <row r="419" spans="3:8" ht="15.75" customHeight="1">
      <c r="C419" s="83"/>
      <c r="H419" s="83"/>
    </row>
    <row r="420" spans="3:8" ht="15.75" customHeight="1">
      <c r="C420" s="83"/>
      <c r="H420" s="83"/>
    </row>
    <row r="421" spans="3:8" ht="15.75" customHeight="1">
      <c r="C421" s="83"/>
      <c r="H421" s="83"/>
    </row>
    <row r="422" spans="3:8" ht="15.75" customHeight="1">
      <c r="C422" s="83"/>
      <c r="H422" s="83"/>
    </row>
    <row r="423" spans="3:8" ht="15.75" customHeight="1">
      <c r="C423" s="83"/>
      <c r="H423" s="83"/>
    </row>
    <row r="424" spans="3:8" ht="15.75" customHeight="1">
      <c r="C424" s="83"/>
      <c r="H424" s="83"/>
    </row>
    <row r="425" spans="3:8" ht="15.75" customHeight="1">
      <c r="C425" s="83"/>
      <c r="H425" s="83"/>
    </row>
    <row r="426" spans="3:8" ht="15.75" customHeight="1">
      <c r="C426" s="83"/>
      <c r="H426" s="83"/>
    </row>
    <row r="427" spans="3:8" ht="15.75" customHeight="1">
      <c r="C427" s="83"/>
      <c r="H427" s="83"/>
    </row>
    <row r="428" spans="3:8" ht="15.75" customHeight="1">
      <c r="C428" s="83"/>
      <c r="H428" s="83"/>
    </row>
    <row r="429" spans="3:8" ht="15.75" customHeight="1">
      <c r="C429" s="83"/>
      <c r="H429" s="83"/>
    </row>
    <row r="430" spans="3:8" ht="15.75" customHeight="1">
      <c r="C430" s="83"/>
      <c r="H430" s="83"/>
    </row>
    <row r="431" spans="3:8" ht="15.75" customHeight="1">
      <c r="C431" s="83"/>
      <c r="H431" s="83"/>
    </row>
    <row r="432" spans="3:8" ht="15.75" customHeight="1">
      <c r="C432" s="83"/>
      <c r="H432" s="83"/>
    </row>
    <row r="433" spans="3:8" ht="15.75" customHeight="1">
      <c r="C433" s="83"/>
      <c r="H433" s="83"/>
    </row>
    <row r="434" spans="3:8" ht="15.75" customHeight="1">
      <c r="C434" s="83"/>
      <c r="H434" s="83"/>
    </row>
    <row r="435" spans="3:8" ht="15.75" customHeight="1">
      <c r="C435" s="83"/>
      <c r="H435" s="83"/>
    </row>
    <row r="436" spans="3:8" ht="15.75" customHeight="1">
      <c r="C436" s="83"/>
      <c r="H436" s="83"/>
    </row>
    <row r="437" spans="3:8" ht="15.75" customHeight="1">
      <c r="C437" s="83"/>
      <c r="H437" s="83"/>
    </row>
    <row r="438" spans="3:8" ht="15.75" customHeight="1">
      <c r="C438" s="83"/>
      <c r="H438" s="83"/>
    </row>
    <row r="439" spans="3:8" ht="15.75" customHeight="1">
      <c r="C439" s="83"/>
      <c r="H439" s="83"/>
    </row>
    <row r="440" spans="3:8" ht="15.75" customHeight="1">
      <c r="C440" s="83"/>
      <c r="H440" s="83"/>
    </row>
    <row r="441" spans="3:8" ht="15.75" customHeight="1">
      <c r="C441" s="83"/>
      <c r="H441" s="83"/>
    </row>
    <row r="442" spans="3:8" ht="15.75" customHeight="1">
      <c r="C442" s="83"/>
      <c r="H442" s="83"/>
    </row>
    <row r="443" spans="3:8" ht="15.75" customHeight="1">
      <c r="C443" s="83"/>
      <c r="H443" s="83"/>
    </row>
    <row r="444" spans="3:8" ht="15.75" customHeight="1">
      <c r="C444" s="83"/>
      <c r="H444" s="83"/>
    </row>
    <row r="445" spans="3:8" ht="15.75" customHeight="1">
      <c r="C445" s="83"/>
      <c r="H445" s="83"/>
    </row>
    <row r="446" spans="3:8" ht="15.75" customHeight="1">
      <c r="C446" s="83"/>
      <c r="H446" s="83"/>
    </row>
    <row r="447" spans="3:8" ht="15.75" customHeight="1">
      <c r="C447" s="83"/>
      <c r="H447" s="83"/>
    </row>
    <row r="448" spans="3:8" ht="15.75" customHeight="1">
      <c r="C448" s="83"/>
      <c r="H448" s="83"/>
    </row>
    <row r="449" spans="3:8" ht="15.75" customHeight="1">
      <c r="C449" s="83"/>
      <c r="H449" s="83"/>
    </row>
    <row r="450" spans="3:8" ht="15.75" customHeight="1">
      <c r="C450" s="83"/>
      <c r="H450" s="83"/>
    </row>
    <row r="451" spans="3:8" ht="15.75" customHeight="1">
      <c r="C451" s="83"/>
      <c r="H451" s="83"/>
    </row>
    <row r="452" spans="3:8" ht="15.75" customHeight="1">
      <c r="C452" s="83"/>
      <c r="H452" s="83"/>
    </row>
    <row r="453" spans="3:8" ht="15.75" customHeight="1">
      <c r="C453" s="83"/>
      <c r="H453" s="83"/>
    </row>
    <row r="454" spans="3:8" ht="15.75" customHeight="1">
      <c r="C454" s="83"/>
      <c r="H454" s="83"/>
    </row>
    <row r="455" spans="3:8" ht="15.75" customHeight="1">
      <c r="C455" s="83"/>
      <c r="H455" s="83"/>
    </row>
    <row r="456" spans="3:8" ht="15.75" customHeight="1">
      <c r="C456" s="83"/>
      <c r="H456" s="83"/>
    </row>
    <row r="457" spans="3:8" ht="15.75" customHeight="1">
      <c r="C457" s="83"/>
      <c r="H457" s="83"/>
    </row>
    <row r="458" spans="3:8" ht="15.75" customHeight="1">
      <c r="C458" s="83"/>
      <c r="H458" s="83"/>
    </row>
    <row r="459" spans="3:8" ht="15.75" customHeight="1">
      <c r="C459" s="83"/>
      <c r="H459" s="83"/>
    </row>
    <row r="460" spans="3:8" ht="15.75" customHeight="1">
      <c r="C460" s="83"/>
      <c r="H460" s="83"/>
    </row>
    <row r="461" spans="3:8" ht="15.75" customHeight="1">
      <c r="C461" s="83"/>
      <c r="H461" s="83"/>
    </row>
    <row r="462" spans="3:8" ht="15.75" customHeight="1">
      <c r="C462" s="83"/>
      <c r="H462" s="83"/>
    </row>
    <row r="463" spans="3:8" ht="15.75" customHeight="1">
      <c r="C463" s="83"/>
      <c r="H463" s="83"/>
    </row>
    <row r="464" spans="3:8" ht="15.75" customHeight="1">
      <c r="C464" s="83"/>
      <c r="H464" s="83"/>
    </row>
    <row r="465" spans="3:8" ht="15.75" customHeight="1">
      <c r="C465" s="83"/>
      <c r="H465" s="83"/>
    </row>
    <row r="466" spans="3:8" ht="15.75" customHeight="1">
      <c r="C466" s="83"/>
      <c r="H466" s="83"/>
    </row>
    <row r="467" spans="3:8" ht="15.75" customHeight="1">
      <c r="C467" s="83"/>
      <c r="H467" s="83"/>
    </row>
    <row r="468" spans="3:8" ht="15.75" customHeight="1">
      <c r="C468" s="83"/>
      <c r="H468" s="83"/>
    </row>
    <row r="469" spans="3:8" ht="15.75" customHeight="1">
      <c r="C469" s="83"/>
      <c r="H469" s="83"/>
    </row>
    <row r="470" spans="3:8" ht="15.75" customHeight="1">
      <c r="C470" s="83"/>
      <c r="H470" s="83"/>
    </row>
    <row r="471" spans="3:8" ht="15.75" customHeight="1">
      <c r="C471" s="83"/>
      <c r="H471" s="83"/>
    </row>
    <row r="472" spans="3:8" ht="15.75" customHeight="1">
      <c r="C472" s="83"/>
      <c r="H472" s="83"/>
    </row>
    <row r="473" spans="3:8" ht="15.75" customHeight="1">
      <c r="C473" s="83"/>
      <c r="H473" s="83"/>
    </row>
    <row r="474" spans="3:8" ht="15.75" customHeight="1">
      <c r="C474" s="83"/>
      <c r="H474" s="83"/>
    </row>
    <row r="475" spans="3:8" ht="15.75" customHeight="1">
      <c r="C475" s="83"/>
      <c r="H475" s="83"/>
    </row>
    <row r="476" spans="3:8" ht="15.75" customHeight="1">
      <c r="C476" s="83"/>
      <c r="H476" s="83"/>
    </row>
    <row r="477" spans="3:8" ht="15.75" customHeight="1">
      <c r="C477" s="83"/>
      <c r="H477" s="83"/>
    </row>
    <row r="478" spans="3:8" ht="15.75" customHeight="1">
      <c r="C478" s="83"/>
      <c r="H478" s="83"/>
    </row>
    <row r="479" spans="3:8" ht="15.75" customHeight="1">
      <c r="C479" s="83"/>
      <c r="H479" s="83"/>
    </row>
    <row r="480" spans="3:8" ht="15.75" customHeight="1">
      <c r="C480" s="83"/>
      <c r="H480" s="83"/>
    </row>
    <row r="481" spans="3:8" ht="15.75" customHeight="1">
      <c r="C481" s="83"/>
      <c r="H481" s="83"/>
    </row>
    <row r="482" spans="3:8" ht="15.75" customHeight="1">
      <c r="C482" s="83"/>
      <c r="H482" s="83"/>
    </row>
    <row r="483" spans="3:8" ht="15.75" customHeight="1">
      <c r="C483" s="83"/>
      <c r="H483" s="83"/>
    </row>
    <row r="484" spans="3:8" ht="15.75" customHeight="1">
      <c r="C484" s="83"/>
      <c r="H484" s="83"/>
    </row>
    <row r="485" spans="3:8" ht="15.75" customHeight="1">
      <c r="C485" s="83"/>
      <c r="H485" s="83"/>
    </row>
    <row r="486" spans="3:8" ht="15.75" customHeight="1">
      <c r="C486" s="83"/>
      <c r="H486" s="83"/>
    </row>
    <row r="487" spans="3:8" ht="15.75" customHeight="1">
      <c r="C487" s="83"/>
      <c r="H487" s="83"/>
    </row>
    <row r="488" spans="3:8" ht="15.75" customHeight="1">
      <c r="C488" s="83"/>
      <c r="H488" s="83"/>
    </row>
    <row r="489" spans="3:8" ht="15.75" customHeight="1">
      <c r="C489" s="83"/>
      <c r="H489" s="83"/>
    </row>
    <row r="490" spans="3:8" ht="15.75" customHeight="1">
      <c r="C490" s="83"/>
      <c r="H490" s="83"/>
    </row>
    <row r="491" spans="3:8" ht="15.75" customHeight="1">
      <c r="C491" s="83"/>
      <c r="H491" s="83"/>
    </row>
    <row r="492" spans="3:8" ht="15.75" customHeight="1">
      <c r="C492" s="83"/>
      <c r="H492" s="83"/>
    </row>
    <row r="493" spans="3:8" ht="15.75" customHeight="1">
      <c r="C493" s="83"/>
      <c r="H493" s="83"/>
    </row>
    <row r="494" spans="3:8" ht="15.75" customHeight="1">
      <c r="C494" s="83"/>
      <c r="H494" s="83"/>
    </row>
    <row r="495" spans="3:8" ht="15.75" customHeight="1">
      <c r="C495" s="83"/>
      <c r="H495" s="83"/>
    </row>
    <row r="496" spans="3:8" ht="15.75" customHeight="1">
      <c r="C496" s="83"/>
      <c r="H496" s="83"/>
    </row>
    <row r="497" spans="3:8" ht="15.75" customHeight="1">
      <c r="C497" s="83"/>
      <c r="H497" s="83"/>
    </row>
    <row r="498" spans="3:8" ht="15.75" customHeight="1">
      <c r="C498" s="83"/>
      <c r="H498" s="83"/>
    </row>
    <row r="499" spans="3:8" ht="15.75" customHeight="1">
      <c r="C499" s="83"/>
      <c r="H499" s="83"/>
    </row>
    <row r="500" spans="3:8" ht="15.75" customHeight="1">
      <c r="C500" s="83"/>
      <c r="H500" s="83"/>
    </row>
    <row r="501" spans="3:8" ht="15.75" customHeight="1">
      <c r="C501" s="83"/>
      <c r="H501" s="83"/>
    </row>
    <row r="502" spans="3:8" ht="15.75" customHeight="1">
      <c r="C502" s="83"/>
      <c r="H502" s="83"/>
    </row>
    <row r="503" spans="3:8" ht="15.75" customHeight="1">
      <c r="C503" s="83"/>
      <c r="H503" s="83"/>
    </row>
    <row r="504" spans="3:8" ht="15.75" customHeight="1">
      <c r="C504" s="83"/>
      <c r="H504" s="83"/>
    </row>
    <row r="505" spans="3:8" ht="15.75" customHeight="1">
      <c r="C505" s="83"/>
      <c r="H505" s="83"/>
    </row>
    <row r="506" spans="3:8" ht="15.75" customHeight="1">
      <c r="C506" s="83"/>
      <c r="H506" s="83"/>
    </row>
    <row r="507" spans="3:8" ht="15.75" customHeight="1">
      <c r="C507" s="83"/>
      <c r="H507" s="83"/>
    </row>
    <row r="508" spans="3:8" ht="15.75" customHeight="1">
      <c r="C508" s="83"/>
      <c r="H508" s="83"/>
    </row>
    <row r="509" spans="3:8" ht="15.75" customHeight="1">
      <c r="C509" s="83"/>
      <c r="H509" s="83"/>
    </row>
    <row r="510" spans="3:8" ht="15.75" customHeight="1">
      <c r="C510" s="83"/>
      <c r="H510" s="83"/>
    </row>
    <row r="511" spans="3:8" ht="15.75" customHeight="1">
      <c r="C511" s="83"/>
      <c r="H511" s="83"/>
    </row>
    <row r="512" spans="3:8" ht="15.75" customHeight="1">
      <c r="C512" s="83"/>
      <c r="H512" s="83"/>
    </row>
    <row r="513" spans="3:8" ht="15.75" customHeight="1">
      <c r="C513" s="83"/>
      <c r="H513" s="83"/>
    </row>
    <row r="514" spans="3:8" ht="15.75" customHeight="1">
      <c r="C514" s="83"/>
      <c r="H514" s="83"/>
    </row>
    <row r="515" spans="3:8" ht="15.75" customHeight="1">
      <c r="C515" s="83"/>
      <c r="H515" s="83"/>
    </row>
    <row r="516" spans="3:8" ht="15.75" customHeight="1">
      <c r="C516" s="83"/>
      <c r="H516" s="83"/>
    </row>
    <row r="517" spans="3:8" ht="15.75" customHeight="1">
      <c r="C517" s="83"/>
      <c r="H517" s="83"/>
    </row>
    <row r="518" spans="3:8" ht="15.75" customHeight="1">
      <c r="C518" s="83"/>
      <c r="H518" s="83"/>
    </row>
    <row r="519" spans="3:8" ht="15.75" customHeight="1">
      <c r="C519" s="83"/>
      <c r="H519" s="83"/>
    </row>
    <row r="520" spans="3:8" ht="15.75" customHeight="1">
      <c r="C520" s="83"/>
      <c r="H520" s="83"/>
    </row>
    <row r="521" spans="3:8" ht="15.75" customHeight="1">
      <c r="C521" s="83"/>
      <c r="H521" s="83"/>
    </row>
    <row r="522" spans="3:8" ht="15.75" customHeight="1">
      <c r="C522" s="83"/>
      <c r="H522" s="83"/>
    </row>
    <row r="523" spans="3:8" ht="15.75" customHeight="1">
      <c r="C523" s="83"/>
      <c r="H523" s="83"/>
    </row>
    <row r="524" spans="3:8" ht="15.75" customHeight="1">
      <c r="C524" s="83"/>
      <c r="H524" s="83"/>
    </row>
    <row r="525" spans="3:8" ht="15.75" customHeight="1">
      <c r="C525" s="83"/>
      <c r="H525" s="83"/>
    </row>
    <row r="526" spans="3:8" ht="15.75" customHeight="1">
      <c r="C526" s="83"/>
      <c r="H526" s="83"/>
    </row>
    <row r="527" spans="3:8" ht="15.75" customHeight="1">
      <c r="C527" s="83"/>
      <c r="H527" s="83"/>
    </row>
    <row r="528" spans="3:8" ht="15.75" customHeight="1">
      <c r="C528" s="83"/>
      <c r="H528" s="83"/>
    </row>
    <row r="529" spans="3:8" ht="15.75" customHeight="1">
      <c r="C529" s="83"/>
      <c r="H529" s="83"/>
    </row>
    <row r="530" spans="3:8" ht="15.75" customHeight="1">
      <c r="C530" s="83"/>
      <c r="H530" s="83"/>
    </row>
    <row r="531" spans="3:8" ht="15.75" customHeight="1">
      <c r="C531" s="83"/>
      <c r="H531" s="83"/>
    </row>
    <row r="532" spans="3:8" ht="15.75" customHeight="1">
      <c r="C532" s="83"/>
      <c r="H532" s="83"/>
    </row>
    <row r="533" spans="3:8" ht="15.75" customHeight="1">
      <c r="C533" s="83"/>
      <c r="H533" s="83"/>
    </row>
    <row r="534" spans="3:8" ht="15.75" customHeight="1">
      <c r="C534" s="83"/>
      <c r="H534" s="83"/>
    </row>
    <row r="535" spans="3:8" ht="15.75" customHeight="1">
      <c r="C535" s="83"/>
      <c r="H535" s="83"/>
    </row>
    <row r="536" spans="3:8" ht="15.75" customHeight="1">
      <c r="C536" s="83"/>
      <c r="H536" s="83"/>
    </row>
    <row r="537" spans="3:8" ht="15.75" customHeight="1">
      <c r="C537" s="83"/>
      <c r="H537" s="83"/>
    </row>
    <row r="538" spans="3:8" ht="15.75" customHeight="1">
      <c r="C538" s="83"/>
      <c r="H538" s="83"/>
    </row>
    <row r="539" spans="3:8" ht="15.75" customHeight="1">
      <c r="C539" s="83"/>
      <c r="H539" s="83"/>
    </row>
    <row r="540" spans="3:8" ht="15.75" customHeight="1">
      <c r="C540" s="83"/>
      <c r="H540" s="83"/>
    </row>
    <row r="541" spans="3:8" ht="15.75" customHeight="1">
      <c r="C541" s="83"/>
      <c r="H541" s="83"/>
    </row>
    <row r="542" spans="3:8" ht="15.75" customHeight="1">
      <c r="C542" s="83"/>
      <c r="H542" s="83"/>
    </row>
    <row r="543" spans="3:8" ht="15.75" customHeight="1">
      <c r="C543" s="83"/>
      <c r="H543" s="83"/>
    </row>
    <row r="544" spans="3:8" ht="15.75" customHeight="1">
      <c r="C544" s="83"/>
      <c r="H544" s="83"/>
    </row>
    <row r="545" spans="3:8" ht="15.75" customHeight="1">
      <c r="C545" s="83"/>
      <c r="H545" s="83"/>
    </row>
    <row r="546" spans="3:8" ht="15.75" customHeight="1">
      <c r="C546" s="83"/>
      <c r="H546" s="83"/>
    </row>
    <row r="547" spans="3:8" ht="15.75" customHeight="1">
      <c r="C547" s="83"/>
      <c r="H547" s="83"/>
    </row>
    <row r="548" spans="3:8" ht="15.75" customHeight="1">
      <c r="C548" s="83"/>
      <c r="H548" s="83"/>
    </row>
    <row r="549" spans="3:8" ht="15.75" customHeight="1">
      <c r="C549" s="83"/>
      <c r="H549" s="83"/>
    </row>
    <row r="550" spans="3:8" ht="15.75" customHeight="1">
      <c r="C550" s="83"/>
      <c r="H550" s="83"/>
    </row>
    <row r="551" spans="3:8" ht="15.75" customHeight="1">
      <c r="C551" s="83"/>
      <c r="H551" s="83"/>
    </row>
    <row r="552" spans="3:8" ht="15.75" customHeight="1">
      <c r="C552" s="83"/>
      <c r="H552" s="83"/>
    </row>
    <row r="553" spans="3:8" ht="15.75" customHeight="1">
      <c r="C553" s="83"/>
      <c r="H553" s="83"/>
    </row>
    <row r="554" spans="3:8" ht="15.75" customHeight="1">
      <c r="C554" s="83"/>
      <c r="H554" s="83"/>
    </row>
    <row r="555" spans="3:8" ht="15.75" customHeight="1">
      <c r="C555" s="83"/>
      <c r="H555" s="83"/>
    </row>
    <row r="556" spans="3:8" ht="15.75" customHeight="1">
      <c r="C556" s="83"/>
      <c r="H556" s="83"/>
    </row>
    <row r="557" spans="3:8" ht="15.75" customHeight="1">
      <c r="C557" s="83"/>
      <c r="H557" s="83"/>
    </row>
    <row r="558" spans="3:8" ht="15.75" customHeight="1">
      <c r="C558" s="83"/>
      <c r="H558" s="83"/>
    </row>
    <row r="559" spans="3:8" ht="15.75" customHeight="1">
      <c r="C559" s="83"/>
      <c r="H559" s="83"/>
    </row>
    <row r="560" spans="3:8" ht="15.75" customHeight="1">
      <c r="C560" s="83"/>
      <c r="H560" s="83"/>
    </row>
    <row r="561" spans="3:8" ht="15.75" customHeight="1">
      <c r="C561" s="83"/>
      <c r="H561" s="83"/>
    </row>
    <row r="562" spans="3:8" ht="15.75" customHeight="1">
      <c r="C562" s="83"/>
      <c r="H562" s="83"/>
    </row>
    <row r="563" spans="3:8" ht="15.75" customHeight="1">
      <c r="C563" s="83"/>
      <c r="H563" s="83"/>
    </row>
    <row r="564" spans="3:8" ht="15.75" customHeight="1">
      <c r="C564" s="83"/>
      <c r="H564" s="83"/>
    </row>
    <row r="565" spans="3:8" ht="15.75" customHeight="1">
      <c r="C565" s="83"/>
      <c r="H565" s="83"/>
    </row>
    <row r="566" spans="3:8" ht="15.75" customHeight="1">
      <c r="C566" s="83"/>
      <c r="H566" s="83"/>
    </row>
    <row r="567" spans="3:8" ht="15.75" customHeight="1">
      <c r="C567" s="83"/>
      <c r="H567" s="83"/>
    </row>
    <row r="568" spans="3:8" ht="15.75" customHeight="1">
      <c r="C568" s="83"/>
      <c r="H568" s="83"/>
    </row>
    <row r="569" spans="3:8" ht="15.75" customHeight="1">
      <c r="C569" s="83"/>
      <c r="H569" s="83"/>
    </row>
    <row r="570" spans="3:8" ht="15.75" customHeight="1">
      <c r="C570" s="83"/>
      <c r="H570" s="83"/>
    </row>
    <row r="571" spans="3:8" ht="15.75" customHeight="1">
      <c r="C571" s="83"/>
      <c r="H571" s="83"/>
    </row>
    <row r="572" spans="3:8" ht="15.75" customHeight="1">
      <c r="C572" s="83"/>
      <c r="H572" s="83"/>
    </row>
    <row r="573" spans="3:8" ht="15.75" customHeight="1">
      <c r="C573" s="83"/>
      <c r="H573" s="83"/>
    </row>
    <row r="574" spans="3:8" ht="15.75" customHeight="1">
      <c r="C574" s="83"/>
      <c r="H574" s="83"/>
    </row>
    <row r="575" spans="3:8" ht="15.75" customHeight="1">
      <c r="C575" s="83"/>
      <c r="H575" s="83"/>
    </row>
    <row r="576" spans="3:8" ht="15.75" customHeight="1">
      <c r="C576" s="83"/>
      <c r="H576" s="83"/>
    </row>
    <row r="577" spans="3:8" ht="15.75" customHeight="1">
      <c r="C577" s="83"/>
      <c r="H577" s="83"/>
    </row>
    <row r="578" spans="3:8" ht="15.75" customHeight="1">
      <c r="C578" s="83"/>
      <c r="H578" s="83"/>
    </row>
    <row r="579" spans="3:8" ht="15.75" customHeight="1">
      <c r="C579" s="83"/>
      <c r="H579" s="83"/>
    </row>
    <row r="580" spans="3:8" ht="15.75" customHeight="1">
      <c r="C580" s="83"/>
      <c r="H580" s="83"/>
    </row>
    <row r="581" spans="3:8" ht="15.75" customHeight="1">
      <c r="C581" s="83"/>
      <c r="H581" s="83"/>
    </row>
    <row r="582" spans="3:8" ht="15.75" customHeight="1">
      <c r="C582" s="83"/>
      <c r="H582" s="83"/>
    </row>
    <row r="583" spans="3:8" ht="15.75" customHeight="1">
      <c r="C583" s="83"/>
      <c r="H583" s="83"/>
    </row>
    <row r="584" spans="3:8" ht="15.75" customHeight="1">
      <c r="C584" s="83"/>
      <c r="H584" s="83"/>
    </row>
    <row r="585" spans="3:8" ht="15.75" customHeight="1">
      <c r="C585" s="83"/>
      <c r="H585" s="83"/>
    </row>
    <row r="586" spans="3:8" ht="15.75" customHeight="1">
      <c r="C586" s="83"/>
      <c r="H586" s="83"/>
    </row>
    <row r="587" spans="3:8" ht="15.75" customHeight="1">
      <c r="C587" s="83"/>
      <c r="H587" s="83"/>
    </row>
    <row r="588" spans="3:8" ht="15.75" customHeight="1">
      <c r="C588" s="83"/>
      <c r="H588" s="83"/>
    </row>
    <row r="589" spans="3:8" ht="15.75" customHeight="1">
      <c r="C589" s="83"/>
      <c r="H589" s="83"/>
    </row>
    <row r="590" spans="3:8" ht="15.75" customHeight="1">
      <c r="C590" s="83"/>
      <c r="H590" s="83"/>
    </row>
    <row r="591" spans="3:8" ht="15.75" customHeight="1">
      <c r="C591" s="83"/>
      <c r="H591" s="83"/>
    </row>
    <row r="592" spans="3:8" ht="15.75" customHeight="1">
      <c r="C592" s="83"/>
      <c r="H592" s="83"/>
    </row>
    <row r="593" spans="3:8" ht="15.75" customHeight="1">
      <c r="C593" s="83"/>
      <c r="H593" s="83"/>
    </row>
    <row r="594" spans="3:8" ht="15.75" customHeight="1">
      <c r="C594" s="83"/>
      <c r="H594" s="83"/>
    </row>
    <row r="595" spans="3:8" ht="15.75" customHeight="1">
      <c r="C595" s="83"/>
      <c r="H595" s="83"/>
    </row>
    <row r="596" spans="3:8" ht="15.75" customHeight="1">
      <c r="C596" s="83"/>
      <c r="H596" s="83"/>
    </row>
    <row r="597" spans="3:8" ht="15.75" customHeight="1">
      <c r="C597" s="83"/>
      <c r="H597" s="83"/>
    </row>
    <row r="598" spans="3:8" ht="15.75" customHeight="1">
      <c r="C598" s="83"/>
      <c r="H598" s="83"/>
    </row>
    <row r="599" spans="3:8" ht="15.75" customHeight="1">
      <c r="C599" s="83"/>
      <c r="H599" s="83"/>
    </row>
    <row r="600" spans="3:8" ht="15.75" customHeight="1">
      <c r="C600" s="83"/>
      <c r="H600" s="83"/>
    </row>
    <row r="601" spans="3:8" ht="15.75" customHeight="1">
      <c r="C601" s="83"/>
      <c r="H601" s="83"/>
    </row>
    <row r="602" spans="3:8" ht="15.75" customHeight="1">
      <c r="C602" s="83"/>
      <c r="H602" s="83"/>
    </row>
    <row r="603" spans="3:8" ht="15.75" customHeight="1">
      <c r="C603" s="83"/>
      <c r="H603" s="83"/>
    </row>
    <row r="604" spans="3:8" ht="15.75" customHeight="1">
      <c r="C604" s="83"/>
      <c r="H604" s="83"/>
    </row>
    <row r="605" spans="3:8" ht="15.75" customHeight="1">
      <c r="C605" s="83"/>
      <c r="H605" s="83"/>
    </row>
    <row r="606" spans="3:8" ht="15.75" customHeight="1">
      <c r="C606" s="83"/>
      <c r="H606" s="83"/>
    </row>
    <row r="607" spans="3:8" ht="15.75" customHeight="1">
      <c r="C607" s="83"/>
      <c r="H607" s="83"/>
    </row>
    <row r="608" spans="3:8" ht="15.75" customHeight="1">
      <c r="C608" s="83"/>
      <c r="H608" s="83"/>
    </row>
    <row r="609" spans="3:8" ht="15.75" customHeight="1">
      <c r="C609" s="83"/>
      <c r="H609" s="83"/>
    </row>
    <row r="610" spans="3:8" ht="15.75" customHeight="1">
      <c r="C610" s="83"/>
      <c r="H610" s="83"/>
    </row>
    <row r="611" spans="3:8" ht="15.75" customHeight="1">
      <c r="C611" s="83"/>
      <c r="H611" s="83"/>
    </row>
    <row r="612" spans="3:8" ht="15.75" customHeight="1">
      <c r="C612" s="83"/>
      <c r="H612" s="83"/>
    </row>
    <row r="613" spans="3:8" ht="15.75" customHeight="1">
      <c r="C613" s="83"/>
      <c r="H613" s="83"/>
    </row>
    <row r="614" spans="3:8" ht="15.75" customHeight="1">
      <c r="C614" s="83"/>
      <c r="H614" s="83"/>
    </row>
    <row r="615" spans="3:8" ht="15.75" customHeight="1">
      <c r="C615" s="83"/>
      <c r="H615" s="83"/>
    </row>
    <row r="616" spans="3:8" ht="15.75" customHeight="1">
      <c r="C616" s="83"/>
      <c r="H616" s="83"/>
    </row>
    <row r="617" spans="3:8" ht="15.75" customHeight="1">
      <c r="C617" s="83"/>
      <c r="H617" s="83"/>
    </row>
    <row r="618" spans="3:8" ht="15.75" customHeight="1">
      <c r="C618" s="83"/>
      <c r="H618" s="83"/>
    </row>
    <row r="619" spans="3:8" ht="15.75" customHeight="1">
      <c r="C619" s="83"/>
      <c r="H619" s="83"/>
    </row>
    <row r="620" spans="3:8" ht="15.75" customHeight="1">
      <c r="C620" s="83"/>
      <c r="H620" s="83"/>
    </row>
    <row r="621" spans="3:8" ht="15.75" customHeight="1">
      <c r="C621" s="83"/>
      <c r="H621" s="83"/>
    </row>
    <row r="622" spans="3:8" ht="15.75" customHeight="1">
      <c r="C622" s="83"/>
      <c r="H622" s="83"/>
    </row>
    <row r="623" spans="3:8" ht="15.75" customHeight="1">
      <c r="C623" s="83"/>
      <c r="H623" s="83"/>
    </row>
    <row r="624" spans="3:8" ht="15.75" customHeight="1">
      <c r="C624" s="83"/>
      <c r="H624" s="83"/>
    </row>
    <row r="625" spans="3:8" ht="15.75" customHeight="1">
      <c r="C625" s="83"/>
      <c r="H625" s="83"/>
    </row>
    <row r="626" spans="3:8" ht="15.75" customHeight="1">
      <c r="C626" s="83"/>
      <c r="H626" s="83"/>
    </row>
    <row r="627" spans="3:8" ht="15.75" customHeight="1">
      <c r="C627" s="83"/>
      <c r="H627" s="83"/>
    </row>
    <row r="628" spans="3:8" ht="15.75" customHeight="1">
      <c r="C628" s="83"/>
      <c r="H628" s="83"/>
    </row>
    <row r="629" spans="3:8" ht="15.75" customHeight="1">
      <c r="C629" s="83"/>
      <c r="H629" s="83"/>
    </row>
    <row r="630" spans="3:8" ht="15.75" customHeight="1">
      <c r="C630" s="83"/>
      <c r="H630" s="83"/>
    </row>
    <row r="631" spans="3:8" ht="15.75" customHeight="1">
      <c r="C631" s="83"/>
      <c r="H631" s="83"/>
    </row>
    <row r="632" spans="3:8" ht="15.75" customHeight="1">
      <c r="C632" s="83"/>
      <c r="H632" s="83"/>
    </row>
    <row r="633" spans="3:8" ht="15.75" customHeight="1">
      <c r="C633" s="83"/>
      <c r="H633" s="83"/>
    </row>
    <row r="634" spans="3:8" ht="15.75" customHeight="1">
      <c r="C634" s="83"/>
      <c r="H634" s="83"/>
    </row>
    <row r="635" spans="3:8" ht="15.75" customHeight="1">
      <c r="C635" s="83"/>
      <c r="H635" s="83"/>
    </row>
    <row r="636" spans="3:8" ht="15.75" customHeight="1">
      <c r="C636" s="83"/>
      <c r="H636" s="83"/>
    </row>
    <row r="637" spans="3:8" ht="15.75" customHeight="1">
      <c r="C637" s="83"/>
      <c r="H637" s="83"/>
    </row>
    <row r="638" spans="3:8" ht="15.75" customHeight="1">
      <c r="C638" s="83"/>
      <c r="H638" s="83"/>
    </row>
    <row r="639" spans="3:8" ht="15.75" customHeight="1">
      <c r="C639" s="83"/>
      <c r="H639" s="83"/>
    </row>
    <row r="640" spans="3:8" ht="15.75" customHeight="1">
      <c r="C640" s="83"/>
      <c r="H640" s="83"/>
    </row>
    <row r="641" spans="3:8" ht="15.75" customHeight="1">
      <c r="C641" s="83"/>
      <c r="H641" s="83"/>
    </row>
    <row r="642" spans="3:8" ht="15.75" customHeight="1">
      <c r="C642" s="83"/>
      <c r="H642" s="83"/>
    </row>
    <row r="643" spans="3:8" ht="15.75" customHeight="1">
      <c r="C643" s="83"/>
      <c r="H643" s="83"/>
    </row>
    <row r="644" spans="3:8" ht="15.75" customHeight="1">
      <c r="C644" s="83"/>
      <c r="H644" s="83"/>
    </row>
    <row r="645" spans="3:8" ht="15.75" customHeight="1">
      <c r="C645" s="83"/>
      <c r="H645" s="83"/>
    </row>
    <row r="646" spans="3:8" ht="15.75" customHeight="1">
      <c r="C646" s="83"/>
      <c r="H646" s="83"/>
    </row>
    <row r="647" spans="3:8" ht="15.75" customHeight="1">
      <c r="C647" s="83"/>
      <c r="H647" s="83"/>
    </row>
    <row r="648" spans="3:8" ht="15.75" customHeight="1">
      <c r="C648" s="83"/>
      <c r="H648" s="83"/>
    </row>
    <row r="649" spans="3:8" ht="15.75" customHeight="1">
      <c r="C649" s="83"/>
      <c r="H649" s="83"/>
    </row>
    <row r="650" spans="3:8" ht="15.75" customHeight="1">
      <c r="C650" s="83"/>
      <c r="H650" s="83"/>
    </row>
    <row r="651" spans="3:8" ht="15.75" customHeight="1">
      <c r="C651" s="83"/>
      <c r="H651" s="83"/>
    </row>
    <row r="652" spans="3:8" ht="15.75" customHeight="1">
      <c r="C652" s="83"/>
      <c r="H652" s="83"/>
    </row>
    <row r="653" spans="3:8" ht="15.75" customHeight="1">
      <c r="C653" s="83"/>
      <c r="H653" s="83"/>
    </row>
    <row r="654" spans="3:8" ht="15.75" customHeight="1">
      <c r="C654" s="83"/>
      <c r="H654" s="83"/>
    </row>
    <row r="655" spans="3:8" ht="15.75" customHeight="1">
      <c r="C655" s="83"/>
      <c r="H655" s="83"/>
    </row>
    <row r="656" spans="3:8" ht="15.75" customHeight="1">
      <c r="C656" s="83"/>
      <c r="H656" s="83"/>
    </row>
    <row r="657" spans="3:8" ht="15.75" customHeight="1">
      <c r="C657" s="83"/>
      <c r="H657" s="83"/>
    </row>
    <row r="658" spans="3:8" ht="15.75" customHeight="1">
      <c r="C658" s="83"/>
      <c r="H658" s="83"/>
    </row>
    <row r="659" spans="3:8" ht="15.75" customHeight="1">
      <c r="C659" s="83"/>
      <c r="H659" s="83"/>
    </row>
    <row r="660" spans="3:8" ht="15.75" customHeight="1">
      <c r="C660" s="83"/>
      <c r="H660" s="83"/>
    </row>
    <row r="661" spans="3:8" ht="15.75" customHeight="1">
      <c r="C661" s="83"/>
      <c r="H661" s="83"/>
    </row>
    <row r="662" spans="3:8" ht="15.75" customHeight="1">
      <c r="C662" s="83"/>
      <c r="H662" s="83"/>
    </row>
    <row r="663" spans="3:8" ht="15.75" customHeight="1">
      <c r="C663" s="83"/>
      <c r="H663" s="83"/>
    </row>
    <row r="664" spans="3:8" ht="15.75" customHeight="1">
      <c r="C664" s="83"/>
      <c r="H664" s="83"/>
    </row>
    <row r="665" spans="3:8" ht="15.75" customHeight="1">
      <c r="C665" s="83"/>
      <c r="H665" s="83"/>
    </row>
    <row r="666" spans="3:8" ht="15.75" customHeight="1">
      <c r="C666" s="83"/>
      <c r="H666" s="83"/>
    </row>
    <row r="667" spans="3:8" ht="15.75" customHeight="1">
      <c r="C667" s="83"/>
      <c r="H667" s="83"/>
    </row>
    <row r="668" spans="3:8" ht="15.75" customHeight="1">
      <c r="C668" s="83"/>
      <c r="H668" s="83"/>
    </row>
    <row r="669" spans="3:8" ht="15.75" customHeight="1">
      <c r="C669" s="83"/>
      <c r="H669" s="83"/>
    </row>
    <row r="670" spans="3:8" ht="15.75" customHeight="1">
      <c r="C670" s="83"/>
      <c r="H670" s="83"/>
    </row>
    <row r="671" spans="3:8" ht="15.75" customHeight="1">
      <c r="C671" s="83"/>
      <c r="H671" s="83"/>
    </row>
    <row r="672" spans="3:8" ht="15.75" customHeight="1">
      <c r="C672" s="83"/>
      <c r="H672" s="83"/>
    </row>
    <row r="673" spans="3:8" ht="15.75" customHeight="1">
      <c r="C673" s="83"/>
      <c r="H673" s="83"/>
    </row>
    <row r="674" spans="3:8" ht="15.75" customHeight="1">
      <c r="C674" s="83"/>
      <c r="H674" s="83"/>
    </row>
    <row r="675" spans="3:8" ht="15.75" customHeight="1">
      <c r="C675" s="83"/>
      <c r="H675" s="83"/>
    </row>
    <row r="676" spans="3:8" ht="15.75" customHeight="1">
      <c r="C676" s="83"/>
      <c r="H676" s="83"/>
    </row>
    <row r="677" spans="3:8" ht="15.75" customHeight="1">
      <c r="C677" s="83"/>
      <c r="H677" s="83"/>
    </row>
    <row r="678" spans="3:8" ht="15.75" customHeight="1">
      <c r="C678" s="83"/>
      <c r="H678" s="83"/>
    </row>
    <row r="679" spans="3:8" ht="15.75" customHeight="1">
      <c r="C679" s="83"/>
      <c r="H679" s="83"/>
    </row>
    <row r="680" spans="3:8" ht="15.75" customHeight="1">
      <c r="C680" s="83"/>
      <c r="H680" s="83"/>
    </row>
    <row r="681" spans="3:8" ht="15.75" customHeight="1">
      <c r="C681" s="83"/>
      <c r="H681" s="83"/>
    </row>
    <row r="682" spans="3:8" ht="15.75" customHeight="1">
      <c r="C682" s="83"/>
      <c r="H682" s="83"/>
    </row>
    <row r="683" spans="3:8" ht="15.75" customHeight="1">
      <c r="C683" s="83"/>
      <c r="H683" s="83"/>
    </row>
    <row r="684" spans="3:8" ht="15.75" customHeight="1">
      <c r="C684" s="83"/>
      <c r="H684" s="83"/>
    </row>
    <row r="685" spans="3:8" ht="15.75" customHeight="1">
      <c r="C685" s="83"/>
      <c r="H685" s="83"/>
    </row>
    <row r="686" spans="3:8" ht="15.75" customHeight="1">
      <c r="C686" s="83"/>
      <c r="H686" s="83"/>
    </row>
    <row r="687" spans="3:8" ht="15.75" customHeight="1">
      <c r="C687" s="83"/>
      <c r="H687" s="83"/>
    </row>
    <row r="688" spans="3:8" ht="15.75" customHeight="1">
      <c r="C688" s="83"/>
      <c r="H688" s="83"/>
    </row>
    <row r="689" spans="3:8" ht="15.75" customHeight="1">
      <c r="C689" s="83"/>
      <c r="H689" s="83"/>
    </row>
    <row r="690" spans="3:8" ht="15.75" customHeight="1">
      <c r="C690" s="83"/>
      <c r="H690" s="83"/>
    </row>
    <row r="691" spans="3:8" ht="15.75" customHeight="1">
      <c r="C691" s="83"/>
      <c r="H691" s="83"/>
    </row>
    <row r="692" spans="3:8" ht="15.75" customHeight="1">
      <c r="C692" s="83"/>
      <c r="H692" s="83"/>
    </row>
    <row r="693" spans="3:8" ht="15.75" customHeight="1">
      <c r="C693" s="83"/>
      <c r="H693" s="83"/>
    </row>
    <row r="694" spans="3:8" ht="15.75" customHeight="1">
      <c r="C694" s="83"/>
      <c r="H694" s="83"/>
    </row>
    <row r="695" spans="3:8" ht="15.75" customHeight="1">
      <c r="C695" s="83"/>
      <c r="H695" s="83"/>
    </row>
    <row r="696" spans="3:8" ht="15.75" customHeight="1">
      <c r="C696" s="83"/>
      <c r="H696" s="83"/>
    </row>
    <row r="697" spans="3:8" ht="15.75" customHeight="1">
      <c r="C697" s="83"/>
      <c r="H697" s="83"/>
    </row>
    <row r="698" spans="3:8" ht="15.75" customHeight="1">
      <c r="C698" s="83"/>
      <c r="H698" s="83"/>
    </row>
    <row r="699" spans="3:8" ht="15.75" customHeight="1">
      <c r="C699" s="83"/>
      <c r="H699" s="83"/>
    </row>
    <row r="700" spans="3:8" ht="15.75" customHeight="1">
      <c r="C700" s="83"/>
      <c r="H700" s="83"/>
    </row>
    <row r="701" spans="3:8" ht="15.75" customHeight="1">
      <c r="C701" s="83"/>
      <c r="H701" s="83"/>
    </row>
    <row r="702" spans="3:8" ht="15.75" customHeight="1">
      <c r="C702" s="83"/>
      <c r="H702" s="83"/>
    </row>
    <row r="703" spans="3:8" ht="15.75" customHeight="1">
      <c r="C703" s="83"/>
      <c r="H703" s="83"/>
    </row>
    <row r="704" spans="3:8" ht="15.75" customHeight="1">
      <c r="C704" s="83"/>
      <c r="H704" s="83"/>
    </row>
    <row r="705" spans="3:8" ht="15.75" customHeight="1">
      <c r="C705" s="83"/>
      <c r="H705" s="83"/>
    </row>
    <row r="706" spans="3:8" ht="15.75" customHeight="1">
      <c r="C706" s="83"/>
      <c r="H706" s="83"/>
    </row>
    <row r="707" spans="3:8" ht="15.75" customHeight="1">
      <c r="C707" s="83"/>
      <c r="H707" s="83"/>
    </row>
    <row r="708" spans="3:8" ht="15.75" customHeight="1">
      <c r="C708" s="83"/>
      <c r="H708" s="83"/>
    </row>
    <row r="709" spans="3:8" ht="15.75" customHeight="1">
      <c r="C709" s="83"/>
      <c r="H709" s="83"/>
    </row>
    <row r="710" spans="3:8" ht="15.75" customHeight="1">
      <c r="C710" s="83"/>
      <c r="H710" s="83"/>
    </row>
    <row r="711" spans="3:8" ht="15.75" customHeight="1">
      <c r="C711" s="83"/>
      <c r="H711" s="83"/>
    </row>
    <row r="712" spans="3:8" ht="15.75" customHeight="1">
      <c r="C712" s="83"/>
      <c r="H712" s="83"/>
    </row>
    <row r="713" spans="3:8" ht="15.75" customHeight="1">
      <c r="C713" s="83"/>
      <c r="H713" s="83"/>
    </row>
    <row r="714" spans="3:8" ht="15.75" customHeight="1">
      <c r="C714" s="83"/>
      <c r="H714" s="83"/>
    </row>
    <row r="715" spans="3:8" ht="15.75" customHeight="1">
      <c r="C715" s="83"/>
      <c r="H715" s="83"/>
    </row>
    <row r="716" spans="3:8" ht="15.75" customHeight="1">
      <c r="C716" s="83"/>
      <c r="H716" s="83"/>
    </row>
    <row r="717" spans="3:8" ht="15.75" customHeight="1">
      <c r="C717" s="83"/>
      <c r="H717" s="83"/>
    </row>
    <row r="718" spans="3:8" ht="15.75" customHeight="1">
      <c r="C718" s="83"/>
      <c r="H718" s="83"/>
    </row>
    <row r="719" spans="3:8" ht="15.75" customHeight="1">
      <c r="C719" s="83"/>
      <c r="H719" s="83"/>
    </row>
    <row r="720" spans="3:8" ht="15.75" customHeight="1">
      <c r="C720" s="83"/>
      <c r="H720" s="83"/>
    </row>
    <row r="721" spans="3:8" ht="15.75" customHeight="1">
      <c r="C721" s="83"/>
      <c r="H721" s="83"/>
    </row>
    <row r="722" spans="3:8" ht="15.75" customHeight="1">
      <c r="C722" s="83"/>
      <c r="H722" s="83"/>
    </row>
    <row r="723" spans="3:8" ht="15.75" customHeight="1">
      <c r="C723" s="83"/>
      <c r="H723" s="83"/>
    </row>
    <row r="724" spans="3:8" ht="15.75" customHeight="1">
      <c r="C724" s="83"/>
      <c r="H724" s="83"/>
    </row>
    <row r="725" spans="3:8" ht="15.75" customHeight="1">
      <c r="C725" s="83"/>
      <c r="H725" s="83"/>
    </row>
    <row r="726" spans="3:8" ht="15.75" customHeight="1">
      <c r="C726" s="83"/>
      <c r="H726" s="83"/>
    </row>
    <row r="727" spans="3:8" ht="15.75" customHeight="1">
      <c r="C727" s="83"/>
      <c r="H727" s="83"/>
    </row>
    <row r="728" spans="3:8" ht="15.75" customHeight="1">
      <c r="C728" s="83"/>
      <c r="H728" s="83"/>
    </row>
    <row r="729" spans="3:8" ht="15.75" customHeight="1">
      <c r="C729" s="83"/>
      <c r="H729" s="83"/>
    </row>
    <row r="730" spans="3:8" ht="15.75" customHeight="1">
      <c r="C730" s="83"/>
      <c r="H730" s="83"/>
    </row>
    <row r="731" spans="3:8" ht="15.75" customHeight="1">
      <c r="C731" s="83"/>
      <c r="H731" s="83"/>
    </row>
    <row r="732" spans="3:8" ht="15.75" customHeight="1">
      <c r="C732" s="83"/>
      <c r="H732" s="83"/>
    </row>
    <row r="733" spans="3:8" ht="15.75" customHeight="1">
      <c r="C733" s="83"/>
      <c r="H733" s="83"/>
    </row>
    <row r="734" spans="3:8" ht="15.75" customHeight="1">
      <c r="C734" s="83"/>
      <c r="H734" s="83"/>
    </row>
    <row r="735" spans="3:8" ht="15.75" customHeight="1">
      <c r="C735" s="83"/>
      <c r="H735" s="83"/>
    </row>
    <row r="736" spans="3:8" ht="15.75" customHeight="1">
      <c r="C736" s="83"/>
      <c r="H736" s="83"/>
    </row>
    <row r="737" spans="3:8" ht="15.75" customHeight="1">
      <c r="C737" s="83"/>
      <c r="H737" s="83"/>
    </row>
    <row r="738" spans="3:8" ht="15.75" customHeight="1">
      <c r="C738" s="83"/>
      <c r="H738" s="83"/>
    </row>
    <row r="739" spans="3:8" ht="15.75" customHeight="1">
      <c r="C739" s="83"/>
      <c r="H739" s="83"/>
    </row>
    <row r="740" spans="3:8" ht="15.75" customHeight="1">
      <c r="C740" s="83"/>
      <c r="H740" s="83"/>
    </row>
    <row r="741" spans="3:8" ht="15.75" customHeight="1">
      <c r="C741" s="83"/>
      <c r="H741" s="83"/>
    </row>
    <row r="742" spans="3:8" ht="15.75" customHeight="1">
      <c r="C742" s="83"/>
      <c r="H742" s="83"/>
    </row>
    <row r="743" spans="3:8" ht="15.75" customHeight="1">
      <c r="C743" s="83"/>
      <c r="H743" s="83"/>
    </row>
    <row r="744" spans="3:8" ht="15.75" customHeight="1">
      <c r="C744" s="83"/>
      <c r="H744" s="83"/>
    </row>
    <row r="745" spans="3:8" ht="15.75" customHeight="1">
      <c r="C745" s="83"/>
      <c r="H745" s="83"/>
    </row>
    <row r="746" spans="3:8" ht="15.75" customHeight="1">
      <c r="C746" s="83"/>
      <c r="H746" s="83"/>
    </row>
    <row r="747" spans="3:8" ht="15.75" customHeight="1">
      <c r="C747" s="83"/>
      <c r="H747" s="83"/>
    </row>
    <row r="748" spans="3:8" ht="15.75" customHeight="1">
      <c r="C748" s="83"/>
      <c r="H748" s="83"/>
    </row>
    <row r="749" spans="3:8" ht="15.75" customHeight="1">
      <c r="C749" s="83"/>
      <c r="H749" s="83"/>
    </row>
    <row r="750" spans="3:8" ht="15.75" customHeight="1">
      <c r="C750" s="83"/>
      <c r="H750" s="83"/>
    </row>
    <row r="751" spans="3:8" ht="15.75" customHeight="1">
      <c r="C751" s="83"/>
      <c r="H751" s="83"/>
    </row>
    <row r="752" spans="3:8" ht="15.75" customHeight="1">
      <c r="C752" s="83"/>
      <c r="H752" s="83"/>
    </row>
    <row r="753" spans="3:8" ht="15.75" customHeight="1">
      <c r="C753" s="83"/>
      <c r="H753" s="83"/>
    </row>
    <row r="754" spans="3:8" ht="15.75" customHeight="1">
      <c r="C754" s="83"/>
      <c r="H754" s="83"/>
    </row>
    <row r="755" spans="3:8" ht="15.75" customHeight="1">
      <c r="C755" s="83"/>
      <c r="H755" s="83"/>
    </row>
    <row r="756" spans="3:8" ht="15.75" customHeight="1">
      <c r="C756" s="83"/>
      <c r="H756" s="83"/>
    </row>
    <row r="757" spans="3:8" ht="15.75" customHeight="1">
      <c r="C757" s="83"/>
      <c r="H757" s="83"/>
    </row>
    <row r="758" spans="3:8" ht="15.75" customHeight="1">
      <c r="C758" s="83"/>
      <c r="H758" s="83"/>
    </row>
    <row r="759" spans="3:8" ht="15.75" customHeight="1">
      <c r="C759" s="83"/>
      <c r="H759" s="83"/>
    </row>
    <row r="760" spans="3:8" ht="15.75" customHeight="1">
      <c r="C760" s="83"/>
      <c r="H760" s="83"/>
    </row>
    <row r="761" spans="3:8" ht="15.75" customHeight="1">
      <c r="C761" s="83"/>
      <c r="H761" s="83"/>
    </row>
    <row r="762" spans="3:8" ht="15.75" customHeight="1">
      <c r="C762" s="83"/>
      <c r="H762" s="83"/>
    </row>
    <row r="763" spans="3:8" ht="15.75" customHeight="1">
      <c r="C763" s="83"/>
      <c r="H763" s="83"/>
    </row>
    <row r="764" spans="3:8" ht="15.75" customHeight="1">
      <c r="C764" s="83"/>
      <c r="H764" s="83"/>
    </row>
    <row r="765" spans="3:8" ht="15.75" customHeight="1">
      <c r="C765" s="83"/>
      <c r="H765" s="83"/>
    </row>
    <row r="766" spans="3:8" ht="15.75" customHeight="1">
      <c r="C766" s="83"/>
      <c r="H766" s="83"/>
    </row>
    <row r="767" spans="3:8" ht="15.75" customHeight="1">
      <c r="C767" s="83"/>
      <c r="H767" s="83"/>
    </row>
    <row r="768" spans="3:8" ht="15.75" customHeight="1">
      <c r="C768" s="83"/>
      <c r="H768" s="83"/>
    </row>
    <row r="769" spans="3:8" ht="15.75" customHeight="1">
      <c r="C769" s="83"/>
      <c r="H769" s="83"/>
    </row>
    <row r="770" spans="3:8" ht="15.75" customHeight="1">
      <c r="C770" s="83"/>
      <c r="H770" s="83"/>
    </row>
    <row r="771" spans="3:8" ht="15.75" customHeight="1">
      <c r="C771" s="83"/>
      <c r="H771" s="83"/>
    </row>
    <row r="772" spans="3:8" ht="15.75" customHeight="1">
      <c r="C772" s="83"/>
      <c r="H772" s="83"/>
    </row>
    <row r="773" spans="3:8" ht="15.75" customHeight="1">
      <c r="C773" s="83"/>
      <c r="H773" s="83"/>
    </row>
    <row r="774" spans="3:8" ht="15.75" customHeight="1">
      <c r="C774" s="83"/>
      <c r="H774" s="83"/>
    </row>
    <row r="775" spans="3:8" ht="15.75" customHeight="1">
      <c r="C775" s="83"/>
      <c r="H775" s="83"/>
    </row>
    <row r="776" spans="3:8" ht="15.75" customHeight="1">
      <c r="C776" s="83"/>
      <c r="H776" s="83"/>
    </row>
    <row r="777" spans="3:8" ht="15.75" customHeight="1">
      <c r="C777" s="83"/>
      <c r="H777" s="83"/>
    </row>
    <row r="778" spans="3:8" ht="15.75" customHeight="1">
      <c r="C778" s="83"/>
      <c r="H778" s="83"/>
    </row>
    <row r="779" spans="3:8" ht="15.75" customHeight="1">
      <c r="C779" s="83"/>
      <c r="H779" s="83"/>
    </row>
    <row r="780" spans="3:8" ht="15.75" customHeight="1">
      <c r="C780" s="83"/>
      <c r="H780" s="83"/>
    </row>
    <row r="781" spans="3:8" ht="15.75" customHeight="1">
      <c r="C781" s="83"/>
      <c r="H781" s="83"/>
    </row>
    <row r="782" spans="3:8" ht="15.75" customHeight="1">
      <c r="C782" s="83"/>
      <c r="H782" s="83"/>
    </row>
    <row r="783" spans="3:8" ht="15.75" customHeight="1">
      <c r="C783" s="83"/>
      <c r="H783" s="83"/>
    </row>
    <row r="784" spans="3:8" ht="15.75" customHeight="1">
      <c r="C784" s="83"/>
      <c r="H784" s="83"/>
    </row>
    <row r="785" spans="3:8" ht="15.75" customHeight="1">
      <c r="C785" s="83"/>
      <c r="H785" s="83"/>
    </row>
    <row r="786" spans="3:8" ht="15.75" customHeight="1">
      <c r="C786" s="83"/>
      <c r="H786" s="83"/>
    </row>
    <row r="787" spans="3:8" ht="15.75" customHeight="1">
      <c r="C787" s="83"/>
      <c r="H787" s="83"/>
    </row>
    <row r="788" spans="3:8" ht="15.75" customHeight="1">
      <c r="C788" s="83"/>
      <c r="H788" s="83"/>
    </row>
    <row r="789" spans="3:8" ht="15.75" customHeight="1">
      <c r="C789" s="83"/>
      <c r="H789" s="83"/>
    </row>
    <row r="790" spans="3:8" ht="15.75" customHeight="1">
      <c r="C790" s="83"/>
      <c r="H790" s="83"/>
    </row>
    <row r="791" spans="3:8" ht="15.75" customHeight="1">
      <c r="C791" s="83"/>
      <c r="H791" s="83"/>
    </row>
    <row r="792" spans="3:8" ht="15.75" customHeight="1">
      <c r="C792" s="83"/>
      <c r="H792" s="83"/>
    </row>
    <row r="793" spans="3:8" ht="15.75" customHeight="1">
      <c r="C793" s="83"/>
      <c r="H793" s="83"/>
    </row>
    <row r="794" spans="3:8" ht="15.75" customHeight="1">
      <c r="C794" s="83"/>
      <c r="H794" s="83"/>
    </row>
    <row r="795" spans="3:8" ht="15.75" customHeight="1">
      <c r="C795" s="83"/>
      <c r="H795" s="83"/>
    </row>
    <row r="796" spans="3:8" ht="15.75" customHeight="1">
      <c r="C796" s="83"/>
      <c r="H796" s="83"/>
    </row>
    <row r="797" spans="3:8" ht="15.75" customHeight="1">
      <c r="C797" s="83"/>
      <c r="H797" s="83"/>
    </row>
    <row r="798" spans="3:8" ht="15.75" customHeight="1">
      <c r="C798" s="83"/>
      <c r="H798" s="83"/>
    </row>
    <row r="799" spans="3:8" ht="15.75" customHeight="1">
      <c r="C799" s="83"/>
      <c r="H799" s="83"/>
    </row>
    <row r="800" spans="3:8" ht="15.75" customHeight="1">
      <c r="C800" s="83"/>
      <c r="H800" s="83"/>
    </row>
    <row r="801" spans="3:8" ht="15.75" customHeight="1">
      <c r="C801" s="83"/>
      <c r="H801" s="83"/>
    </row>
    <row r="802" spans="3:8" ht="15.75" customHeight="1">
      <c r="C802" s="83"/>
      <c r="H802" s="83"/>
    </row>
    <row r="803" spans="3:8" ht="15.75" customHeight="1">
      <c r="C803" s="83"/>
      <c r="H803" s="83"/>
    </row>
    <row r="804" spans="3:8" ht="15.75" customHeight="1">
      <c r="C804" s="83"/>
      <c r="H804" s="83"/>
    </row>
    <row r="805" spans="3:8" ht="15.75" customHeight="1">
      <c r="C805" s="83"/>
      <c r="H805" s="83"/>
    </row>
    <row r="806" spans="3:8" ht="15.75" customHeight="1">
      <c r="C806" s="83"/>
      <c r="H806" s="83"/>
    </row>
    <row r="807" spans="3:8" ht="15.75" customHeight="1">
      <c r="C807" s="83"/>
      <c r="H807" s="83"/>
    </row>
    <row r="808" spans="3:8" ht="15.75" customHeight="1">
      <c r="C808" s="83"/>
      <c r="H808" s="83"/>
    </row>
    <row r="809" spans="3:8" ht="15.75" customHeight="1">
      <c r="C809" s="83"/>
      <c r="H809" s="83"/>
    </row>
    <row r="810" spans="3:8" ht="15.75" customHeight="1">
      <c r="C810" s="83"/>
      <c r="H810" s="83"/>
    </row>
    <row r="811" spans="3:8" ht="15.75" customHeight="1">
      <c r="C811" s="83"/>
      <c r="H811" s="83"/>
    </row>
    <row r="812" spans="3:8" ht="15.75" customHeight="1">
      <c r="C812" s="83"/>
      <c r="H812" s="83"/>
    </row>
    <row r="813" spans="3:8" ht="15.75" customHeight="1">
      <c r="C813" s="83"/>
      <c r="H813" s="83"/>
    </row>
    <row r="814" spans="3:8" ht="15.75" customHeight="1">
      <c r="C814" s="83"/>
      <c r="H814" s="83"/>
    </row>
    <row r="815" spans="3:8" ht="15.75" customHeight="1">
      <c r="C815" s="83"/>
      <c r="H815" s="83"/>
    </row>
    <row r="816" spans="3:8" ht="15.75" customHeight="1">
      <c r="C816" s="83"/>
      <c r="H816" s="83"/>
    </row>
    <row r="817" spans="3:8" ht="15.75" customHeight="1">
      <c r="C817" s="83"/>
      <c r="H817" s="83"/>
    </row>
    <row r="818" spans="3:8" ht="15.75" customHeight="1">
      <c r="C818" s="83"/>
      <c r="H818" s="83"/>
    </row>
    <row r="819" spans="3:8" ht="15.75" customHeight="1">
      <c r="C819" s="83"/>
      <c r="H819" s="83"/>
    </row>
    <row r="820" spans="3:8" ht="15.75" customHeight="1">
      <c r="C820" s="83"/>
      <c r="H820" s="83"/>
    </row>
    <row r="821" spans="3:8" ht="15.75" customHeight="1">
      <c r="C821" s="83"/>
      <c r="H821" s="83"/>
    </row>
    <row r="822" spans="3:8" ht="15.75" customHeight="1">
      <c r="C822" s="83"/>
      <c r="H822" s="83"/>
    </row>
    <row r="823" spans="3:8" ht="15.75" customHeight="1">
      <c r="C823" s="83"/>
      <c r="H823" s="83"/>
    </row>
    <row r="824" spans="3:8" ht="15.75" customHeight="1">
      <c r="C824" s="83"/>
      <c r="H824" s="83"/>
    </row>
    <row r="825" spans="3:8" ht="15.75" customHeight="1">
      <c r="C825" s="83"/>
      <c r="H825" s="83"/>
    </row>
    <row r="826" spans="3:8" ht="15.75" customHeight="1">
      <c r="C826" s="83"/>
      <c r="H826" s="83"/>
    </row>
    <row r="827" spans="3:8" ht="15.75" customHeight="1">
      <c r="C827" s="83"/>
      <c r="H827" s="83"/>
    </row>
    <row r="828" spans="3:8" ht="15.75" customHeight="1">
      <c r="C828" s="83"/>
      <c r="H828" s="83"/>
    </row>
    <row r="829" spans="3:8" ht="15.75" customHeight="1">
      <c r="C829" s="83"/>
      <c r="H829" s="83"/>
    </row>
    <row r="830" spans="3:8" ht="15.75" customHeight="1">
      <c r="C830" s="83"/>
      <c r="H830" s="83"/>
    </row>
    <row r="831" spans="3:8" ht="15.75" customHeight="1">
      <c r="C831" s="83"/>
      <c r="H831" s="83"/>
    </row>
    <row r="832" spans="3:8" ht="15.75" customHeight="1">
      <c r="C832" s="83"/>
      <c r="H832" s="83"/>
    </row>
    <row r="833" spans="3:8" ht="15.75" customHeight="1">
      <c r="C833" s="83"/>
      <c r="H833" s="83"/>
    </row>
    <row r="834" spans="3:8" ht="15.75" customHeight="1">
      <c r="C834" s="83"/>
      <c r="H834" s="83"/>
    </row>
    <row r="835" spans="3:8" ht="15.75" customHeight="1">
      <c r="C835" s="83"/>
      <c r="H835" s="83"/>
    </row>
    <row r="836" spans="3:8" ht="15.75" customHeight="1">
      <c r="C836" s="83"/>
      <c r="H836" s="83"/>
    </row>
    <row r="837" spans="3:8" ht="15.75" customHeight="1">
      <c r="C837" s="83"/>
      <c r="H837" s="83"/>
    </row>
    <row r="838" spans="3:8" ht="15.75" customHeight="1">
      <c r="C838" s="83"/>
      <c r="H838" s="83"/>
    </row>
    <row r="839" spans="3:8" ht="15.75" customHeight="1">
      <c r="C839" s="83"/>
      <c r="H839" s="83"/>
    </row>
    <row r="840" spans="3:8" ht="15.75" customHeight="1">
      <c r="C840" s="83"/>
      <c r="H840" s="83"/>
    </row>
    <row r="841" spans="3:8" ht="15.75" customHeight="1">
      <c r="C841" s="83"/>
      <c r="H841" s="83"/>
    </row>
    <row r="842" spans="3:8" ht="15.75" customHeight="1">
      <c r="C842" s="83"/>
      <c r="H842" s="83"/>
    </row>
    <row r="843" spans="3:8" ht="15.75" customHeight="1">
      <c r="C843" s="83"/>
      <c r="H843" s="83"/>
    </row>
    <row r="844" spans="3:8" ht="15.75" customHeight="1">
      <c r="C844" s="83"/>
      <c r="H844" s="83"/>
    </row>
    <row r="845" spans="3:8" ht="15.75" customHeight="1">
      <c r="C845" s="83"/>
      <c r="H845" s="83"/>
    </row>
    <row r="846" spans="3:8" ht="15.75" customHeight="1">
      <c r="C846" s="83"/>
      <c r="H846" s="83"/>
    </row>
    <row r="847" spans="3:8" ht="15.75" customHeight="1">
      <c r="C847" s="83"/>
      <c r="H847" s="83"/>
    </row>
    <row r="848" spans="3:8" ht="15.75" customHeight="1">
      <c r="C848" s="83"/>
      <c r="H848" s="83"/>
    </row>
    <row r="849" spans="3:8" ht="15.75" customHeight="1">
      <c r="C849" s="83"/>
      <c r="H849" s="83"/>
    </row>
    <row r="850" spans="3:8" ht="15.75" customHeight="1">
      <c r="C850" s="83"/>
      <c r="H850" s="83"/>
    </row>
    <row r="851" spans="3:8" ht="15.75" customHeight="1">
      <c r="C851" s="83"/>
      <c r="H851" s="83"/>
    </row>
    <row r="852" spans="3:8" ht="15.75" customHeight="1">
      <c r="C852" s="83"/>
      <c r="H852" s="83"/>
    </row>
    <row r="853" spans="3:8" ht="15.75" customHeight="1">
      <c r="C853" s="83"/>
      <c r="H853" s="83"/>
    </row>
    <row r="854" spans="3:8" ht="15.75" customHeight="1">
      <c r="C854" s="83"/>
      <c r="H854" s="83"/>
    </row>
    <row r="855" spans="3:8" ht="15.75" customHeight="1">
      <c r="C855" s="83"/>
      <c r="H855" s="83"/>
    </row>
    <row r="856" spans="3:8" ht="15.75" customHeight="1">
      <c r="C856" s="83"/>
      <c r="H856" s="83"/>
    </row>
    <row r="857" spans="3:8" ht="15.75" customHeight="1">
      <c r="C857" s="83"/>
      <c r="H857" s="83"/>
    </row>
    <row r="858" spans="3:8" ht="15.75" customHeight="1">
      <c r="C858" s="83"/>
      <c r="H858" s="83"/>
    </row>
    <row r="859" spans="3:8" ht="15.75" customHeight="1">
      <c r="C859" s="83"/>
      <c r="H859" s="83"/>
    </row>
    <row r="860" spans="3:8" ht="15.75" customHeight="1">
      <c r="C860" s="83"/>
      <c r="H860" s="83"/>
    </row>
    <row r="861" spans="3:8" ht="15.75" customHeight="1">
      <c r="C861" s="83"/>
      <c r="H861" s="83"/>
    </row>
    <row r="862" spans="3:8" ht="15.75" customHeight="1">
      <c r="C862" s="83"/>
      <c r="H862" s="83"/>
    </row>
    <row r="863" spans="3:8" ht="15.75" customHeight="1">
      <c r="C863" s="83"/>
      <c r="H863" s="83"/>
    </row>
    <row r="864" spans="3:8" ht="15.75" customHeight="1">
      <c r="C864" s="83"/>
      <c r="H864" s="83"/>
    </row>
    <row r="865" spans="3:8" ht="15.75" customHeight="1">
      <c r="C865" s="83"/>
      <c r="H865" s="83"/>
    </row>
    <row r="866" spans="3:8" ht="15.75" customHeight="1">
      <c r="C866" s="83"/>
      <c r="H866" s="83"/>
    </row>
    <row r="867" spans="3:8" ht="15.75" customHeight="1">
      <c r="C867" s="83"/>
      <c r="H867" s="83"/>
    </row>
    <row r="868" spans="3:8" ht="15.75" customHeight="1">
      <c r="C868" s="83"/>
      <c r="H868" s="83"/>
    </row>
    <row r="869" spans="3:8" ht="15.75" customHeight="1">
      <c r="C869" s="83"/>
      <c r="H869" s="83"/>
    </row>
    <row r="870" spans="3:8" ht="15.75" customHeight="1">
      <c r="C870" s="83"/>
      <c r="H870" s="83"/>
    </row>
    <row r="871" spans="3:8" ht="15.75" customHeight="1">
      <c r="C871" s="83"/>
      <c r="H871" s="83"/>
    </row>
    <row r="872" spans="3:8" ht="15.75" customHeight="1">
      <c r="C872" s="83"/>
      <c r="H872" s="83"/>
    </row>
    <row r="873" spans="3:8" ht="15.75" customHeight="1">
      <c r="C873" s="83"/>
      <c r="H873" s="83"/>
    </row>
    <row r="874" spans="3:8" ht="15.75" customHeight="1">
      <c r="C874" s="83"/>
      <c r="H874" s="83"/>
    </row>
    <row r="875" spans="3:8" ht="15.75" customHeight="1">
      <c r="C875" s="83"/>
      <c r="H875" s="83"/>
    </row>
    <row r="876" spans="3:8" ht="15.75" customHeight="1">
      <c r="C876" s="83"/>
      <c r="H876" s="83"/>
    </row>
    <row r="877" spans="3:8" ht="15.75" customHeight="1">
      <c r="C877" s="83"/>
      <c r="H877" s="83"/>
    </row>
    <row r="878" spans="3:8" ht="15.75" customHeight="1">
      <c r="C878" s="83"/>
      <c r="H878" s="83"/>
    </row>
    <row r="879" spans="3:8" ht="15.75" customHeight="1">
      <c r="C879" s="83"/>
      <c r="H879" s="83"/>
    </row>
    <row r="880" spans="3:8" ht="15.75" customHeight="1">
      <c r="C880" s="83"/>
      <c r="H880" s="83"/>
    </row>
    <row r="881" spans="3:8" ht="15.75" customHeight="1">
      <c r="C881" s="83"/>
      <c r="H881" s="83"/>
    </row>
    <row r="882" spans="3:8" ht="15.75" customHeight="1">
      <c r="C882" s="83"/>
      <c r="H882" s="83"/>
    </row>
    <row r="883" spans="3:8" ht="15.75" customHeight="1">
      <c r="C883" s="83"/>
      <c r="H883" s="83"/>
    </row>
    <row r="884" spans="3:8" ht="15.75" customHeight="1">
      <c r="C884" s="83"/>
      <c r="H884" s="83"/>
    </row>
    <row r="885" spans="3:8" ht="15.75" customHeight="1">
      <c r="C885" s="83"/>
      <c r="H885" s="83"/>
    </row>
    <row r="886" spans="3:8" ht="15.75" customHeight="1">
      <c r="C886" s="83"/>
      <c r="H886" s="83"/>
    </row>
    <row r="887" spans="3:8" ht="15.75" customHeight="1">
      <c r="C887" s="83"/>
      <c r="H887" s="83"/>
    </row>
    <row r="888" spans="3:8" ht="15.75" customHeight="1">
      <c r="C888" s="83"/>
      <c r="H888" s="83"/>
    </row>
    <row r="889" spans="3:8" ht="15.75" customHeight="1">
      <c r="C889" s="83"/>
      <c r="H889" s="83"/>
    </row>
    <row r="890" spans="3:8" ht="15.75" customHeight="1">
      <c r="C890" s="83"/>
      <c r="H890" s="83"/>
    </row>
    <row r="891" spans="3:8" ht="15.75" customHeight="1">
      <c r="C891" s="83"/>
      <c r="H891" s="83"/>
    </row>
    <row r="892" spans="3:8" ht="15.75" customHeight="1">
      <c r="C892" s="83"/>
      <c r="H892" s="83"/>
    </row>
    <row r="893" spans="3:8" ht="15.75" customHeight="1">
      <c r="C893" s="83"/>
      <c r="H893" s="83"/>
    </row>
    <row r="894" spans="3:8" ht="15.75" customHeight="1">
      <c r="C894" s="83"/>
      <c r="H894" s="83"/>
    </row>
    <row r="895" spans="3:8" ht="15.75" customHeight="1">
      <c r="C895" s="83"/>
      <c r="H895" s="83"/>
    </row>
    <row r="896" spans="3:8" ht="15.75" customHeight="1">
      <c r="C896" s="83"/>
      <c r="H896" s="83"/>
    </row>
    <row r="897" spans="3:8" ht="15.75" customHeight="1">
      <c r="C897" s="83"/>
      <c r="H897" s="83"/>
    </row>
    <row r="898" spans="3:8" ht="15.75" customHeight="1">
      <c r="C898" s="83"/>
      <c r="H898" s="83"/>
    </row>
    <row r="899" spans="3:8" ht="15.75" customHeight="1">
      <c r="C899" s="83"/>
      <c r="H899" s="83"/>
    </row>
    <row r="900" spans="3:8" ht="15.75" customHeight="1">
      <c r="C900" s="83"/>
      <c r="H900" s="83"/>
    </row>
    <row r="901" spans="3:8" ht="15.75" customHeight="1">
      <c r="C901" s="83"/>
      <c r="H901" s="83"/>
    </row>
    <row r="902" spans="3:8" ht="15.75" customHeight="1">
      <c r="C902" s="83"/>
      <c r="H902" s="83"/>
    </row>
    <row r="903" spans="3:8" ht="15.75" customHeight="1">
      <c r="C903" s="83"/>
      <c r="H903" s="83"/>
    </row>
    <row r="904" spans="3:8" ht="15.75" customHeight="1">
      <c r="C904" s="83"/>
      <c r="H904" s="83"/>
    </row>
    <row r="905" spans="3:8" ht="15.75" customHeight="1">
      <c r="C905" s="83"/>
      <c r="H905" s="83"/>
    </row>
    <row r="906" spans="3:8" ht="15.75" customHeight="1">
      <c r="C906" s="83"/>
      <c r="H906" s="83"/>
    </row>
    <row r="907" spans="3:8" ht="15.75" customHeight="1">
      <c r="C907" s="83"/>
      <c r="H907" s="83"/>
    </row>
    <row r="908" spans="3:8" ht="15.75" customHeight="1">
      <c r="C908" s="83"/>
      <c r="H908" s="83"/>
    </row>
    <row r="909" spans="3:8" ht="15.75" customHeight="1">
      <c r="C909" s="83"/>
      <c r="H909" s="83"/>
    </row>
    <row r="910" spans="3:8" ht="15.75" customHeight="1">
      <c r="C910" s="83"/>
      <c r="H910" s="83"/>
    </row>
    <row r="911" spans="3:8" ht="15.75" customHeight="1">
      <c r="C911" s="83"/>
      <c r="H911" s="83"/>
    </row>
    <row r="912" spans="3:8" ht="15.75" customHeight="1">
      <c r="C912" s="83"/>
      <c r="H912" s="83"/>
    </row>
    <row r="913" spans="3:8" ht="15.75" customHeight="1">
      <c r="C913" s="83"/>
      <c r="H913" s="83"/>
    </row>
    <row r="914" spans="3:8" ht="15.75" customHeight="1">
      <c r="C914" s="83"/>
      <c r="H914" s="83"/>
    </row>
    <row r="915" spans="3:8" ht="15.75" customHeight="1">
      <c r="C915" s="83"/>
      <c r="H915" s="83"/>
    </row>
    <row r="916" spans="3:8" ht="15.75" customHeight="1">
      <c r="C916" s="83"/>
      <c r="H916" s="83"/>
    </row>
    <row r="917" spans="3:8" ht="15.75" customHeight="1">
      <c r="C917" s="83"/>
      <c r="H917" s="83"/>
    </row>
    <row r="918" spans="3:8" ht="15.75" customHeight="1">
      <c r="C918" s="83"/>
      <c r="H918" s="83"/>
    </row>
    <row r="919" spans="3:8" ht="15.75" customHeight="1">
      <c r="C919" s="83"/>
      <c r="H919" s="83"/>
    </row>
    <row r="920" spans="3:8" ht="15.75" customHeight="1">
      <c r="C920" s="83"/>
      <c r="H920" s="83"/>
    </row>
    <row r="921" spans="3:8" ht="15.75" customHeight="1">
      <c r="C921" s="83"/>
      <c r="H921" s="83"/>
    </row>
    <row r="922" spans="3:8" ht="15.75" customHeight="1">
      <c r="C922" s="83"/>
      <c r="H922" s="83"/>
    </row>
    <row r="923" spans="3:8" ht="15.75" customHeight="1">
      <c r="C923" s="83"/>
      <c r="H923" s="83"/>
    </row>
    <row r="924" spans="3:8" ht="15.75" customHeight="1">
      <c r="C924" s="83"/>
      <c r="H924" s="83"/>
    </row>
    <row r="925" spans="3:8" ht="15.75" customHeight="1">
      <c r="C925" s="83"/>
      <c r="H925" s="83"/>
    </row>
    <row r="926" spans="3:8" ht="15.75" customHeight="1">
      <c r="C926" s="83"/>
      <c r="H926" s="83"/>
    </row>
    <row r="927" spans="3:8" ht="15.75" customHeight="1">
      <c r="C927" s="83"/>
      <c r="H927" s="83"/>
    </row>
    <row r="928" spans="3:8" ht="15.75" customHeight="1">
      <c r="C928" s="83"/>
      <c r="H928" s="83"/>
    </row>
    <row r="929" spans="3:8" ht="15.75" customHeight="1">
      <c r="C929" s="83"/>
      <c r="H929" s="83"/>
    </row>
    <row r="930" spans="3:8" ht="15.75" customHeight="1">
      <c r="C930" s="83"/>
      <c r="H930" s="83"/>
    </row>
    <row r="931" spans="3:8" ht="15.75" customHeight="1">
      <c r="C931" s="83"/>
      <c r="H931" s="83"/>
    </row>
    <row r="932" spans="3:8" ht="15.75" customHeight="1">
      <c r="C932" s="83"/>
      <c r="H932" s="83"/>
    </row>
    <row r="933" spans="3:8" ht="15.75" customHeight="1">
      <c r="C933" s="83"/>
      <c r="H933" s="83"/>
    </row>
    <row r="934" spans="3:8" ht="15.75" customHeight="1">
      <c r="C934" s="83"/>
      <c r="H934" s="83"/>
    </row>
    <row r="935" spans="3:8" ht="15.75" customHeight="1">
      <c r="C935" s="83"/>
      <c r="H935" s="83"/>
    </row>
    <row r="936" spans="3:8" ht="15.75" customHeight="1">
      <c r="C936" s="83"/>
      <c r="H936" s="83"/>
    </row>
    <row r="937" spans="3:8" ht="15.75" customHeight="1">
      <c r="C937" s="83"/>
      <c r="H937" s="83"/>
    </row>
    <row r="938" spans="3:8" ht="15.75" customHeight="1">
      <c r="C938" s="83"/>
      <c r="H938" s="83"/>
    </row>
    <row r="939" spans="3:8" ht="15.75" customHeight="1">
      <c r="C939" s="83"/>
      <c r="H939" s="83"/>
    </row>
    <row r="940" spans="3:8" ht="15.75" customHeight="1">
      <c r="C940" s="83"/>
      <c r="H940" s="83"/>
    </row>
    <row r="941" spans="3:8" ht="15.75" customHeight="1">
      <c r="C941" s="83"/>
      <c r="H941" s="83"/>
    </row>
    <row r="942" spans="3:8" ht="15.75" customHeight="1">
      <c r="C942" s="83"/>
      <c r="H942" s="83"/>
    </row>
    <row r="943" spans="3:8" ht="15.75" customHeight="1">
      <c r="C943" s="83"/>
      <c r="H943" s="83"/>
    </row>
    <row r="944" spans="3:8" ht="15.75" customHeight="1">
      <c r="C944" s="83"/>
      <c r="H944" s="83"/>
    </row>
    <row r="945" spans="3:8" ht="15.75" customHeight="1">
      <c r="C945" s="83"/>
      <c r="H945" s="83"/>
    </row>
    <row r="946" spans="3:8" ht="15.75" customHeight="1">
      <c r="C946" s="83"/>
      <c r="H946" s="83"/>
    </row>
    <row r="947" spans="3:8" ht="15.75" customHeight="1">
      <c r="C947" s="83"/>
      <c r="H947" s="83"/>
    </row>
    <row r="948" spans="3:8" ht="15.75" customHeight="1">
      <c r="C948" s="83"/>
      <c r="H948" s="83"/>
    </row>
    <row r="949" spans="3:8" ht="15.75" customHeight="1">
      <c r="C949" s="83"/>
      <c r="H949" s="83"/>
    </row>
    <row r="950" spans="3:8" ht="15.75" customHeight="1">
      <c r="C950" s="83"/>
      <c r="H950" s="83"/>
    </row>
    <row r="951" spans="3:8" ht="15.75" customHeight="1">
      <c r="C951" s="83"/>
      <c r="H951" s="83"/>
    </row>
    <row r="952" spans="3:8" ht="15.75" customHeight="1">
      <c r="C952" s="83"/>
      <c r="H952" s="83"/>
    </row>
    <row r="953" spans="3:8" ht="15.75" customHeight="1">
      <c r="C953" s="83"/>
      <c r="H953" s="83"/>
    </row>
    <row r="954" spans="3:8" ht="15.75" customHeight="1">
      <c r="C954" s="83"/>
      <c r="H954" s="83"/>
    </row>
    <row r="955" spans="3:8" ht="15.75" customHeight="1">
      <c r="C955" s="83"/>
      <c r="H955" s="83"/>
    </row>
    <row r="956" spans="3:8" ht="15.75" customHeight="1">
      <c r="C956" s="83"/>
      <c r="H956" s="83"/>
    </row>
    <row r="957" spans="3:8" ht="15.75" customHeight="1">
      <c r="C957" s="83"/>
      <c r="H957" s="83"/>
    </row>
    <row r="958" spans="3:8" ht="15.75" customHeight="1">
      <c r="C958" s="83"/>
      <c r="H958" s="83"/>
    </row>
    <row r="959" spans="3:8" ht="15.75" customHeight="1">
      <c r="C959" s="83"/>
      <c r="H959" s="83"/>
    </row>
    <row r="960" spans="3:8" ht="15.75" customHeight="1">
      <c r="C960" s="83"/>
      <c r="H960" s="83"/>
    </row>
    <row r="961" spans="3:8" ht="15.75" customHeight="1">
      <c r="C961" s="83"/>
      <c r="H961" s="83"/>
    </row>
    <row r="962" spans="3:8" ht="15.75" customHeight="1">
      <c r="C962" s="83"/>
      <c r="H962" s="83"/>
    </row>
    <row r="963" spans="3:8" ht="15.75" customHeight="1">
      <c r="C963" s="83"/>
      <c r="H963" s="83"/>
    </row>
    <row r="964" spans="3:8" ht="15.75" customHeight="1">
      <c r="C964" s="83"/>
      <c r="H964" s="83"/>
    </row>
    <row r="965" spans="3:8" ht="15.75" customHeight="1">
      <c r="C965" s="83"/>
      <c r="H965" s="83"/>
    </row>
    <row r="966" spans="3:8" ht="15.75" customHeight="1">
      <c r="C966" s="83"/>
      <c r="H966" s="83"/>
    </row>
    <row r="967" spans="3:8" ht="15.75" customHeight="1">
      <c r="C967" s="83"/>
      <c r="H967" s="83"/>
    </row>
    <row r="968" spans="3:8" ht="15.75" customHeight="1">
      <c r="C968" s="83"/>
      <c r="H968" s="83"/>
    </row>
    <row r="969" spans="3:8" ht="15.75" customHeight="1">
      <c r="C969" s="83"/>
      <c r="H969" s="83"/>
    </row>
    <row r="970" spans="3:8" ht="15.75" customHeight="1">
      <c r="C970" s="83"/>
      <c r="H970" s="83"/>
    </row>
    <row r="971" spans="3:8" ht="15.75" customHeight="1">
      <c r="C971" s="83"/>
      <c r="H971" s="83"/>
    </row>
    <row r="972" spans="3:8" ht="15.75" customHeight="1">
      <c r="C972" s="83"/>
      <c r="H972" s="83"/>
    </row>
    <row r="973" spans="3:8" ht="15.75" customHeight="1">
      <c r="C973" s="83"/>
      <c r="H973" s="83"/>
    </row>
    <row r="974" spans="3:8" ht="15.75" customHeight="1">
      <c r="C974" s="83"/>
      <c r="H974" s="83"/>
    </row>
    <row r="975" spans="3:8" ht="15.75" customHeight="1">
      <c r="C975" s="83"/>
      <c r="H975" s="83"/>
    </row>
    <row r="976" spans="3:8" ht="15.75" customHeight="1">
      <c r="C976" s="83"/>
      <c r="H976" s="83"/>
    </row>
    <row r="977" spans="3:8" ht="15.75" customHeight="1">
      <c r="C977" s="83"/>
      <c r="H977" s="83"/>
    </row>
    <row r="978" spans="3:8" ht="15.75" customHeight="1">
      <c r="C978" s="83"/>
      <c r="H978" s="83"/>
    </row>
    <row r="979" spans="3:8" ht="15.75" customHeight="1">
      <c r="C979" s="83"/>
      <c r="H979" s="83"/>
    </row>
    <row r="980" spans="3:8" ht="15.75" customHeight="1">
      <c r="C980" s="83"/>
      <c r="H980" s="83"/>
    </row>
    <row r="981" spans="3:8" ht="15.75" customHeight="1">
      <c r="C981" s="83"/>
      <c r="H981" s="83"/>
    </row>
    <row r="982" spans="3:8" ht="15.75" customHeight="1">
      <c r="C982" s="83"/>
      <c r="H982" s="83"/>
    </row>
    <row r="983" spans="3:8" ht="15.75" customHeight="1">
      <c r="C983" s="83"/>
      <c r="H983" s="83"/>
    </row>
    <row r="984" spans="3:8" ht="15.75" customHeight="1">
      <c r="C984" s="83"/>
      <c r="H984" s="83"/>
    </row>
    <row r="985" spans="3:8" ht="15.75" customHeight="1">
      <c r="C985" s="83"/>
      <c r="H985" s="83"/>
    </row>
    <row r="986" spans="3:8" ht="15.75" customHeight="1">
      <c r="C986" s="83"/>
      <c r="H986" s="83"/>
    </row>
    <row r="987" spans="3:8" ht="15.75" customHeight="1">
      <c r="C987" s="83"/>
      <c r="H987" s="83"/>
    </row>
    <row r="988" spans="3:8" ht="15.75" customHeight="1">
      <c r="C988" s="83"/>
      <c r="H988" s="83"/>
    </row>
    <row r="989" spans="3:8" ht="15.75" customHeight="1">
      <c r="C989" s="83"/>
      <c r="H989" s="83"/>
    </row>
    <row r="990" spans="3:8" ht="15.75" customHeight="1">
      <c r="C990" s="83"/>
      <c r="H990" s="83"/>
    </row>
    <row r="991" spans="3:8" ht="15.75" customHeight="1">
      <c r="C991" s="83"/>
      <c r="H991" s="83"/>
    </row>
    <row r="992" spans="3:8" ht="15.75" customHeight="1">
      <c r="C992" s="83"/>
      <c r="H992" s="83"/>
    </row>
    <row r="993" spans="3:8" ht="15.75" customHeight="1">
      <c r="C993" s="83"/>
      <c r="H993" s="83"/>
    </row>
    <row r="994" spans="3:8" ht="15.75" customHeight="1">
      <c r="C994" s="83"/>
      <c r="H994" s="83"/>
    </row>
    <row r="995" spans="3:8" ht="15.75" customHeight="1">
      <c r="C995" s="83"/>
      <c r="H995" s="83"/>
    </row>
    <row r="996" spans="3:8" ht="15.75" customHeight="1">
      <c r="C996" s="83"/>
      <c r="H996" s="83"/>
    </row>
    <row r="997" spans="3:8" ht="15.75" customHeight="1">
      <c r="C997" s="83"/>
      <c r="H997" s="83"/>
    </row>
    <row r="998" spans="3:8" ht="15.75" customHeight="1">
      <c r="C998" s="83"/>
      <c r="H998" s="83"/>
    </row>
    <row r="999" spans="3:8" ht="15.75" customHeight="1">
      <c r="C999" s="83"/>
      <c r="H999" s="83"/>
    </row>
    <row r="1000" spans="3:8" ht="15.75" customHeight="1">
      <c r="C1000" s="83"/>
      <c r="H1000" s="83"/>
    </row>
  </sheetData>
  <autoFilter ref="A1:Z96" xr:uid="{00000000-0009-0000-0000-000005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F52"/>
  <sheetViews>
    <sheetView topLeftCell="A28" workbookViewId="0">
      <selection activeCell="C53" sqref="C53"/>
    </sheetView>
  </sheetViews>
  <sheetFormatPr defaultColWidth="14.44140625" defaultRowHeight="15.75" customHeight="1"/>
  <cols>
    <col min="1" max="1" width="22.33203125" customWidth="1"/>
    <col min="2" max="2" width="59.44140625" customWidth="1"/>
    <col min="3" max="3" width="26.5546875" customWidth="1"/>
  </cols>
  <sheetData>
    <row r="1" spans="1:6" ht="15.75" customHeight="1">
      <c r="A1" s="84"/>
      <c r="B1" s="85" t="s">
        <v>1325</v>
      </c>
      <c r="C1" s="85"/>
      <c r="D1" s="85"/>
      <c r="E1" s="85"/>
      <c r="F1" s="86"/>
    </row>
    <row r="2" spans="1:6" ht="52.8">
      <c r="A2" s="87" t="s">
        <v>53</v>
      </c>
      <c r="B2" s="88" t="s">
        <v>68</v>
      </c>
      <c r="C2" s="88" t="s">
        <v>69</v>
      </c>
      <c r="D2" s="88" t="s">
        <v>60</v>
      </c>
      <c r="E2" s="88" t="s">
        <v>70</v>
      </c>
      <c r="F2" s="53" t="s">
        <v>1221</v>
      </c>
    </row>
    <row r="3" spans="1:6" ht="15.75" customHeight="1">
      <c r="A3" s="89" t="s">
        <v>73</v>
      </c>
      <c r="B3" s="90" t="s">
        <v>91</v>
      </c>
      <c r="C3" s="90" t="s">
        <v>92</v>
      </c>
      <c r="D3" s="91" t="s">
        <v>98</v>
      </c>
      <c r="E3" s="90" t="s">
        <v>89</v>
      </c>
      <c r="F3" s="92">
        <f>MATCH(C3,'Master_crosswalk '!BA:BA,0)</f>
        <v>49</v>
      </c>
    </row>
    <row r="4" spans="1:6" ht="15.75" customHeight="1">
      <c r="A4" s="93" t="s">
        <v>73</v>
      </c>
      <c r="B4" s="94" t="s">
        <v>74</v>
      </c>
      <c r="C4" s="94" t="s">
        <v>86</v>
      </c>
      <c r="D4" s="95" t="s">
        <v>88</v>
      </c>
      <c r="E4" s="90" t="s">
        <v>89</v>
      </c>
      <c r="F4" s="156">
        <f>MATCH(C4,'Master_crosswalk '!BA:BA,0)</f>
        <v>27</v>
      </c>
    </row>
    <row r="5" spans="1:6" ht="15.75" customHeight="1">
      <c r="A5" s="89" t="s">
        <v>73</v>
      </c>
      <c r="B5" s="90" t="s">
        <v>194</v>
      </c>
      <c r="C5" s="90" t="s">
        <v>197</v>
      </c>
      <c r="D5" s="91" t="s">
        <v>80</v>
      </c>
      <c r="E5" s="90" t="s">
        <v>80</v>
      </c>
      <c r="F5" s="156">
        <f>MATCH(C5,'Master_crosswalk '!BA:BA,0)</f>
        <v>31</v>
      </c>
    </row>
    <row r="6" spans="1:6" ht="15.75" customHeight="1">
      <c r="A6" s="89" t="s">
        <v>73</v>
      </c>
      <c r="B6" s="90" t="s">
        <v>105</v>
      </c>
      <c r="C6" s="90" t="s">
        <v>106</v>
      </c>
      <c r="D6" s="91" t="s">
        <v>80</v>
      </c>
      <c r="E6" s="90" t="s">
        <v>89</v>
      </c>
      <c r="F6" s="156">
        <f>MATCH(C6,'Master_crosswalk '!BA:BA,0)</f>
        <v>50</v>
      </c>
    </row>
    <row r="7" spans="1:6" ht="15.75" customHeight="1">
      <c r="A7" s="449" t="s">
        <v>73</v>
      </c>
      <c r="B7" s="450" t="s">
        <v>116</v>
      </c>
      <c r="C7" s="450" t="s">
        <v>117</v>
      </c>
      <c r="D7" s="91" t="s">
        <v>1328</v>
      </c>
      <c r="E7" s="448" t="s">
        <v>119</v>
      </c>
      <c r="F7" s="156">
        <f>MATCH(C7,'Master_crosswalk '!BA:BA,0)</f>
        <v>11</v>
      </c>
    </row>
    <row r="8" spans="1:6" ht="15.75" customHeight="1">
      <c r="A8" s="446"/>
      <c r="B8" s="446"/>
      <c r="C8" s="446"/>
      <c r="D8" s="91" t="s">
        <v>1329</v>
      </c>
      <c r="E8" s="446"/>
      <c r="F8" s="156" t="e">
        <f>MATCH(C8,'Master_crosswalk '!BA:BA,0)</f>
        <v>#N/A</v>
      </c>
    </row>
    <row r="9" spans="1:6" ht="15.75" customHeight="1">
      <c r="A9" s="446"/>
      <c r="B9" s="446"/>
      <c r="C9" s="446"/>
      <c r="D9" s="91" t="s">
        <v>1330</v>
      </c>
      <c r="E9" s="446"/>
      <c r="F9" s="156" t="e">
        <f>MATCH(C9,'Master_crosswalk '!BA:BA,0)</f>
        <v>#N/A</v>
      </c>
    </row>
    <row r="10" spans="1:6" ht="15.75" customHeight="1">
      <c r="A10" s="447"/>
      <c r="B10" s="447"/>
      <c r="C10" s="447"/>
      <c r="D10" s="91" t="s">
        <v>1331</v>
      </c>
      <c r="E10" s="447"/>
      <c r="F10" s="156" t="e">
        <f>MATCH(C10,'Master_crosswalk '!BA:BA,0)</f>
        <v>#N/A</v>
      </c>
    </row>
    <row r="11" spans="1:6" ht="15.75" customHeight="1">
      <c r="A11" s="449" t="s">
        <v>73</v>
      </c>
      <c r="B11" s="450" t="s">
        <v>121</v>
      </c>
      <c r="C11" s="450" t="s">
        <v>122</v>
      </c>
      <c r="D11" s="91" t="s">
        <v>1333</v>
      </c>
      <c r="E11" s="448" t="s">
        <v>124</v>
      </c>
      <c r="F11" s="156">
        <f>MATCH(C11,'Master_crosswalk '!BA:BA,0)</f>
        <v>12</v>
      </c>
    </row>
    <row r="12" spans="1:6" ht="15.75" customHeight="1">
      <c r="A12" s="446"/>
      <c r="B12" s="446"/>
      <c r="C12" s="446"/>
      <c r="D12" s="91" t="s">
        <v>1334</v>
      </c>
      <c r="E12" s="446"/>
      <c r="F12" s="156" t="e">
        <f>MATCH(C12,'Master_crosswalk '!BA:BA,0)</f>
        <v>#N/A</v>
      </c>
    </row>
    <row r="13" spans="1:6" ht="15.75" customHeight="1">
      <c r="A13" s="446"/>
      <c r="B13" s="446"/>
      <c r="C13" s="446"/>
      <c r="D13" s="91" t="s">
        <v>1336</v>
      </c>
      <c r="E13" s="446"/>
      <c r="F13" s="156" t="e">
        <f>MATCH(C13,'Master_crosswalk '!BA:BA,0)</f>
        <v>#N/A</v>
      </c>
    </row>
    <row r="14" spans="1:6" ht="15.75" customHeight="1">
      <c r="A14" s="446"/>
      <c r="B14" s="446"/>
      <c r="C14" s="446"/>
      <c r="D14" s="91" t="s">
        <v>1337</v>
      </c>
      <c r="E14" s="446"/>
      <c r="F14" s="156" t="e">
        <f>MATCH(C14,'Master_crosswalk '!BA:BA,0)</f>
        <v>#N/A</v>
      </c>
    </row>
    <row r="15" spans="1:6" ht="15.75" customHeight="1">
      <c r="A15" s="446"/>
      <c r="B15" s="446"/>
      <c r="C15" s="446"/>
      <c r="D15" s="91" t="s">
        <v>1339</v>
      </c>
      <c r="E15" s="447"/>
      <c r="F15" s="156" t="e">
        <f>MATCH(C15,'Master_crosswalk '!BA:BA,0)</f>
        <v>#N/A</v>
      </c>
    </row>
    <row r="16" spans="1:6" ht="15.75" customHeight="1">
      <c r="A16" s="89" t="s">
        <v>73</v>
      </c>
      <c r="B16" s="90" t="s">
        <v>125</v>
      </c>
      <c r="C16" s="90" t="s">
        <v>126</v>
      </c>
      <c r="D16" s="91" t="s">
        <v>127</v>
      </c>
      <c r="E16" s="90" t="s">
        <v>89</v>
      </c>
      <c r="F16" s="156">
        <f>MATCH(C16,'Master_crosswalk '!BA:BA,0)</f>
        <v>13</v>
      </c>
    </row>
    <row r="17" spans="1:6" ht="15.75" customHeight="1">
      <c r="A17" s="98" t="s">
        <v>174</v>
      </c>
      <c r="B17" s="90" t="s">
        <v>236</v>
      </c>
      <c r="C17" s="90" t="s">
        <v>237</v>
      </c>
      <c r="D17" s="91" t="s">
        <v>238</v>
      </c>
      <c r="E17" s="90" t="s">
        <v>89</v>
      </c>
      <c r="F17" s="156">
        <f>MATCH(C17,'Master_crosswalk '!BA:BA,0)</f>
        <v>64</v>
      </c>
    </row>
    <row r="18" spans="1:6" ht="15.75" customHeight="1">
      <c r="A18" s="98" t="s">
        <v>174</v>
      </c>
      <c r="B18" s="90" t="s">
        <v>142</v>
      </c>
      <c r="C18" s="90" t="s">
        <v>143</v>
      </c>
      <c r="D18" s="91" t="s">
        <v>144</v>
      </c>
      <c r="E18" s="90" t="s">
        <v>80</v>
      </c>
      <c r="F18" s="156">
        <f>MATCH(C18,'Master_crosswalk '!BA:BA,0)</f>
        <v>19</v>
      </c>
    </row>
    <row r="19" spans="1:6" ht="15.75" customHeight="1">
      <c r="A19" s="98" t="s">
        <v>174</v>
      </c>
      <c r="B19" s="90" t="s">
        <v>146</v>
      </c>
      <c r="C19" s="90" t="s">
        <v>146</v>
      </c>
      <c r="D19" s="91" t="s">
        <v>147</v>
      </c>
      <c r="E19" s="90" t="s">
        <v>89</v>
      </c>
      <c r="F19" s="156">
        <f>MATCH(C19,'Master_crosswalk '!BA:BA,0)</f>
        <v>20</v>
      </c>
    </row>
    <row r="20" spans="1:6" ht="15.75" customHeight="1">
      <c r="A20" s="98" t="s">
        <v>174</v>
      </c>
      <c r="B20" s="90" t="s">
        <v>52</v>
      </c>
      <c r="C20" s="90" t="s">
        <v>52</v>
      </c>
      <c r="D20" s="91" t="s">
        <v>149</v>
      </c>
      <c r="E20" s="90" t="s">
        <v>89</v>
      </c>
      <c r="F20" s="156">
        <f>MATCH(C20,'Master_crosswalk '!BA:BA,0)</f>
        <v>21</v>
      </c>
    </row>
    <row r="21" spans="1:6" ht="15.75" customHeight="1">
      <c r="A21" s="98" t="s">
        <v>174</v>
      </c>
      <c r="B21" s="90" t="s">
        <v>198</v>
      </c>
      <c r="C21" s="90" t="s">
        <v>202</v>
      </c>
      <c r="D21" s="91" t="s">
        <v>203</v>
      </c>
      <c r="E21" s="90" t="s">
        <v>80</v>
      </c>
      <c r="F21" s="156">
        <f>MATCH(C21,'Master_crosswalk '!BA:BA,0)</f>
        <v>37</v>
      </c>
    </row>
    <row r="22" spans="1:6" ht="15.75" customHeight="1">
      <c r="A22" s="98" t="s">
        <v>174</v>
      </c>
      <c r="B22" s="90" t="s">
        <v>204</v>
      </c>
      <c r="C22" s="90" t="s">
        <v>208</v>
      </c>
      <c r="D22" s="91" t="s">
        <v>209</v>
      </c>
      <c r="E22" s="90" t="s">
        <v>80</v>
      </c>
      <c r="F22" s="156">
        <f>MATCH(C22,'Master_crosswalk '!BA:BA,0)</f>
        <v>38</v>
      </c>
    </row>
    <row r="23" spans="1:6" ht="15.75" customHeight="1">
      <c r="A23" s="98" t="s">
        <v>174</v>
      </c>
      <c r="B23" s="90" t="s">
        <v>210</v>
      </c>
      <c r="C23" s="90" t="s">
        <v>206</v>
      </c>
      <c r="D23" s="91" t="s">
        <v>214</v>
      </c>
      <c r="E23" s="90" t="s">
        <v>80</v>
      </c>
      <c r="F23" s="156">
        <f>MATCH(C23,'Master_crosswalk '!BA:BA,0)</f>
        <v>39</v>
      </c>
    </row>
    <row r="24" spans="1:6" ht="15.75" customHeight="1">
      <c r="A24" s="98" t="s">
        <v>174</v>
      </c>
      <c r="B24" s="90" t="s">
        <v>200</v>
      </c>
      <c r="C24" s="90" t="s">
        <v>200</v>
      </c>
      <c r="D24" s="91" t="s">
        <v>216</v>
      </c>
      <c r="E24" s="90" t="s">
        <v>80</v>
      </c>
      <c r="F24" s="156">
        <f>MATCH(C24,'Master_crosswalk '!BA:BA,0)</f>
        <v>33</v>
      </c>
    </row>
    <row r="25" spans="1:6" ht="15.75" customHeight="1">
      <c r="A25" s="98" t="s">
        <v>174</v>
      </c>
      <c r="B25" s="90" t="s">
        <v>175</v>
      </c>
      <c r="C25" s="90" t="s">
        <v>184</v>
      </c>
      <c r="D25" s="445" t="s">
        <v>185</v>
      </c>
      <c r="E25" s="448" t="s">
        <v>186</v>
      </c>
      <c r="F25" s="156">
        <f>MATCH(C25,'Master_crosswalk '!BA:BA,0)</f>
        <v>29</v>
      </c>
    </row>
    <row r="26" spans="1:6" ht="15.75" customHeight="1">
      <c r="A26" s="98" t="s">
        <v>174</v>
      </c>
      <c r="B26" s="90" t="s">
        <v>187</v>
      </c>
      <c r="C26" s="90" t="s">
        <v>193</v>
      </c>
      <c r="D26" s="447"/>
      <c r="E26" s="447"/>
      <c r="F26" s="156">
        <f>MATCH(C26,'Master_crosswalk '!BA:BA,0)</f>
        <v>30</v>
      </c>
    </row>
    <row r="27" spans="1:6" ht="15.75" customHeight="1">
      <c r="A27" s="99" t="s">
        <v>1146</v>
      </c>
      <c r="B27" s="90" t="s">
        <v>1147</v>
      </c>
      <c r="C27" s="90" t="s">
        <v>1148</v>
      </c>
      <c r="D27" s="91" t="s">
        <v>1149</v>
      </c>
      <c r="E27" s="90" t="s">
        <v>285</v>
      </c>
      <c r="F27" s="156">
        <f>MATCH(C27,'Master_crosswalk '!BA:BA,0)</f>
        <v>342</v>
      </c>
    </row>
    <row r="28" spans="1:6" ht="15.75" customHeight="1">
      <c r="A28" s="99" t="s">
        <v>1146</v>
      </c>
      <c r="B28" s="90" t="s">
        <v>1150</v>
      </c>
      <c r="C28" s="90" t="s">
        <v>1151</v>
      </c>
      <c r="D28" s="91" t="s">
        <v>1152</v>
      </c>
      <c r="E28" s="90" t="s">
        <v>1153</v>
      </c>
      <c r="F28" s="156">
        <f>MATCH(C28,'Master_crosswalk '!BA:BA,0)</f>
        <v>343</v>
      </c>
    </row>
    <row r="29" spans="1:6" ht="15.75" customHeight="1">
      <c r="A29" s="100" t="s">
        <v>235</v>
      </c>
      <c r="B29" s="90" t="s">
        <v>243</v>
      </c>
      <c r="C29" s="90" t="s">
        <v>244</v>
      </c>
      <c r="D29" s="91" t="s">
        <v>245</v>
      </c>
      <c r="E29" s="90" t="s">
        <v>246</v>
      </c>
      <c r="F29" s="156">
        <f>MATCH(C29,'Master_crosswalk '!BA:BA,0)</f>
        <v>58</v>
      </c>
    </row>
    <row r="30" spans="1:6" ht="15.75" customHeight="1">
      <c r="A30" s="100" t="s">
        <v>235</v>
      </c>
      <c r="B30" s="90" t="s">
        <v>247</v>
      </c>
      <c r="C30" s="90" t="s">
        <v>248</v>
      </c>
      <c r="D30" s="91" t="s">
        <v>249</v>
      </c>
      <c r="E30" s="90" t="s">
        <v>250</v>
      </c>
      <c r="F30" s="156">
        <f>MATCH(C30,'Master_crosswalk '!BA:BA,0)</f>
        <v>59</v>
      </c>
    </row>
    <row r="31" spans="1:6" ht="15.75" customHeight="1">
      <c r="A31" s="100" t="s">
        <v>235</v>
      </c>
      <c r="B31" s="90" t="s">
        <v>251</v>
      </c>
      <c r="C31" s="90" t="s">
        <v>252</v>
      </c>
      <c r="D31" s="91" t="s">
        <v>253</v>
      </c>
      <c r="E31" s="90" t="s">
        <v>250</v>
      </c>
      <c r="F31" s="156">
        <f>MATCH(C31,'Master_crosswalk '!BA:BA,0)</f>
        <v>60</v>
      </c>
    </row>
    <row r="32" spans="1:6" ht="15.75" customHeight="1">
      <c r="A32" s="102" t="s">
        <v>820</v>
      </c>
      <c r="B32" s="94" t="s">
        <v>821</v>
      </c>
      <c r="C32" s="94" t="s">
        <v>822</v>
      </c>
      <c r="D32" s="95" t="s">
        <v>823</v>
      </c>
      <c r="E32" s="103" t="s">
        <v>824</v>
      </c>
      <c r="F32" s="156">
        <f>MATCH(C32,'Master_crosswalk '!BA:BA,0)</f>
        <v>230</v>
      </c>
    </row>
    <row r="33" spans="1:6" ht="15.75" customHeight="1">
      <c r="A33" s="104" t="s">
        <v>815</v>
      </c>
      <c r="B33" s="94" t="s">
        <v>825</v>
      </c>
      <c r="C33" s="94" t="s">
        <v>826</v>
      </c>
      <c r="D33" s="95" t="s">
        <v>827</v>
      </c>
      <c r="E33" s="103" t="s">
        <v>828</v>
      </c>
      <c r="F33" s="156">
        <f>MATCH(C33,'Master_crosswalk '!BA:BA,0)</f>
        <v>220</v>
      </c>
    </row>
    <row r="34" spans="1:6" ht="13.2">
      <c r="A34" s="105" t="s">
        <v>262</v>
      </c>
      <c r="B34" s="90" t="s">
        <v>263</v>
      </c>
      <c r="C34" s="90" t="s">
        <v>272</v>
      </c>
      <c r="D34" s="91" t="s">
        <v>273</v>
      </c>
      <c r="E34" s="90" t="s">
        <v>250</v>
      </c>
      <c r="F34" s="156">
        <f>MATCH(C34,'Master_crosswalk '!BA:BA,0)</f>
        <v>65</v>
      </c>
    </row>
    <row r="35" spans="1:6" ht="13.2">
      <c r="A35" s="105" t="s">
        <v>262</v>
      </c>
      <c r="B35" s="90" t="s">
        <v>286</v>
      </c>
      <c r="C35" s="90" t="s">
        <v>287</v>
      </c>
      <c r="D35" s="91" t="s">
        <v>294</v>
      </c>
      <c r="E35" s="90" t="s">
        <v>250</v>
      </c>
      <c r="F35" s="156">
        <f>MATCH(C35,'Master_crosswalk '!BA:BA,0)</f>
        <v>67</v>
      </c>
    </row>
    <row r="36" spans="1:6" ht="13.2">
      <c r="A36" s="105" t="s">
        <v>262</v>
      </c>
      <c r="B36" s="90" t="s">
        <v>274</v>
      </c>
      <c r="C36" s="184" t="s">
        <v>275</v>
      </c>
      <c r="D36" s="91" t="s">
        <v>284</v>
      </c>
      <c r="E36" s="90" t="s">
        <v>285</v>
      </c>
      <c r="F36" s="156">
        <f>MATCH(C36,'Master_crosswalk '!BA:BA,0)</f>
        <v>66</v>
      </c>
    </row>
    <row r="37" spans="1:6" ht="13.2">
      <c r="A37" s="105" t="s">
        <v>262</v>
      </c>
      <c r="B37" s="90" t="s">
        <v>1346</v>
      </c>
      <c r="C37" s="90" t="s">
        <v>434</v>
      </c>
      <c r="D37" s="91" t="s">
        <v>435</v>
      </c>
      <c r="E37" s="90" t="s">
        <v>303</v>
      </c>
      <c r="F37" s="156">
        <f>MATCH(C37,'Master_crosswalk '!BA:BA,0)</f>
        <v>98</v>
      </c>
    </row>
    <row r="38" spans="1:6" ht="13.2">
      <c r="A38" s="105" t="s">
        <v>262</v>
      </c>
      <c r="B38" s="90" t="s">
        <v>383</v>
      </c>
      <c r="C38" s="184" t="s">
        <v>1562</v>
      </c>
      <c r="D38" s="91" t="s">
        <v>392</v>
      </c>
      <c r="E38" s="90" t="s">
        <v>250</v>
      </c>
      <c r="F38" s="156">
        <f>MATCH(C38,'Master_crosswalk '!BA:BA,0)</f>
        <v>90</v>
      </c>
    </row>
    <row r="39" spans="1:6" ht="13.2">
      <c r="A39" s="105" t="s">
        <v>262</v>
      </c>
      <c r="B39" s="90" t="s">
        <v>414</v>
      </c>
      <c r="C39" s="90" t="s">
        <v>411</v>
      </c>
      <c r="D39" s="91" t="s">
        <v>415</v>
      </c>
      <c r="E39" s="90" t="s">
        <v>416</v>
      </c>
      <c r="F39" s="156">
        <f>MATCH(C39,'Master_crosswalk '!BA:BA,0)</f>
        <v>94</v>
      </c>
    </row>
    <row r="40" spans="1:6" ht="13.2">
      <c r="A40" s="105" t="s">
        <v>262</v>
      </c>
      <c r="B40" s="90" t="s">
        <v>401</v>
      </c>
      <c r="C40" s="90" t="s">
        <v>408</v>
      </c>
      <c r="D40" s="91" t="s">
        <v>409</v>
      </c>
      <c r="E40" s="90" t="s">
        <v>285</v>
      </c>
      <c r="F40" s="156">
        <f>MATCH(C40,'Master_crosswalk '!BA:BA,0)</f>
        <v>93</v>
      </c>
    </row>
    <row r="41" spans="1:6" ht="13.2">
      <c r="A41" s="105" t="s">
        <v>262</v>
      </c>
      <c r="B41" s="90" t="s">
        <v>295</v>
      </c>
      <c r="C41" s="90" t="s">
        <v>301</v>
      </c>
      <c r="D41" s="91" t="s">
        <v>302</v>
      </c>
      <c r="E41" s="90" t="s">
        <v>303</v>
      </c>
      <c r="F41" s="156">
        <f>MATCH(C41,'Master_crosswalk '!BA:BA,0)</f>
        <v>68</v>
      </c>
    </row>
    <row r="42" spans="1:6" ht="13.2">
      <c r="A42" s="105" t="s">
        <v>262</v>
      </c>
      <c r="B42" s="90" t="s">
        <v>318</v>
      </c>
      <c r="C42" s="90" t="s">
        <v>322</v>
      </c>
      <c r="D42" s="91" t="s">
        <v>323</v>
      </c>
      <c r="E42" s="90" t="s">
        <v>303</v>
      </c>
      <c r="F42" s="156">
        <f>MATCH(C42,'Master_crosswalk '!BA:BA,0)</f>
        <v>71</v>
      </c>
    </row>
    <row r="43" spans="1:6" ht="13.2">
      <c r="A43" s="106" t="s">
        <v>568</v>
      </c>
      <c r="B43" s="90" t="s">
        <v>595</v>
      </c>
      <c r="C43" s="90" t="s">
        <v>596</v>
      </c>
      <c r="D43" s="445" t="s">
        <v>573</v>
      </c>
      <c r="E43" s="448" t="s">
        <v>250</v>
      </c>
      <c r="F43" s="156">
        <f>MATCH(C43,'Master_crosswalk '!BA:BA,0)</f>
        <v>144</v>
      </c>
    </row>
    <row r="44" spans="1:6" ht="13.2">
      <c r="A44" s="106" t="s">
        <v>568</v>
      </c>
      <c r="B44" s="90" t="s">
        <v>569</v>
      </c>
      <c r="C44" s="90" t="s">
        <v>570</v>
      </c>
      <c r="D44" s="446"/>
      <c r="E44" s="446"/>
      <c r="F44" s="156">
        <f>MATCH(C44,'Master_crosswalk '!BA:BA,0)</f>
        <v>139</v>
      </c>
    </row>
    <row r="45" spans="1:6" ht="13.2">
      <c r="A45" s="106" t="s">
        <v>568</v>
      </c>
      <c r="B45" s="90" t="s">
        <v>598</v>
      </c>
      <c r="C45" s="90" t="s">
        <v>599</v>
      </c>
      <c r="D45" s="447"/>
      <c r="E45" s="447"/>
      <c r="F45" s="156">
        <f>MATCH(C45,'Master_crosswalk '!BA:BA,0)</f>
        <v>145</v>
      </c>
    </row>
    <row r="46" spans="1:6" ht="13.2">
      <c r="A46" s="106" t="s">
        <v>568</v>
      </c>
      <c r="B46" s="90" t="s">
        <v>574</v>
      </c>
      <c r="C46" s="184" t="s">
        <v>1571</v>
      </c>
      <c r="D46" s="445" t="s">
        <v>579</v>
      </c>
      <c r="E46" s="448" t="s">
        <v>285</v>
      </c>
      <c r="F46" s="156">
        <f>MATCH(C46,'Master_crosswalk '!BA:BA,0)</f>
        <v>142</v>
      </c>
    </row>
    <row r="47" spans="1:6" ht="13.2">
      <c r="A47" s="106" t="s">
        <v>568</v>
      </c>
      <c r="B47" s="90" t="s">
        <v>601</v>
      </c>
      <c r="C47" s="184" t="s">
        <v>1572</v>
      </c>
      <c r="D47" s="447"/>
      <c r="E47" s="447"/>
      <c r="F47" s="156">
        <f>MATCH(C47,'Master_crosswalk '!BA:BA,0)</f>
        <v>143</v>
      </c>
    </row>
    <row r="48" spans="1:6" ht="13.2">
      <c r="A48" s="108" t="s">
        <v>520</v>
      </c>
      <c r="B48" s="90" t="s">
        <v>529</v>
      </c>
      <c r="C48" s="90" t="s">
        <v>533</v>
      </c>
      <c r="D48" s="91" t="s">
        <v>534</v>
      </c>
      <c r="E48" s="90" t="s">
        <v>285</v>
      </c>
      <c r="F48" s="156">
        <f>MATCH(C48,'Master_crosswalk '!BA:BA,0)</f>
        <v>127</v>
      </c>
    </row>
    <row r="49" spans="1:6" ht="13.2">
      <c r="A49" s="108" t="s">
        <v>520</v>
      </c>
      <c r="B49" s="90" t="s">
        <v>521</v>
      </c>
      <c r="C49" s="184" t="s">
        <v>522</v>
      </c>
      <c r="D49" s="91" t="s">
        <v>528</v>
      </c>
      <c r="E49" s="90" t="s">
        <v>524</v>
      </c>
      <c r="F49" s="156">
        <f>MATCH(C49,'Master_crosswalk '!BA:BA,0)</f>
        <v>126</v>
      </c>
    </row>
    <row r="50" spans="1:6" ht="13.2">
      <c r="A50" s="108" t="s">
        <v>520</v>
      </c>
      <c r="B50" s="90" t="s">
        <v>548</v>
      </c>
      <c r="C50" s="90" t="s">
        <v>549</v>
      </c>
      <c r="D50" s="91" t="s">
        <v>550</v>
      </c>
      <c r="E50" s="90" t="s">
        <v>285</v>
      </c>
      <c r="F50" s="156">
        <f>MATCH(C50,'Master_crosswalk '!BA:BA,0)</f>
        <v>132</v>
      </c>
    </row>
    <row r="51" spans="1:6" ht="13.2">
      <c r="A51" s="109" t="s">
        <v>713</v>
      </c>
      <c r="B51" s="90" t="s">
        <v>714</v>
      </c>
      <c r="C51" s="184" t="s">
        <v>1573</v>
      </c>
      <c r="D51" s="91" t="s">
        <v>722</v>
      </c>
      <c r="E51" s="90" t="s">
        <v>723</v>
      </c>
      <c r="F51" s="156">
        <f>MATCH(C51,'Master_crosswalk '!BA:BA,0)</f>
        <v>183</v>
      </c>
    </row>
    <row r="52" spans="1:6" ht="13.2">
      <c r="A52" s="109" t="s">
        <v>713</v>
      </c>
      <c r="B52" s="90" t="s">
        <v>724</v>
      </c>
      <c r="C52" s="90" t="s">
        <v>731</v>
      </c>
      <c r="D52" s="91" t="s">
        <v>732</v>
      </c>
      <c r="E52" s="90" t="s">
        <v>733</v>
      </c>
      <c r="F52" s="156">
        <f>MATCH(C52,'Master_crosswalk '!BA:BA,0)</f>
        <v>184</v>
      </c>
    </row>
  </sheetData>
  <autoFilter ref="A2:F52" xr:uid="{60F348AF-BB5A-442D-A6F5-40C3D869D4F6}"/>
  <mergeCells count="14">
    <mergeCell ref="A7:A10"/>
    <mergeCell ref="B7:B10"/>
    <mergeCell ref="C7:C10"/>
    <mergeCell ref="B11:B15"/>
    <mergeCell ref="C11:C15"/>
    <mergeCell ref="A11:A15"/>
    <mergeCell ref="D43:D45"/>
    <mergeCell ref="D46:D47"/>
    <mergeCell ref="E46:E47"/>
    <mergeCell ref="E7:E10"/>
    <mergeCell ref="E11:E15"/>
    <mergeCell ref="E25:E26"/>
    <mergeCell ref="D25:D26"/>
    <mergeCell ref="E43:E4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F1000"/>
  <sheetViews>
    <sheetView workbookViewId="0">
      <selection activeCell="B31" sqref="B31:B39"/>
    </sheetView>
  </sheetViews>
  <sheetFormatPr defaultColWidth="14.44140625" defaultRowHeight="15.75" customHeight="1"/>
  <cols>
    <col min="1" max="1" width="39" customWidth="1"/>
    <col min="3" max="3" width="30.88671875" customWidth="1"/>
    <col min="4" max="4" width="107.5546875" customWidth="1"/>
  </cols>
  <sheetData>
    <row r="1" spans="1:6" ht="15.75" customHeight="1">
      <c r="A1" s="111" t="s">
        <v>53</v>
      </c>
      <c r="B1" s="111" t="s">
        <v>69</v>
      </c>
      <c r="C1" s="53" t="s">
        <v>1353</v>
      </c>
      <c r="D1" s="53" t="s">
        <v>60</v>
      </c>
      <c r="E1" s="111" t="s">
        <v>70</v>
      </c>
      <c r="F1" s="53" t="s">
        <v>1221</v>
      </c>
    </row>
    <row r="2" spans="1:6" ht="15.75" customHeight="1">
      <c r="A2" s="89" t="s">
        <v>73</v>
      </c>
      <c r="B2" s="90" t="s">
        <v>92</v>
      </c>
      <c r="C2" s="112" t="s">
        <v>91</v>
      </c>
      <c r="D2" s="113" t="s">
        <v>98</v>
      </c>
      <c r="E2" s="90" t="s">
        <v>89</v>
      </c>
      <c r="F2">
        <f>MATCH(B2,'Master_crosswalk '!BA:BA,0)</f>
        <v>49</v>
      </c>
    </row>
    <row r="3" spans="1:6" ht="15.75" customHeight="1">
      <c r="A3" s="93" t="s">
        <v>73</v>
      </c>
      <c r="B3" s="94" t="s">
        <v>86</v>
      </c>
      <c r="C3" s="115" t="s">
        <v>74</v>
      </c>
      <c r="D3" s="116" t="s">
        <v>88</v>
      </c>
      <c r="E3" s="90" t="s">
        <v>89</v>
      </c>
      <c r="F3" s="155">
        <f>MATCH(B3,'Master_crosswalk '!BA:BA,0)</f>
        <v>27</v>
      </c>
    </row>
    <row r="4" spans="1:6" ht="15.75" customHeight="1">
      <c r="A4" s="89" t="s">
        <v>73</v>
      </c>
      <c r="B4" s="90" t="s">
        <v>197</v>
      </c>
      <c r="C4" s="112" t="s">
        <v>194</v>
      </c>
      <c r="D4" s="113" t="s">
        <v>80</v>
      </c>
      <c r="E4" s="90" t="s">
        <v>80</v>
      </c>
      <c r="F4" s="155">
        <f>MATCH(B4,'Master_crosswalk '!BA:BA,0)</f>
        <v>31</v>
      </c>
    </row>
    <row r="5" spans="1:6" ht="15.75" customHeight="1">
      <c r="A5" s="89" t="s">
        <v>73</v>
      </c>
      <c r="B5" s="90" t="s">
        <v>106</v>
      </c>
      <c r="C5" s="112" t="s">
        <v>105</v>
      </c>
      <c r="D5" s="113" t="s">
        <v>1380</v>
      </c>
      <c r="E5" s="90" t="s">
        <v>89</v>
      </c>
      <c r="F5" s="155">
        <f>MATCH(B5,'Master_crosswalk '!BA:BA,0)</f>
        <v>50</v>
      </c>
    </row>
    <row r="6" spans="1:6" ht="15.75" customHeight="1">
      <c r="A6" s="449" t="s">
        <v>73</v>
      </c>
      <c r="B6" s="450" t="s">
        <v>117</v>
      </c>
      <c r="C6" s="451" t="s">
        <v>116</v>
      </c>
      <c r="D6" s="113" t="s">
        <v>1328</v>
      </c>
      <c r="E6" s="450" t="s">
        <v>119</v>
      </c>
      <c r="F6" s="155">
        <f>MATCH(B6,'Master_crosswalk '!BA:BA,0)</f>
        <v>11</v>
      </c>
    </row>
    <row r="7" spans="1:6" ht="15.75" customHeight="1">
      <c r="A7" s="446"/>
      <c r="B7" s="446"/>
      <c r="C7" s="446"/>
      <c r="D7" s="113" t="s">
        <v>1329</v>
      </c>
      <c r="E7" s="446"/>
      <c r="F7" s="155" t="e">
        <f>MATCH(B7,'Master_crosswalk '!BA:BA,0)</f>
        <v>#N/A</v>
      </c>
    </row>
    <row r="8" spans="1:6" ht="15.75" customHeight="1">
      <c r="A8" s="446"/>
      <c r="B8" s="446"/>
      <c r="C8" s="446"/>
      <c r="D8" s="113" t="s">
        <v>1330</v>
      </c>
      <c r="E8" s="446"/>
      <c r="F8" s="155" t="e">
        <f>MATCH(B8,'Master_crosswalk '!BA:BA,0)</f>
        <v>#N/A</v>
      </c>
    </row>
    <row r="9" spans="1:6" ht="15.75" customHeight="1">
      <c r="A9" s="447"/>
      <c r="B9" s="447"/>
      <c r="C9" s="447"/>
      <c r="D9" s="113" t="s">
        <v>1331</v>
      </c>
      <c r="E9" s="447"/>
      <c r="F9" s="155" t="e">
        <f>MATCH(B9,'Master_crosswalk '!BA:BA,0)</f>
        <v>#N/A</v>
      </c>
    </row>
    <row r="10" spans="1:6" ht="15.75" customHeight="1">
      <c r="A10" s="449" t="s">
        <v>73</v>
      </c>
      <c r="B10" s="450" t="s">
        <v>122</v>
      </c>
      <c r="C10" s="451" t="s">
        <v>121</v>
      </c>
      <c r="D10" s="113" t="s">
        <v>1333</v>
      </c>
      <c r="E10" s="450" t="s">
        <v>124</v>
      </c>
      <c r="F10" s="155">
        <f>MATCH(B10,'Master_crosswalk '!BA:BA,0)</f>
        <v>12</v>
      </c>
    </row>
    <row r="11" spans="1:6" ht="15.75" customHeight="1">
      <c r="A11" s="446"/>
      <c r="B11" s="446"/>
      <c r="C11" s="446"/>
      <c r="D11" s="113" t="s">
        <v>1334</v>
      </c>
      <c r="E11" s="446"/>
      <c r="F11" s="155" t="e">
        <f>MATCH(B11,'Master_crosswalk '!BA:BA,0)</f>
        <v>#N/A</v>
      </c>
    </row>
    <row r="12" spans="1:6" ht="15.75" customHeight="1">
      <c r="A12" s="446"/>
      <c r="B12" s="446"/>
      <c r="C12" s="446"/>
      <c r="D12" s="113" t="s">
        <v>1336</v>
      </c>
      <c r="E12" s="446"/>
      <c r="F12" s="155" t="e">
        <f>MATCH(B12,'Master_crosswalk '!BA:BA,0)</f>
        <v>#N/A</v>
      </c>
    </row>
    <row r="13" spans="1:6" ht="15.75" customHeight="1">
      <c r="A13" s="446"/>
      <c r="B13" s="446"/>
      <c r="C13" s="446"/>
      <c r="D13" s="113" t="s">
        <v>1337</v>
      </c>
      <c r="E13" s="446"/>
      <c r="F13" s="155" t="e">
        <f>MATCH(B13,'Master_crosswalk '!BA:BA,0)</f>
        <v>#N/A</v>
      </c>
    </row>
    <row r="14" spans="1:6" ht="15.75" customHeight="1">
      <c r="A14" s="446"/>
      <c r="B14" s="446"/>
      <c r="C14" s="446"/>
      <c r="D14" s="113" t="s">
        <v>1339</v>
      </c>
      <c r="E14" s="446"/>
      <c r="F14" s="155" t="e">
        <f>MATCH(B14,'Master_crosswalk '!BA:BA,0)</f>
        <v>#N/A</v>
      </c>
    </row>
    <row r="15" spans="1:6" ht="15.75" customHeight="1">
      <c r="A15" s="89" t="s">
        <v>73</v>
      </c>
      <c r="B15" s="90" t="s">
        <v>1413</v>
      </c>
      <c r="C15" s="112" t="s">
        <v>125</v>
      </c>
      <c r="D15" s="113" t="s">
        <v>127</v>
      </c>
      <c r="E15" s="90" t="s">
        <v>89</v>
      </c>
      <c r="F15" s="155" t="e">
        <f>MATCH(B15,'Master_crosswalk '!BA:BA,0)</f>
        <v>#N/A</v>
      </c>
    </row>
    <row r="16" spans="1:6" ht="15.75" customHeight="1">
      <c r="A16" s="98" t="s">
        <v>174</v>
      </c>
      <c r="B16" s="90" t="s">
        <v>237</v>
      </c>
      <c r="C16" s="112" t="s">
        <v>236</v>
      </c>
      <c r="D16" s="113" t="s">
        <v>238</v>
      </c>
      <c r="E16" s="90" t="s">
        <v>89</v>
      </c>
      <c r="F16" s="155">
        <f>MATCH(B16,'Master_crosswalk '!BA:BA,0)</f>
        <v>64</v>
      </c>
    </row>
    <row r="17" spans="1:6" ht="15.75" customHeight="1">
      <c r="A17" s="98" t="s">
        <v>174</v>
      </c>
      <c r="B17" s="90" t="s">
        <v>143</v>
      </c>
      <c r="C17" s="112" t="s">
        <v>142</v>
      </c>
      <c r="D17" s="113" t="s">
        <v>144</v>
      </c>
      <c r="E17" s="90" t="s">
        <v>80</v>
      </c>
      <c r="F17" s="155">
        <f>MATCH(B17,'Master_crosswalk '!BA:BA,0)</f>
        <v>19</v>
      </c>
    </row>
    <row r="18" spans="1:6" ht="15.75" customHeight="1">
      <c r="A18" s="98" t="s">
        <v>174</v>
      </c>
      <c r="B18" s="90" t="s">
        <v>146</v>
      </c>
      <c r="C18" s="112" t="s">
        <v>146</v>
      </c>
      <c r="D18" s="113" t="s">
        <v>1418</v>
      </c>
      <c r="E18" s="90" t="s">
        <v>89</v>
      </c>
      <c r="F18" s="155">
        <f>MATCH(B18,'Master_crosswalk '!BA:BA,0)</f>
        <v>20</v>
      </c>
    </row>
    <row r="19" spans="1:6" ht="15.75" customHeight="1">
      <c r="A19" s="98" t="s">
        <v>174</v>
      </c>
      <c r="B19" s="90" t="s">
        <v>52</v>
      </c>
      <c r="C19" s="112" t="s">
        <v>52</v>
      </c>
      <c r="D19" s="113" t="s">
        <v>149</v>
      </c>
      <c r="E19" s="90" t="s">
        <v>89</v>
      </c>
      <c r="F19" s="155">
        <f>MATCH(B19,'Master_crosswalk '!BA:BA,0)</f>
        <v>21</v>
      </c>
    </row>
    <row r="20" spans="1:6" ht="15.75" customHeight="1">
      <c r="A20" s="98" t="s">
        <v>174</v>
      </c>
      <c r="B20" s="90" t="s">
        <v>202</v>
      </c>
      <c r="C20" s="112" t="s">
        <v>198</v>
      </c>
      <c r="D20" s="113" t="s">
        <v>203</v>
      </c>
      <c r="E20" s="90" t="s">
        <v>80</v>
      </c>
      <c r="F20" s="155">
        <f>MATCH(B20,'Master_crosswalk '!BA:BA,0)</f>
        <v>37</v>
      </c>
    </row>
    <row r="21" spans="1:6" ht="15.75" customHeight="1">
      <c r="A21" s="98" t="s">
        <v>174</v>
      </c>
      <c r="B21" s="90" t="s">
        <v>208</v>
      </c>
      <c r="C21" s="112" t="s">
        <v>204</v>
      </c>
      <c r="D21" s="113" t="s">
        <v>209</v>
      </c>
      <c r="E21" s="90" t="s">
        <v>80</v>
      </c>
      <c r="F21" s="155">
        <f>MATCH(B21,'Master_crosswalk '!BA:BA,0)</f>
        <v>38</v>
      </c>
    </row>
    <row r="22" spans="1:6" ht="15.75" customHeight="1">
      <c r="A22" s="98" t="s">
        <v>174</v>
      </c>
      <c r="B22" s="90" t="s">
        <v>206</v>
      </c>
      <c r="C22" s="112" t="s">
        <v>210</v>
      </c>
      <c r="D22" s="113" t="s">
        <v>214</v>
      </c>
      <c r="E22" s="90" t="s">
        <v>80</v>
      </c>
      <c r="F22" s="155">
        <f>MATCH(B22,'Master_crosswalk '!BA:BA,0)</f>
        <v>39</v>
      </c>
    </row>
    <row r="23" spans="1:6" ht="15.75" customHeight="1">
      <c r="A23" s="98" t="s">
        <v>174</v>
      </c>
      <c r="B23" s="90" t="s">
        <v>200</v>
      </c>
      <c r="C23" s="112" t="s">
        <v>200</v>
      </c>
      <c r="D23" s="113" t="s">
        <v>216</v>
      </c>
      <c r="E23" s="90" t="s">
        <v>80</v>
      </c>
      <c r="F23" s="155">
        <f>MATCH(B23,'Master_crosswalk '!BA:BA,0)</f>
        <v>33</v>
      </c>
    </row>
    <row r="24" spans="1:6" ht="15.75" customHeight="1">
      <c r="A24" s="98" t="s">
        <v>174</v>
      </c>
      <c r="B24" s="90" t="s">
        <v>184</v>
      </c>
      <c r="C24" s="112" t="s">
        <v>175</v>
      </c>
      <c r="D24" s="455" t="s">
        <v>1443</v>
      </c>
      <c r="E24" s="450" t="s">
        <v>186</v>
      </c>
      <c r="F24" s="155">
        <f>MATCH(B24,'Master_crosswalk '!BA:BA,0)</f>
        <v>29</v>
      </c>
    </row>
    <row r="25" spans="1:6" ht="15.75" customHeight="1">
      <c r="A25" s="98" t="s">
        <v>174</v>
      </c>
      <c r="B25" s="90" t="s">
        <v>193</v>
      </c>
      <c r="C25" s="112" t="s">
        <v>187</v>
      </c>
      <c r="D25" s="447"/>
      <c r="E25" s="447"/>
      <c r="F25" s="155">
        <f>MATCH(B25,'Master_crosswalk '!BA:BA,0)</f>
        <v>30</v>
      </c>
    </row>
    <row r="26" spans="1:6" ht="15.75" customHeight="1">
      <c r="A26" s="99" t="s">
        <v>1146</v>
      </c>
      <c r="B26" s="90" t="s">
        <v>1148</v>
      </c>
      <c r="C26" s="112" t="s">
        <v>1147</v>
      </c>
      <c r="D26" s="113" t="s">
        <v>1149</v>
      </c>
      <c r="E26" s="90" t="s">
        <v>285</v>
      </c>
      <c r="F26" s="155">
        <f>MATCH(B26,'Master_crosswalk '!BA:BA,0)</f>
        <v>342</v>
      </c>
    </row>
    <row r="27" spans="1:6" ht="15.75" customHeight="1">
      <c r="A27" s="99" t="s">
        <v>1146</v>
      </c>
      <c r="B27" s="90" t="s">
        <v>1151</v>
      </c>
      <c r="C27" s="112" t="s">
        <v>1460</v>
      </c>
      <c r="D27" s="113" t="s">
        <v>1152</v>
      </c>
      <c r="E27" s="90" t="s">
        <v>1153</v>
      </c>
      <c r="F27" s="155">
        <f>MATCH(B27,'Master_crosswalk '!BA:BA,0)</f>
        <v>343</v>
      </c>
    </row>
    <row r="28" spans="1:6" ht="15.75" customHeight="1">
      <c r="A28" s="100" t="s">
        <v>235</v>
      </c>
      <c r="B28" s="90" t="s">
        <v>244</v>
      </c>
      <c r="C28" s="112" t="s">
        <v>243</v>
      </c>
      <c r="D28" s="113" t="s">
        <v>245</v>
      </c>
      <c r="E28" s="90" t="s">
        <v>246</v>
      </c>
      <c r="F28" s="155">
        <f>MATCH(B28,'Master_crosswalk '!BA:BA,0)</f>
        <v>58</v>
      </c>
    </row>
    <row r="29" spans="1:6" ht="15.75" customHeight="1">
      <c r="A29" s="100" t="s">
        <v>235</v>
      </c>
      <c r="B29" s="90" t="s">
        <v>248</v>
      </c>
      <c r="C29" s="112" t="s">
        <v>247</v>
      </c>
      <c r="D29" s="113" t="s">
        <v>249</v>
      </c>
      <c r="E29" s="90" t="s">
        <v>250</v>
      </c>
      <c r="F29" s="155">
        <f>MATCH(B29,'Master_crosswalk '!BA:BA,0)</f>
        <v>59</v>
      </c>
    </row>
    <row r="30" spans="1:6" ht="15.75" customHeight="1">
      <c r="A30" s="100" t="s">
        <v>235</v>
      </c>
      <c r="B30" s="90" t="s">
        <v>252</v>
      </c>
      <c r="C30" s="112" t="s">
        <v>251</v>
      </c>
      <c r="D30" s="113" t="s">
        <v>253</v>
      </c>
      <c r="E30" s="90" t="s">
        <v>250</v>
      </c>
      <c r="F30" s="155">
        <f>MATCH(B30,'Master_crosswalk '!BA:BA,0)</f>
        <v>60</v>
      </c>
    </row>
    <row r="31" spans="1:6" ht="15.75" customHeight="1">
      <c r="A31" s="133" t="s">
        <v>1490</v>
      </c>
      <c r="B31" s="135" t="s">
        <v>921</v>
      </c>
      <c r="C31" s="136" t="s">
        <v>916</v>
      </c>
      <c r="D31" s="113" t="s">
        <v>922</v>
      </c>
      <c r="E31" s="138" t="s">
        <v>80</v>
      </c>
      <c r="F31" s="155">
        <f>MATCH(B31,'Master_crosswalk '!BA:BA,0)</f>
        <v>248</v>
      </c>
    </row>
    <row r="32" spans="1:6" ht="15.75" customHeight="1">
      <c r="A32" s="133" t="s">
        <v>1490</v>
      </c>
      <c r="B32" s="135" t="s">
        <v>953</v>
      </c>
      <c r="C32" s="136" t="s">
        <v>952</v>
      </c>
      <c r="D32" s="113" t="s">
        <v>957</v>
      </c>
      <c r="E32" s="138" t="s">
        <v>80</v>
      </c>
      <c r="F32" s="155">
        <f>MATCH(B32,'Master_crosswalk '!BA:BA,0)</f>
        <v>265</v>
      </c>
    </row>
    <row r="33" spans="1:6" ht="15.75" customHeight="1">
      <c r="A33" s="133" t="s">
        <v>1490</v>
      </c>
      <c r="B33" s="135" t="s">
        <v>959</v>
      </c>
      <c r="C33" s="136" t="s">
        <v>958</v>
      </c>
      <c r="D33" s="113" t="s">
        <v>963</v>
      </c>
      <c r="E33" s="138" t="s">
        <v>80</v>
      </c>
      <c r="F33" s="155">
        <f>MATCH(B33,'Master_crosswalk '!BA:BA,0)</f>
        <v>266</v>
      </c>
    </row>
    <row r="34" spans="1:6" ht="52.8">
      <c r="A34" s="133" t="s">
        <v>1490</v>
      </c>
      <c r="B34" s="135" t="s">
        <v>971</v>
      </c>
      <c r="C34" s="136" t="s">
        <v>970</v>
      </c>
      <c r="D34" s="113" t="s">
        <v>973</v>
      </c>
      <c r="E34" s="138" t="s">
        <v>80</v>
      </c>
      <c r="F34" s="155">
        <f>MATCH(B34,'Master_crosswalk '!BA:BA,0)</f>
        <v>270</v>
      </c>
    </row>
    <row r="35" spans="1:6" ht="13.2">
      <c r="A35" s="133" t="s">
        <v>1490</v>
      </c>
      <c r="B35" s="135" t="s">
        <v>1010</v>
      </c>
      <c r="C35" s="136" t="s">
        <v>1009</v>
      </c>
      <c r="D35" s="141" t="s">
        <v>1014</v>
      </c>
      <c r="E35" s="138" t="s">
        <v>80</v>
      </c>
      <c r="F35" s="155">
        <f>MATCH(B35,'Master_crosswalk '!BA:BA,0)</f>
        <v>287</v>
      </c>
    </row>
    <row r="36" spans="1:6" ht="13.2">
      <c r="A36" s="133" t="s">
        <v>1490</v>
      </c>
      <c r="B36" s="135" t="s">
        <v>1019</v>
      </c>
      <c r="C36" s="136" t="s">
        <v>1018</v>
      </c>
      <c r="D36" s="141" t="s">
        <v>1022</v>
      </c>
      <c r="E36" s="138" t="s">
        <v>80</v>
      </c>
      <c r="F36" s="155">
        <f>MATCH(B36,'Master_crosswalk '!BA:BA,0)</f>
        <v>294</v>
      </c>
    </row>
    <row r="37" spans="1:6" ht="13.2">
      <c r="A37" s="133" t="s">
        <v>1490</v>
      </c>
      <c r="B37" s="135" t="s">
        <v>1026</v>
      </c>
      <c r="C37" s="136" t="s">
        <v>1025</v>
      </c>
      <c r="D37" s="141" t="s">
        <v>1029</v>
      </c>
      <c r="E37" s="138" t="s">
        <v>80</v>
      </c>
      <c r="F37" s="155">
        <f>MATCH(B37,'Master_crosswalk '!BA:BA,0)</f>
        <v>296</v>
      </c>
    </row>
    <row r="38" spans="1:6" ht="39.6">
      <c r="A38" s="133" t="s">
        <v>1490</v>
      </c>
      <c r="B38" s="135" t="s">
        <v>1083</v>
      </c>
      <c r="C38" s="136" t="s">
        <v>1082</v>
      </c>
      <c r="D38" s="113" t="s">
        <v>1085</v>
      </c>
      <c r="E38" s="138" t="s">
        <v>80</v>
      </c>
      <c r="F38" s="155">
        <f>MATCH(B38,'Master_crosswalk '!BA:BA,0)</f>
        <v>321</v>
      </c>
    </row>
    <row r="39" spans="1:6" ht="52.8">
      <c r="A39" s="133" t="s">
        <v>1490</v>
      </c>
      <c r="B39" s="135" t="s">
        <v>1087</v>
      </c>
      <c r="C39" s="112" t="s">
        <v>1086</v>
      </c>
      <c r="D39" s="113" t="s">
        <v>1088</v>
      </c>
      <c r="E39" s="138" t="s">
        <v>80</v>
      </c>
      <c r="F39" s="155">
        <f>MATCH(B39,'Master_crosswalk '!BA:BA,0)</f>
        <v>323</v>
      </c>
    </row>
    <row r="40" spans="1:6" ht="13.2">
      <c r="A40" s="142"/>
      <c r="B40" s="143"/>
      <c r="C40" s="144"/>
      <c r="D40" s="144"/>
      <c r="E40" s="142"/>
    </row>
    <row r="41" spans="1:6" ht="13.2">
      <c r="A41" s="452" t="s">
        <v>1528</v>
      </c>
      <c r="B41" s="453"/>
      <c r="C41" s="453"/>
      <c r="D41" s="453"/>
      <c r="E41" s="453"/>
    </row>
    <row r="42" spans="1:6" ht="15.75" customHeight="1">
      <c r="A42" s="453"/>
      <c r="B42" s="453"/>
      <c r="C42" s="453"/>
      <c r="D42" s="453"/>
      <c r="E42" s="453"/>
    </row>
    <row r="43" spans="1:6" ht="13.2">
      <c r="A43" s="454" t="s">
        <v>1529</v>
      </c>
      <c r="B43" s="453"/>
      <c r="C43" s="453"/>
      <c r="D43" s="453"/>
      <c r="E43" s="453"/>
    </row>
    <row r="44" spans="1:6" ht="13.2">
      <c r="C44" s="83"/>
      <c r="D44" s="83"/>
    </row>
    <row r="45" spans="1:6" ht="13.2">
      <c r="C45" s="83"/>
      <c r="D45" s="83"/>
    </row>
    <row r="46" spans="1:6" ht="13.2">
      <c r="C46" s="83"/>
      <c r="D46" s="83"/>
    </row>
    <row r="47" spans="1:6" ht="13.2">
      <c r="C47" s="83"/>
      <c r="D47" s="83"/>
    </row>
    <row r="48" spans="1:6" ht="13.2">
      <c r="C48" s="83"/>
      <c r="D48" s="83"/>
    </row>
    <row r="49" spans="3:4" ht="13.2">
      <c r="C49" s="83"/>
      <c r="D49" s="83"/>
    </row>
    <row r="50" spans="3:4" ht="13.2">
      <c r="C50" s="83"/>
      <c r="D50" s="83"/>
    </row>
    <row r="51" spans="3:4" ht="13.2">
      <c r="C51" s="83"/>
      <c r="D51" s="83"/>
    </row>
    <row r="52" spans="3:4" ht="13.2">
      <c r="C52" s="83"/>
      <c r="D52" s="83"/>
    </row>
    <row r="53" spans="3:4" ht="13.2">
      <c r="C53" s="83"/>
      <c r="D53" s="83"/>
    </row>
    <row r="54" spans="3:4" ht="13.2">
      <c r="C54" s="83"/>
      <c r="D54" s="83"/>
    </row>
    <row r="55" spans="3:4" ht="13.2">
      <c r="C55" s="83"/>
      <c r="D55" s="83"/>
    </row>
    <row r="56" spans="3:4" ht="13.2">
      <c r="C56" s="83"/>
      <c r="D56" s="83"/>
    </row>
    <row r="57" spans="3:4" ht="13.2">
      <c r="C57" s="83"/>
      <c r="D57" s="83"/>
    </row>
    <row r="58" spans="3:4" ht="13.2">
      <c r="C58" s="83"/>
      <c r="D58" s="83"/>
    </row>
    <row r="59" spans="3:4" ht="13.2">
      <c r="C59" s="83"/>
      <c r="D59" s="83"/>
    </row>
    <row r="60" spans="3:4" ht="13.2">
      <c r="C60" s="83"/>
      <c r="D60" s="83"/>
    </row>
    <row r="61" spans="3:4" ht="13.2">
      <c r="C61" s="83"/>
      <c r="D61" s="83"/>
    </row>
    <row r="62" spans="3:4" ht="13.2">
      <c r="C62" s="83"/>
      <c r="D62" s="83"/>
    </row>
    <row r="63" spans="3:4" ht="13.2">
      <c r="C63" s="83"/>
      <c r="D63" s="83"/>
    </row>
    <row r="64" spans="3:4" ht="13.2">
      <c r="C64" s="83"/>
      <c r="D64" s="83"/>
    </row>
    <row r="65" spans="3:4" ht="13.2">
      <c r="C65" s="83"/>
      <c r="D65" s="83"/>
    </row>
    <row r="66" spans="3:4" ht="13.2">
      <c r="C66" s="83"/>
      <c r="D66" s="83"/>
    </row>
    <row r="67" spans="3:4" ht="13.2">
      <c r="C67" s="83"/>
      <c r="D67" s="83"/>
    </row>
    <row r="68" spans="3:4" ht="13.2">
      <c r="C68" s="83"/>
      <c r="D68" s="83"/>
    </row>
    <row r="69" spans="3:4" ht="13.2">
      <c r="C69" s="83"/>
      <c r="D69" s="83"/>
    </row>
    <row r="70" spans="3:4" ht="13.2">
      <c r="C70" s="83"/>
      <c r="D70" s="83"/>
    </row>
    <row r="71" spans="3:4" ht="13.2">
      <c r="C71" s="83"/>
      <c r="D71" s="83"/>
    </row>
    <row r="72" spans="3:4" ht="13.2">
      <c r="C72" s="83"/>
      <c r="D72" s="83"/>
    </row>
    <row r="73" spans="3:4" ht="13.2">
      <c r="C73" s="83"/>
      <c r="D73" s="83"/>
    </row>
    <row r="74" spans="3:4" ht="13.2">
      <c r="C74" s="83"/>
      <c r="D74" s="83"/>
    </row>
    <row r="75" spans="3:4" ht="13.2">
      <c r="C75" s="83"/>
      <c r="D75" s="83"/>
    </row>
    <row r="76" spans="3:4" ht="13.2">
      <c r="C76" s="83"/>
      <c r="D76" s="83"/>
    </row>
    <row r="77" spans="3:4" ht="13.2">
      <c r="C77" s="83"/>
      <c r="D77" s="83"/>
    </row>
    <row r="78" spans="3:4" ht="13.2">
      <c r="C78" s="83"/>
      <c r="D78" s="83"/>
    </row>
    <row r="79" spans="3:4" ht="13.2">
      <c r="C79" s="83"/>
      <c r="D79" s="83"/>
    </row>
    <row r="80" spans="3:4" ht="13.2">
      <c r="C80" s="83"/>
      <c r="D80" s="83"/>
    </row>
    <row r="81" spans="3:4" ht="13.2">
      <c r="C81" s="83"/>
      <c r="D81" s="83"/>
    </row>
    <row r="82" spans="3:4" ht="13.2">
      <c r="C82" s="83"/>
      <c r="D82" s="83"/>
    </row>
    <row r="83" spans="3:4" ht="13.2">
      <c r="C83" s="83"/>
      <c r="D83" s="83"/>
    </row>
    <row r="84" spans="3:4" ht="13.2">
      <c r="C84" s="83"/>
      <c r="D84" s="83"/>
    </row>
    <row r="85" spans="3:4" ht="13.2">
      <c r="C85" s="83"/>
      <c r="D85" s="83"/>
    </row>
    <row r="86" spans="3:4" ht="13.2">
      <c r="C86" s="83"/>
      <c r="D86" s="83"/>
    </row>
    <row r="87" spans="3:4" ht="13.2">
      <c r="C87" s="83"/>
      <c r="D87" s="83"/>
    </row>
    <row r="88" spans="3:4" ht="13.2">
      <c r="C88" s="83"/>
      <c r="D88" s="83"/>
    </row>
    <row r="89" spans="3:4" ht="13.2">
      <c r="C89" s="83"/>
      <c r="D89" s="83"/>
    </row>
    <row r="90" spans="3:4" ht="13.2">
      <c r="C90" s="83"/>
      <c r="D90" s="83"/>
    </row>
    <row r="91" spans="3:4" ht="13.2">
      <c r="C91" s="83"/>
      <c r="D91" s="83"/>
    </row>
    <row r="92" spans="3:4" ht="13.2">
      <c r="C92" s="83"/>
      <c r="D92" s="83"/>
    </row>
    <row r="93" spans="3:4" ht="13.2">
      <c r="C93" s="83"/>
      <c r="D93" s="83"/>
    </row>
    <row r="94" spans="3:4" ht="13.2">
      <c r="C94" s="83"/>
      <c r="D94" s="83"/>
    </row>
    <row r="95" spans="3:4" ht="13.2">
      <c r="C95" s="83"/>
      <c r="D95" s="83"/>
    </row>
    <row r="96" spans="3:4" ht="13.2">
      <c r="C96" s="83"/>
      <c r="D96" s="83"/>
    </row>
    <row r="97" spans="3:4" ht="13.2">
      <c r="C97" s="83"/>
      <c r="D97" s="83"/>
    </row>
    <row r="98" spans="3:4" ht="13.2">
      <c r="C98" s="83"/>
      <c r="D98" s="83"/>
    </row>
    <row r="99" spans="3:4" ht="13.2">
      <c r="C99" s="83"/>
      <c r="D99" s="83"/>
    </row>
    <row r="100" spans="3:4" ht="13.2">
      <c r="C100" s="83"/>
      <c r="D100" s="83"/>
    </row>
    <row r="101" spans="3:4" ht="13.2">
      <c r="C101" s="83"/>
      <c r="D101" s="83"/>
    </row>
    <row r="102" spans="3:4" ht="13.2">
      <c r="C102" s="83"/>
      <c r="D102" s="83"/>
    </row>
    <row r="103" spans="3:4" ht="13.2">
      <c r="C103" s="83"/>
      <c r="D103" s="83"/>
    </row>
    <row r="104" spans="3:4" ht="13.2">
      <c r="C104" s="83"/>
      <c r="D104" s="83"/>
    </row>
    <row r="105" spans="3:4" ht="13.2">
      <c r="C105" s="83"/>
      <c r="D105" s="83"/>
    </row>
    <row r="106" spans="3:4" ht="13.2">
      <c r="C106" s="83"/>
      <c r="D106" s="83"/>
    </row>
    <row r="107" spans="3:4" ht="13.2">
      <c r="C107" s="83"/>
      <c r="D107" s="83"/>
    </row>
    <row r="108" spans="3:4" ht="13.2">
      <c r="C108" s="83"/>
      <c r="D108" s="83"/>
    </row>
    <row r="109" spans="3:4" ht="13.2">
      <c r="C109" s="83"/>
      <c r="D109" s="83"/>
    </row>
    <row r="110" spans="3:4" ht="13.2">
      <c r="C110" s="83"/>
      <c r="D110" s="83"/>
    </row>
    <row r="111" spans="3:4" ht="13.2">
      <c r="C111" s="83"/>
      <c r="D111" s="83"/>
    </row>
    <row r="112" spans="3:4" ht="13.2">
      <c r="C112" s="83"/>
      <c r="D112" s="83"/>
    </row>
    <row r="113" spans="3:4" ht="13.2">
      <c r="C113" s="83"/>
      <c r="D113" s="83"/>
    </row>
    <row r="114" spans="3:4" ht="13.2">
      <c r="C114" s="83"/>
      <c r="D114" s="83"/>
    </row>
    <row r="115" spans="3:4" ht="13.2">
      <c r="C115" s="83"/>
      <c r="D115" s="83"/>
    </row>
    <row r="116" spans="3:4" ht="13.2">
      <c r="C116" s="83"/>
      <c r="D116" s="83"/>
    </row>
    <row r="117" spans="3:4" ht="13.2">
      <c r="C117" s="83"/>
      <c r="D117" s="83"/>
    </row>
    <row r="118" spans="3:4" ht="13.2">
      <c r="C118" s="83"/>
      <c r="D118" s="83"/>
    </row>
    <row r="119" spans="3:4" ht="13.2">
      <c r="C119" s="83"/>
      <c r="D119" s="83"/>
    </row>
    <row r="120" spans="3:4" ht="13.2">
      <c r="C120" s="83"/>
      <c r="D120" s="83"/>
    </row>
    <row r="121" spans="3:4" ht="13.2">
      <c r="C121" s="83"/>
      <c r="D121" s="83"/>
    </row>
    <row r="122" spans="3:4" ht="13.2">
      <c r="C122" s="83"/>
      <c r="D122" s="83"/>
    </row>
    <row r="123" spans="3:4" ht="13.2">
      <c r="C123" s="83"/>
      <c r="D123" s="83"/>
    </row>
    <row r="124" spans="3:4" ht="13.2">
      <c r="C124" s="83"/>
      <c r="D124" s="83"/>
    </row>
    <row r="125" spans="3:4" ht="13.2">
      <c r="C125" s="83"/>
      <c r="D125" s="83"/>
    </row>
    <row r="126" spans="3:4" ht="13.2">
      <c r="C126" s="83"/>
      <c r="D126" s="83"/>
    </row>
    <row r="127" spans="3:4" ht="13.2">
      <c r="C127" s="83"/>
      <c r="D127" s="83"/>
    </row>
    <row r="128" spans="3:4" ht="13.2">
      <c r="C128" s="83"/>
      <c r="D128" s="83"/>
    </row>
    <row r="129" spans="3:4" ht="13.2">
      <c r="C129" s="83"/>
      <c r="D129" s="83"/>
    </row>
    <row r="130" spans="3:4" ht="13.2">
      <c r="C130" s="83"/>
      <c r="D130" s="83"/>
    </row>
    <row r="131" spans="3:4" ht="13.2">
      <c r="C131" s="83"/>
      <c r="D131" s="83"/>
    </row>
    <row r="132" spans="3:4" ht="13.2">
      <c r="C132" s="83"/>
      <c r="D132" s="83"/>
    </row>
    <row r="133" spans="3:4" ht="13.2">
      <c r="C133" s="83"/>
      <c r="D133" s="83"/>
    </row>
    <row r="134" spans="3:4" ht="13.2">
      <c r="C134" s="83"/>
      <c r="D134" s="83"/>
    </row>
    <row r="135" spans="3:4" ht="13.2">
      <c r="C135" s="83"/>
      <c r="D135" s="83"/>
    </row>
    <row r="136" spans="3:4" ht="13.2">
      <c r="C136" s="83"/>
      <c r="D136" s="83"/>
    </row>
    <row r="137" spans="3:4" ht="13.2">
      <c r="C137" s="83"/>
      <c r="D137" s="83"/>
    </row>
    <row r="138" spans="3:4" ht="13.2">
      <c r="C138" s="83"/>
      <c r="D138" s="83"/>
    </row>
    <row r="139" spans="3:4" ht="13.2">
      <c r="C139" s="83"/>
      <c r="D139" s="83"/>
    </row>
    <row r="140" spans="3:4" ht="13.2">
      <c r="C140" s="83"/>
      <c r="D140" s="83"/>
    </row>
    <row r="141" spans="3:4" ht="13.2">
      <c r="C141" s="83"/>
      <c r="D141" s="83"/>
    </row>
    <row r="142" spans="3:4" ht="13.2">
      <c r="C142" s="83"/>
      <c r="D142" s="83"/>
    </row>
    <row r="143" spans="3:4" ht="13.2">
      <c r="C143" s="83"/>
      <c r="D143" s="83"/>
    </row>
    <row r="144" spans="3:4" ht="13.2">
      <c r="C144" s="83"/>
      <c r="D144" s="83"/>
    </row>
    <row r="145" spans="3:4" ht="13.2">
      <c r="C145" s="83"/>
      <c r="D145" s="83"/>
    </row>
    <row r="146" spans="3:4" ht="13.2">
      <c r="C146" s="83"/>
      <c r="D146" s="83"/>
    </row>
    <row r="147" spans="3:4" ht="13.2">
      <c r="C147" s="83"/>
      <c r="D147" s="83"/>
    </row>
    <row r="148" spans="3:4" ht="13.2">
      <c r="C148" s="83"/>
      <c r="D148" s="83"/>
    </row>
    <row r="149" spans="3:4" ht="13.2">
      <c r="C149" s="83"/>
      <c r="D149" s="83"/>
    </row>
    <row r="150" spans="3:4" ht="13.2">
      <c r="C150" s="83"/>
      <c r="D150" s="83"/>
    </row>
    <row r="151" spans="3:4" ht="13.2">
      <c r="C151" s="83"/>
      <c r="D151" s="83"/>
    </row>
    <row r="152" spans="3:4" ht="13.2">
      <c r="C152" s="83"/>
      <c r="D152" s="83"/>
    </row>
    <row r="153" spans="3:4" ht="13.2">
      <c r="C153" s="83"/>
      <c r="D153" s="83"/>
    </row>
    <row r="154" spans="3:4" ht="13.2">
      <c r="C154" s="83"/>
      <c r="D154" s="83"/>
    </row>
    <row r="155" spans="3:4" ht="13.2">
      <c r="C155" s="83"/>
      <c r="D155" s="83"/>
    </row>
    <row r="156" spans="3:4" ht="13.2">
      <c r="C156" s="83"/>
      <c r="D156" s="83"/>
    </row>
    <row r="157" spans="3:4" ht="13.2">
      <c r="C157" s="83"/>
      <c r="D157" s="83"/>
    </row>
    <row r="158" spans="3:4" ht="13.2">
      <c r="C158" s="83"/>
      <c r="D158" s="83"/>
    </row>
    <row r="159" spans="3:4" ht="13.2">
      <c r="C159" s="83"/>
      <c r="D159" s="83"/>
    </row>
    <row r="160" spans="3:4" ht="13.2">
      <c r="C160" s="83"/>
      <c r="D160" s="83"/>
    </row>
    <row r="161" spans="3:4" ht="13.2">
      <c r="C161" s="83"/>
      <c r="D161" s="83"/>
    </row>
    <row r="162" spans="3:4" ht="13.2">
      <c r="C162" s="83"/>
      <c r="D162" s="83"/>
    </row>
    <row r="163" spans="3:4" ht="13.2">
      <c r="C163" s="83"/>
      <c r="D163" s="83"/>
    </row>
    <row r="164" spans="3:4" ht="13.2">
      <c r="C164" s="83"/>
      <c r="D164" s="83"/>
    </row>
    <row r="165" spans="3:4" ht="13.2">
      <c r="C165" s="83"/>
      <c r="D165" s="83"/>
    </row>
    <row r="166" spans="3:4" ht="13.2">
      <c r="C166" s="83"/>
      <c r="D166" s="83"/>
    </row>
    <row r="167" spans="3:4" ht="13.2">
      <c r="C167" s="83"/>
      <c r="D167" s="83"/>
    </row>
    <row r="168" spans="3:4" ht="13.2">
      <c r="C168" s="83"/>
      <c r="D168" s="83"/>
    </row>
    <row r="169" spans="3:4" ht="13.2">
      <c r="C169" s="83"/>
      <c r="D169" s="83"/>
    </row>
    <row r="170" spans="3:4" ht="13.2">
      <c r="C170" s="83"/>
      <c r="D170" s="83"/>
    </row>
    <row r="171" spans="3:4" ht="13.2">
      <c r="C171" s="83"/>
      <c r="D171" s="83"/>
    </row>
    <row r="172" spans="3:4" ht="13.2">
      <c r="C172" s="83"/>
      <c r="D172" s="83"/>
    </row>
    <row r="173" spans="3:4" ht="13.2">
      <c r="C173" s="83"/>
      <c r="D173" s="83"/>
    </row>
    <row r="174" spans="3:4" ht="13.2">
      <c r="C174" s="83"/>
      <c r="D174" s="83"/>
    </row>
    <row r="175" spans="3:4" ht="13.2">
      <c r="C175" s="83"/>
      <c r="D175" s="83"/>
    </row>
    <row r="176" spans="3:4" ht="13.2">
      <c r="C176" s="83"/>
      <c r="D176" s="83"/>
    </row>
    <row r="177" spans="3:4" ht="13.2">
      <c r="C177" s="83"/>
      <c r="D177" s="83"/>
    </row>
    <row r="178" spans="3:4" ht="13.2">
      <c r="C178" s="83"/>
      <c r="D178" s="83"/>
    </row>
    <row r="179" spans="3:4" ht="13.2">
      <c r="C179" s="83"/>
      <c r="D179" s="83"/>
    </row>
    <row r="180" spans="3:4" ht="13.2">
      <c r="C180" s="83"/>
      <c r="D180" s="83"/>
    </row>
    <row r="181" spans="3:4" ht="13.2">
      <c r="C181" s="83"/>
      <c r="D181" s="83"/>
    </row>
    <row r="182" spans="3:4" ht="13.2">
      <c r="C182" s="83"/>
      <c r="D182" s="83"/>
    </row>
    <row r="183" spans="3:4" ht="13.2">
      <c r="C183" s="83"/>
      <c r="D183" s="83"/>
    </row>
    <row r="184" spans="3:4" ht="13.2">
      <c r="C184" s="83"/>
      <c r="D184" s="83"/>
    </row>
    <row r="185" spans="3:4" ht="13.2">
      <c r="C185" s="83"/>
      <c r="D185" s="83"/>
    </row>
    <row r="186" spans="3:4" ht="13.2">
      <c r="C186" s="83"/>
      <c r="D186" s="83"/>
    </row>
    <row r="187" spans="3:4" ht="13.2">
      <c r="C187" s="83"/>
      <c r="D187" s="83"/>
    </row>
    <row r="188" spans="3:4" ht="13.2">
      <c r="C188" s="83"/>
      <c r="D188" s="83"/>
    </row>
    <row r="189" spans="3:4" ht="13.2">
      <c r="C189" s="83"/>
      <c r="D189" s="83"/>
    </row>
    <row r="190" spans="3:4" ht="13.2">
      <c r="C190" s="83"/>
      <c r="D190" s="83"/>
    </row>
    <row r="191" spans="3:4" ht="13.2">
      <c r="C191" s="83"/>
      <c r="D191" s="83"/>
    </row>
    <row r="192" spans="3:4" ht="13.2">
      <c r="C192" s="83"/>
      <c r="D192" s="83"/>
    </row>
    <row r="193" spans="3:4" ht="13.2">
      <c r="C193" s="83"/>
      <c r="D193" s="83"/>
    </row>
    <row r="194" spans="3:4" ht="13.2">
      <c r="C194" s="83"/>
      <c r="D194" s="83"/>
    </row>
    <row r="195" spans="3:4" ht="13.2">
      <c r="C195" s="83"/>
      <c r="D195" s="83"/>
    </row>
    <row r="196" spans="3:4" ht="13.2">
      <c r="C196" s="83"/>
      <c r="D196" s="83"/>
    </row>
    <row r="197" spans="3:4" ht="13.2">
      <c r="C197" s="83"/>
      <c r="D197" s="83"/>
    </row>
    <row r="198" spans="3:4" ht="13.2">
      <c r="C198" s="83"/>
      <c r="D198" s="83"/>
    </row>
    <row r="199" spans="3:4" ht="13.2">
      <c r="C199" s="83"/>
      <c r="D199" s="83"/>
    </row>
    <row r="200" spans="3:4" ht="13.2">
      <c r="C200" s="83"/>
      <c r="D200" s="83"/>
    </row>
    <row r="201" spans="3:4" ht="13.2">
      <c r="C201" s="83"/>
      <c r="D201" s="83"/>
    </row>
    <row r="202" spans="3:4" ht="13.2">
      <c r="C202" s="83"/>
      <c r="D202" s="83"/>
    </row>
    <row r="203" spans="3:4" ht="13.2">
      <c r="C203" s="83"/>
      <c r="D203" s="83"/>
    </row>
    <row r="204" spans="3:4" ht="13.2">
      <c r="C204" s="83"/>
      <c r="D204" s="83"/>
    </row>
    <row r="205" spans="3:4" ht="13.2">
      <c r="C205" s="83"/>
      <c r="D205" s="83"/>
    </row>
    <row r="206" spans="3:4" ht="13.2">
      <c r="C206" s="83"/>
      <c r="D206" s="83"/>
    </row>
    <row r="207" spans="3:4" ht="13.2">
      <c r="C207" s="83"/>
      <c r="D207" s="83"/>
    </row>
    <row r="208" spans="3:4" ht="13.2">
      <c r="C208" s="83"/>
      <c r="D208" s="83"/>
    </row>
    <row r="209" spans="3:4" ht="13.2">
      <c r="C209" s="83"/>
      <c r="D209" s="83"/>
    </row>
    <row r="210" spans="3:4" ht="13.2">
      <c r="C210" s="83"/>
      <c r="D210" s="83"/>
    </row>
    <row r="211" spans="3:4" ht="13.2">
      <c r="C211" s="83"/>
      <c r="D211" s="83"/>
    </row>
    <row r="212" spans="3:4" ht="13.2">
      <c r="C212" s="83"/>
      <c r="D212" s="83"/>
    </row>
    <row r="213" spans="3:4" ht="13.2">
      <c r="C213" s="83"/>
      <c r="D213" s="83"/>
    </row>
    <row r="214" spans="3:4" ht="13.2">
      <c r="C214" s="83"/>
      <c r="D214" s="83"/>
    </row>
    <row r="215" spans="3:4" ht="13.2">
      <c r="C215" s="83"/>
      <c r="D215" s="83"/>
    </row>
    <row r="216" spans="3:4" ht="13.2">
      <c r="C216" s="83"/>
      <c r="D216" s="83"/>
    </row>
    <row r="217" spans="3:4" ht="13.2">
      <c r="C217" s="83"/>
      <c r="D217" s="83"/>
    </row>
    <row r="218" spans="3:4" ht="13.2">
      <c r="C218" s="83"/>
      <c r="D218" s="83"/>
    </row>
    <row r="219" spans="3:4" ht="13.2">
      <c r="C219" s="83"/>
      <c r="D219" s="83"/>
    </row>
    <row r="220" spans="3:4" ht="13.2">
      <c r="C220" s="83"/>
      <c r="D220" s="83"/>
    </row>
    <row r="221" spans="3:4" ht="13.2">
      <c r="C221" s="83"/>
      <c r="D221" s="83"/>
    </row>
    <row r="222" spans="3:4" ht="13.2">
      <c r="C222" s="83"/>
      <c r="D222" s="83"/>
    </row>
    <row r="223" spans="3:4" ht="13.2">
      <c r="C223" s="83"/>
      <c r="D223" s="83"/>
    </row>
    <row r="224" spans="3:4" ht="13.2">
      <c r="C224" s="83"/>
      <c r="D224" s="83"/>
    </row>
    <row r="225" spans="3:4" ht="13.2">
      <c r="C225" s="83"/>
      <c r="D225" s="83"/>
    </row>
    <row r="226" spans="3:4" ht="13.2">
      <c r="C226" s="83"/>
      <c r="D226" s="83"/>
    </row>
    <row r="227" spans="3:4" ht="13.2">
      <c r="C227" s="83"/>
      <c r="D227" s="83"/>
    </row>
    <row r="228" spans="3:4" ht="13.2">
      <c r="C228" s="83"/>
      <c r="D228" s="83"/>
    </row>
    <row r="229" spans="3:4" ht="13.2">
      <c r="C229" s="83"/>
      <c r="D229" s="83"/>
    </row>
    <row r="230" spans="3:4" ht="13.2">
      <c r="C230" s="83"/>
      <c r="D230" s="83"/>
    </row>
    <row r="231" spans="3:4" ht="13.2">
      <c r="C231" s="83"/>
      <c r="D231" s="83"/>
    </row>
    <row r="232" spans="3:4" ht="13.2">
      <c r="C232" s="83"/>
      <c r="D232" s="83"/>
    </row>
    <row r="233" spans="3:4" ht="13.2">
      <c r="C233" s="83"/>
      <c r="D233" s="83"/>
    </row>
    <row r="234" spans="3:4" ht="13.2">
      <c r="C234" s="83"/>
      <c r="D234" s="83"/>
    </row>
    <row r="235" spans="3:4" ht="13.2">
      <c r="C235" s="83"/>
      <c r="D235" s="83"/>
    </row>
    <row r="236" spans="3:4" ht="13.2">
      <c r="C236" s="83"/>
      <c r="D236" s="83"/>
    </row>
    <row r="237" spans="3:4" ht="13.2">
      <c r="C237" s="83"/>
      <c r="D237" s="83"/>
    </row>
    <row r="238" spans="3:4" ht="13.2">
      <c r="C238" s="83"/>
      <c r="D238" s="83"/>
    </row>
    <row r="239" spans="3:4" ht="13.2">
      <c r="C239" s="83"/>
      <c r="D239" s="83"/>
    </row>
    <row r="240" spans="3:4" ht="13.2">
      <c r="C240" s="83"/>
      <c r="D240" s="83"/>
    </row>
    <row r="241" spans="3:4" ht="13.2">
      <c r="C241" s="83"/>
      <c r="D241" s="83"/>
    </row>
    <row r="242" spans="3:4" ht="13.2">
      <c r="C242" s="83"/>
      <c r="D242" s="83"/>
    </row>
    <row r="243" spans="3:4" ht="13.2">
      <c r="C243" s="83"/>
      <c r="D243" s="83"/>
    </row>
    <row r="244" spans="3:4" ht="13.2">
      <c r="C244" s="83"/>
      <c r="D244" s="83"/>
    </row>
    <row r="245" spans="3:4" ht="13.2">
      <c r="C245" s="83"/>
      <c r="D245" s="83"/>
    </row>
    <row r="246" spans="3:4" ht="13.2">
      <c r="C246" s="83"/>
      <c r="D246" s="83"/>
    </row>
    <row r="247" spans="3:4" ht="13.2">
      <c r="C247" s="83"/>
      <c r="D247" s="83"/>
    </row>
    <row r="248" spans="3:4" ht="13.2">
      <c r="C248" s="83"/>
      <c r="D248" s="83"/>
    </row>
    <row r="249" spans="3:4" ht="13.2">
      <c r="C249" s="83"/>
      <c r="D249" s="83"/>
    </row>
    <row r="250" spans="3:4" ht="13.2">
      <c r="C250" s="83"/>
      <c r="D250" s="83"/>
    </row>
    <row r="251" spans="3:4" ht="13.2">
      <c r="C251" s="83"/>
      <c r="D251" s="83"/>
    </row>
    <row r="252" spans="3:4" ht="13.2">
      <c r="C252" s="83"/>
      <c r="D252" s="83"/>
    </row>
    <row r="253" spans="3:4" ht="13.2">
      <c r="C253" s="83"/>
      <c r="D253" s="83"/>
    </row>
    <row r="254" spans="3:4" ht="13.2">
      <c r="C254" s="83"/>
      <c r="D254" s="83"/>
    </row>
    <row r="255" spans="3:4" ht="13.2">
      <c r="C255" s="83"/>
      <c r="D255" s="83"/>
    </row>
    <row r="256" spans="3:4" ht="13.2">
      <c r="C256" s="83"/>
      <c r="D256" s="83"/>
    </row>
    <row r="257" spans="3:4" ht="13.2">
      <c r="C257" s="83"/>
      <c r="D257" s="83"/>
    </row>
    <row r="258" spans="3:4" ht="13.2">
      <c r="C258" s="83"/>
      <c r="D258" s="83"/>
    </row>
    <row r="259" spans="3:4" ht="13.2">
      <c r="C259" s="83"/>
      <c r="D259" s="83"/>
    </row>
    <row r="260" spans="3:4" ht="13.2">
      <c r="C260" s="83"/>
      <c r="D260" s="83"/>
    </row>
    <row r="261" spans="3:4" ht="13.2">
      <c r="C261" s="83"/>
      <c r="D261" s="83"/>
    </row>
    <row r="262" spans="3:4" ht="13.2">
      <c r="C262" s="83"/>
      <c r="D262" s="83"/>
    </row>
    <row r="263" spans="3:4" ht="13.2">
      <c r="C263" s="83"/>
      <c r="D263" s="83"/>
    </row>
    <row r="264" spans="3:4" ht="13.2">
      <c r="C264" s="83"/>
      <c r="D264" s="83"/>
    </row>
    <row r="265" spans="3:4" ht="13.2">
      <c r="C265" s="83"/>
      <c r="D265" s="83"/>
    </row>
    <row r="266" spans="3:4" ht="13.2">
      <c r="C266" s="83"/>
      <c r="D266" s="83"/>
    </row>
    <row r="267" spans="3:4" ht="13.2">
      <c r="C267" s="83"/>
      <c r="D267" s="83"/>
    </row>
    <row r="268" spans="3:4" ht="13.2">
      <c r="C268" s="83"/>
      <c r="D268" s="83"/>
    </row>
    <row r="269" spans="3:4" ht="13.2">
      <c r="C269" s="83"/>
      <c r="D269" s="83"/>
    </row>
    <row r="270" spans="3:4" ht="13.2">
      <c r="C270" s="83"/>
      <c r="D270" s="83"/>
    </row>
    <row r="271" spans="3:4" ht="13.2">
      <c r="C271" s="83"/>
      <c r="D271" s="83"/>
    </row>
    <row r="272" spans="3:4" ht="13.2">
      <c r="C272" s="83"/>
      <c r="D272" s="83"/>
    </row>
    <row r="273" spans="3:4" ht="13.2">
      <c r="C273" s="83"/>
      <c r="D273" s="83"/>
    </row>
    <row r="274" spans="3:4" ht="13.2">
      <c r="C274" s="83"/>
      <c r="D274" s="83"/>
    </row>
    <row r="275" spans="3:4" ht="13.2">
      <c r="C275" s="83"/>
      <c r="D275" s="83"/>
    </row>
    <row r="276" spans="3:4" ht="13.2">
      <c r="C276" s="83"/>
      <c r="D276" s="83"/>
    </row>
    <row r="277" spans="3:4" ht="13.2">
      <c r="C277" s="83"/>
      <c r="D277" s="83"/>
    </row>
    <row r="278" spans="3:4" ht="13.2">
      <c r="C278" s="83"/>
      <c r="D278" s="83"/>
    </row>
    <row r="279" spans="3:4" ht="13.2">
      <c r="C279" s="83"/>
      <c r="D279" s="83"/>
    </row>
    <row r="280" spans="3:4" ht="13.2">
      <c r="C280" s="83"/>
      <c r="D280" s="83"/>
    </row>
    <row r="281" spans="3:4" ht="13.2">
      <c r="C281" s="83"/>
      <c r="D281" s="83"/>
    </row>
    <row r="282" spans="3:4" ht="13.2">
      <c r="C282" s="83"/>
      <c r="D282" s="83"/>
    </row>
    <row r="283" spans="3:4" ht="13.2">
      <c r="C283" s="83"/>
      <c r="D283" s="83"/>
    </row>
    <row r="284" spans="3:4" ht="13.2">
      <c r="C284" s="83"/>
      <c r="D284" s="83"/>
    </row>
    <row r="285" spans="3:4" ht="13.2">
      <c r="C285" s="83"/>
      <c r="D285" s="83"/>
    </row>
    <row r="286" spans="3:4" ht="13.2">
      <c r="C286" s="83"/>
      <c r="D286" s="83"/>
    </row>
    <row r="287" spans="3:4" ht="13.2">
      <c r="C287" s="83"/>
      <c r="D287" s="83"/>
    </row>
    <row r="288" spans="3:4" ht="13.2">
      <c r="C288" s="83"/>
      <c r="D288" s="83"/>
    </row>
    <row r="289" spans="3:4" ht="13.2">
      <c r="C289" s="83"/>
      <c r="D289" s="83"/>
    </row>
    <row r="290" spans="3:4" ht="13.2">
      <c r="C290" s="83"/>
      <c r="D290" s="83"/>
    </row>
    <row r="291" spans="3:4" ht="13.2">
      <c r="C291" s="83"/>
      <c r="D291" s="83"/>
    </row>
    <row r="292" spans="3:4" ht="13.2">
      <c r="C292" s="83"/>
      <c r="D292" s="83"/>
    </row>
    <row r="293" spans="3:4" ht="13.2">
      <c r="C293" s="83"/>
      <c r="D293" s="83"/>
    </row>
    <row r="294" spans="3:4" ht="13.2">
      <c r="C294" s="83"/>
      <c r="D294" s="83"/>
    </row>
    <row r="295" spans="3:4" ht="13.2">
      <c r="C295" s="83"/>
      <c r="D295" s="83"/>
    </row>
    <row r="296" spans="3:4" ht="13.2">
      <c r="C296" s="83"/>
      <c r="D296" s="83"/>
    </row>
    <row r="297" spans="3:4" ht="13.2">
      <c r="C297" s="83"/>
      <c r="D297" s="83"/>
    </row>
    <row r="298" spans="3:4" ht="13.2">
      <c r="C298" s="83"/>
      <c r="D298" s="83"/>
    </row>
    <row r="299" spans="3:4" ht="13.2">
      <c r="C299" s="83"/>
      <c r="D299" s="83"/>
    </row>
    <row r="300" spans="3:4" ht="13.2">
      <c r="C300" s="83"/>
      <c r="D300" s="83"/>
    </row>
    <row r="301" spans="3:4" ht="13.2">
      <c r="C301" s="83"/>
      <c r="D301" s="83"/>
    </row>
    <row r="302" spans="3:4" ht="13.2">
      <c r="C302" s="83"/>
      <c r="D302" s="83"/>
    </row>
    <row r="303" spans="3:4" ht="13.2">
      <c r="C303" s="83"/>
      <c r="D303" s="83"/>
    </row>
    <row r="304" spans="3:4" ht="13.2">
      <c r="C304" s="83"/>
      <c r="D304" s="83"/>
    </row>
    <row r="305" spans="3:4" ht="13.2">
      <c r="C305" s="83"/>
      <c r="D305" s="83"/>
    </row>
    <row r="306" spans="3:4" ht="13.2">
      <c r="C306" s="83"/>
      <c r="D306" s="83"/>
    </row>
    <row r="307" spans="3:4" ht="13.2">
      <c r="C307" s="83"/>
      <c r="D307" s="83"/>
    </row>
    <row r="308" spans="3:4" ht="13.2">
      <c r="C308" s="83"/>
      <c r="D308" s="83"/>
    </row>
    <row r="309" spans="3:4" ht="13.2">
      <c r="C309" s="83"/>
      <c r="D309" s="83"/>
    </row>
    <row r="310" spans="3:4" ht="13.2">
      <c r="C310" s="83"/>
      <c r="D310" s="83"/>
    </row>
    <row r="311" spans="3:4" ht="13.2">
      <c r="C311" s="83"/>
      <c r="D311" s="83"/>
    </row>
    <row r="312" spans="3:4" ht="13.2">
      <c r="C312" s="83"/>
      <c r="D312" s="83"/>
    </row>
    <row r="313" spans="3:4" ht="13.2">
      <c r="C313" s="83"/>
      <c r="D313" s="83"/>
    </row>
    <row r="314" spans="3:4" ht="13.2">
      <c r="C314" s="83"/>
      <c r="D314" s="83"/>
    </row>
    <row r="315" spans="3:4" ht="13.2">
      <c r="C315" s="83"/>
      <c r="D315" s="83"/>
    </row>
    <row r="316" spans="3:4" ht="13.2">
      <c r="C316" s="83"/>
      <c r="D316" s="83"/>
    </row>
    <row r="317" spans="3:4" ht="13.2">
      <c r="C317" s="83"/>
      <c r="D317" s="83"/>
    </row>
    <row r="318" spans="3:4" ht="13.2">
      <c r="C318" s="83"/>
      <c r="D318" s="83"/>
    </row>
    <row r="319" spans="3:4" ht="13.2">
      <c r="C319" s="83"/>
      <c r="D319" s="83"/>
    </row>
    <row r="320" spans="3:4" ht="13.2">
      <c r="C320" s="83"/>
      <c r="D320" s="83"/>
    </row>
    <row r="321" spans="3:4" ht="13.2">
      <c r="C321" s="83"/>
      <c r="D321" s="83"/>
    </row>
    <row r="322" spans="3:4" ht="13.2">
      <c r="C322" s="83"/>
      <c r="D322" s="83"/>
    </row>
    <row r="323" spans="3:4" ht="13.2">
      <c r="C323" s="83"/>
      <c r="D323" s="83"/>
    </row>
    <row r="324" spans="3:4" ht="13.2">
      <c r="C324" s="83"/>
      <c r="D324" s="83"/>
    </row>
    <row r="325" spans="3:4" ht="13.2">
      <c r="C325" s="83"/>
      <c r="D325" s="83"/>
    </row>
    <row r="326" spans="3:4" ht="13.2">
      <c r="C326" s="83"/>
      <c r="D326" s="83"/>
    </row>
    <row r="327" spans="3:4" ht="13.2">
      <c r="C327" s="83"/>
      <c r="D327" s="83"/>
    </row>
    <row r="328" spans="3:4" ht="13.2">
      <c r="C328" s="83"/>
      <c r="D328" s="83"/>
    </row>
    <row r="329" spans="3:4" ht="13.2">
      <c r="C329" s="83"/>
      <c r="D329" s="83"/>
    </row>
    <row r="330" spans="3:4" ht="13.2">
      <c r="C330" s="83"/>
      <c r="D330" s="83"/>
    </row>
    <row r="331" spans="3:4" ht="13.2">
      <c r="C331" s="83"/>
      <c r="D331" s="83"/>
    </row>
    <row r="332" spans="3:4" ht="13.2">
      <c r="C332" s="83"/>
      <c r="D332" s="83"/>
    </row>
    <row r="333" spans="3:4" ht="13.2">
      <c r="C333" s="83"/>
      <c r="D333" s="83"/>
    </row>
    <row r="334" spans="3:4" ht="13.2">
      <c r="C334" s="83"/>
      <c r="D334" s="83"/>
    </row>
    <row r="335" spans="3:4" ht="13.2">
      <c r="C335" s="83"/>
      <c r="D335" s="83"/>
    </row>
    <row r="336" spans="3:4" ht="13.2">
      <c r="C336" s="83"/>
      <c r="D336" s="83"/>
    </row>
    <row r="337" spans="3:4" ht="13.2">
      <c r="C337" s="83"/>
      <c r="D337" s="83"/>
    </row>
    <row r="338" spans="3:4" ht="13.2">
      <c r="C338" s="83"/>
      <c r="D338" s="83"/>
    </row>
    <row r="339" spans="3:4" ht="13.2">
      <c r="C339" s="83"/>
      <c r="D339" s="83"/>
    </row>
    <row r="340" spans="3:4" ht="13.2">
      <c r="C340" s="83"/>
      <c r="D340" s="83"/>
    </row>
    <row r="341" spans="3:4" ht="13.2">
      <c r="C341" s="83"/>
      <c r="D341" s="83"/>
    </row>
    <row r="342" spans="3:4" ht="13.2">
      <c r="C342" s="83"/>
      <c r="D342" s="83"/>
    </row>
    <row r="343" spans="3:4" ht="13.2">
      <c r="C343" s="83"/>
      <c r="D343" s="83"/>
    </row>
    <row r="344" spans="3:4" ht="13.2">
      <c r="C344" s="83"/>
      <c r="D344" s="83"/>
    </row>
    <row r="345" spans="3:4" ht="13.2">
      <c r="C345" s="83"/>
      <c r="D345" s="83"/>
    </row>
    <row r="346" spans="3:4" ht="13.2">
      <c r="C346" s="83"/>
      <c r="D346" s="83"/>
    </row>
    <row r="347" spans="3:4" ht="13.2">
      <c r="C347" s="83"/>
      <c r="D347" s="83"/>
    </row>
    <row r="348" spans="3:4" ht="13.2">
      <c r="C348" s="83"/>
      <c r="D348" s="83"/>
    </row>
    <row r="349" spans="3:4" ht="13.2">
      <c r="C349" s="83"/>
      <c r="D349" s="83"/>
    </row>
    <row r="350" spans="3:4" ht="13.2">
      <c r="C350" s="83"/>
      <c r="D350" s="83"/>
    </row>
    <row r="351" spans="3:4" ht="13.2">
      <c r="C351" s="83"/>
      <c r="D351" s="83"/>
    </row>
    <row r="352" spans="3:4" ht="13.2">
      <c r="C352" s="83"/>
      <c r="D352" s="83"/>
    </row>
    <row r="353" spans="3:4" ht="13.2">
      <c r="C353" s="83"/>
      <c r="D353" s="83"/>
    </row>
    <row r="354" spans="3:4" ht="13.2">
      <c r="C354" s="83"/>
      <c r="D354" s="83"/>
    </row>
    <row r="355" spans="3:4" ht="13.2">
      <c r="C355" s="83"/>
      <c r="D355" s="83"/>
    </row>
    <row r="356" spans="3:4" ht="13.2">
      <c r="C356" s="83"/>
      <c r="D356" s="83"/>
    </row>
    <row r="357" spans="3:4" ht="13.2">
      <c r="C357" s="83"/>
      <c r="D357" s="83"/>
    </row>
    <row r="358" spans="3:4" ht="13.2">
      <c r="C358" s="83"/>
      <c r="D358" s="83"/>
    </row>
    <row r="359" spans="3:4" ht="13.2">
      <c r="C359" s="83"/>
      <c r="D359" s="83"/>
    </row>
    <row r="360" spans="3:4" ht="13.2">
      <c r="C360" s="83"/>
      <c r="D360" s="83"/>
    </row>
    <row r="361" spans="3:4" ht="13.2">
      <c r="C361" s="83"/>
      <c r="D361" s="83"/>
    </row>
    <row r="362" spans="3:4" ht="13.2">
      <c r="C362" s="83"/>
      <c r="D362" s="83"/>
    </row>
    <row r="363" spans="3:4" ht="13.2">
      <c r="C363" s="83"/>
      <c r="D363" s="83"/>
    </row>
    <row r="364" spans="3:4" ht="13.2">
      <c r="C364" s="83"/>
      <c r="D364" s="83"/>
    </row>
    <row r="365" spans="3:4" ht="13.2">
      <c r="C365" s="83"/>
      <c r="D365" s="83"/>
    </row>
    <row r="366" spans="3:4" ht="13.2">
      <c r="C366" s="83"/>
      <c r="D366" s="83"/>
    </row>
    <row r="367" spans="3:4" ht="13.2">
      <c r="C367" s="83"/>
      <c r="D367" s="83"/>
    </row>
    <row r="368" spans="3:4" ht="13.2">
      <c r="C368" s="83"/>
      <c r="D368" s="83"/>
    </row>
    <row r="369" spans="3:4" ht="13.2">
      <c r="C369" s="83"/>
      <c r="D369" s="83"/>
    </row>
    <row r="370" spans="3:4" ht="13.2">
      <c r="C370" s="83"/>
      <c r="D370" s="83"/>
    </row>
    <row r="371" spans="3:4" ht="13.2">
      <c r="C371" s="83"/>
      <c r="D371" s="83"/>
    </row>
    <row r="372" spans="3:4" ht="13.2">
      <c r="C372" s="83"/>
      <c r="D372" s="83"/>
    </row>
    <row r="373" spans="3:4" ht="13.2">
      <c r="C373" s="83"/>
      <c r="D373" s="83"/>
    </row>
    <row r="374" spans="3:4" ht="13.2">
      <c r="C374" s="83"/>
      <c r="D374" s="83"/>
    </row>
    <row r="375" spans="3:4" ht="13.2">
      <c r="C375" s="83"/>
      <c r="D375" s="83"/>
    </row>
    <row r="376" spans="3:4" ht="13.2">
      <c r="C376" s="83"/>
      <c r="D376" s="83"/>
    </row>
    <row r="377" spans="3:4" ht="13.2">
      <c r="C377" s="83"/>
      <c r="D377" s="83"/>
    </row>
    <row r="378" spans="3:4" ht="13.2">
      <c r="C378" s="83"/>
      <c r="D378" s="83"/>
    </row>
    <row r="379" spans="3:4" ht="13.2">
      <c r="C379" s="83"/>
      <c r="D379" s="83"/>
    </row>
    <row r="380" spans="3:4" ht="13.2">
      <c r="C380" s="83"/>
      <c r="D380" s="83"/>
    </row>
    <row r="381" spans="3:4" ht="13.2">
      <c r="C381" s="83"/>
      <c r="D381" s="83"/>
    </row>
    <row r="382" spans="3:4" ht="13.2">
      <c r="C382" s="83"/>
      <c r="D382" s="83"/>
    </row>
    <row r="383" spans="3:4" ht="13.2">
      <c r="C383" s="83"/>
      <c r="D383" s="83"/>
    </row>
    <row r="384" spans="3:4" ht="13.2">
      <c r="C384" s="83"/>
      <c r="D384" s="83"/>
    </row>
    <row r="385" spans="3:4" ht="13.2">
      <c r="C385" s="83"/>
      <c r="D385" s="83"/>
    </row>
    <row r="386" spans="3:4" ht="13.2">
      <c r="C386" s="83"/>
      <c r="D386" s="83"/>
    </row>
    <row r="387" spans="3:4" ht="13.2">
      <c r="C387" s="83"/>
      <c r="D387" s="83"/>
    </row>
    <row r="388" spans="3:4" ht="13.2">
      <c r="C388" s="83"/>
      <c r="D388" s="83"/>
    </row>
    <row r="389" spans="3:4" ht="13.2">
      <c r="C389" s="83"/>
      <c r="D389" s="83"/>
    </row>
    <row r="390" spans="3:4" ht="13.2">
      <c r="C390" s="83"/>
      <c r="D390" s="83"/>
    </row>
    <row r="391" spans="3:4" ht="13.2">
      <c r="C391" s="83"/>
      <c r="D391" s="83"/>
    </row>
    <row r="392" spans="3:4" ht="13.2">
      <c r="C392" s="83"/>
      <c r="D392" s="83"/>
    </row>
    <row r="393" spans="3:4" ht="13.2">
      <c r="C393" s="83"/>
      <c r="D393" s="83"/>
    </row>
    <row r="394" spans="3:4" ht="13.2">
      <c r="C394" s="83"/>
      <c r="D394" s="83"/>
    </row>
    <row r="395" spans="3:4" ht="13.2">
      <c r="C395" s="83"/>
      <c r="D395" s="83"/>
    </row>
    <row r="396" spans="3:4" ht="13.2">
      <c r="C396" s="83"/>
      <c r="D396" s="83"/>
    </row>
    <row r="397" spans="3:4" ht="13.2">
      <c r="C397" s="83"/>
      <c r="D397" s="83"/>
    </row>
    <row r="398" spans="3:4" ht="13.2">
      <c r="C398" s="83"/>
      <c r="D398" s="83"/>
    </row>
    <row r="399" spans="3:4" ht="13.2">
      <c r="C399" s="83"/>
      <c r="D399" s="83"/>
    </row>
    <row r="400" spans="3:4" ht="13.2">
      <c r="C400" s="83"/>
      <c r="D400" s="83"/>
    </row>
    <row r="401" spans="3:4" ht="13.2">
      <c r="C401" s="83"/>
      <c r="D401" s="83"/>
    </row>
    <row r="402" spans="3:4" ht="13.2">
      <c r="C402" s="83"/>
      <c r="D402" s="83"/>
    </row>
    <row r="403" spans="3:4" ht="13.2">
      <c r="C403" s="83"/>
      <c r="D403" s="83"/>
    </row>
    <row r="404" spans="3:4" ht="13.2">
      <c r="C404" s="83"/>
      <c r="D404" s="83"/>
    </row>
    <row r="405" spans="3:4" ht="13.2">
      <c r="C405" s="83"/>
      <c r="D405" s="83"/>
    </row>
    <row r="406" spans="3:4" ht="13.2">
      <c r="C406" s="83"/>
      <c r="D406" s="83"/>
    </row>
    <row r="407" spans="3:4" ht="13.2">
      <c r="C407" s="83"/>
      <c r="D407" s="83"/>
    </row>
    <row r="408" spans="3:4" ht="13.2">
      <c r="C408" s="83"/>
      <c r="D408" s="83"/>
    </row>
    <row r="409" spans="3:4" ht="13.2">
      <c r="C409" s="83"/>
      <c r="D409" s="83"/>
    </row>
    <row r="410" spans="3:4" ht="13.2">
      <c r="C410" s="83"/>
      <c r="D410" s="83"/>
    </row>
    <row r="411" spans="3:4" ht="13.2">
      <c r="C411" s="83"/>
      <c r="D411" s="83"/>
    </row>
    <row r="412" spans="3:4" ht="13.2">
      <c r="C412" s="83"/>
      <c r="D412" s="83"/>
    </row>
    <row r="413" spans="3:4" ht="13.2">
      <c r="C413" s="83"/>
      <c r="D413" s="83"/>
    </row>
    <row r="414" spans="3:4" ht="13.2">
      <c r="C414" s="83"/>
      <c r="D414" s="83"/>
    </row>
    <row r="415" spans="3:4" ht="13.2">
      <c r="C415" s="83"/>
      <c r="D415" s="83"/>
    </row>
    <row r="416" spans="3:4" ht="13.2">
      <c r="C416" s="83"/>
      <c r="D416" s="83"/>
    </row>
    <row r="417" spans="3:4" ht="13.2">
      <c r="C417" s="83"/>
      <c r="D417" s="83"/>
    </row>
    <row r="418" spans="3:4" ht="13.2">
      <c r="C418" s="83"/>
      <c r="D418" s="83"/>
    </row>
    <row r="419" spans="3:4" ht="13.2">
      <c r="C419" s="83"/>
      <c r="D419" s="83"/>
    </row>
    <row r="420" spans="3:4" ht="13.2">
      <c r="C420" s="83"/>
      <c r="D420" s="83"/>
    </row>
    <row r="421" spans="3:4" ht="13.2">
      <c r="C421" s="83"/>
      <c r="D421" s="83"/>
    </row>
    <row r="422" spans="3:4" ht="13.2">
      <c r="C422" s="83"/>
      <c r="D422" s="83"/>
    </row>
    <row r="423" spans="3:4" ht="13.2">
      <c r="C423" s="83"/>
      <c r="D423" s="83"/>
    </row>
    <row r="424" spans="3:4" ht="13.2">
      <c r="C424" s="83"/>
      <c r="D424" s="83"/>
    </row>
    <row r="425" spans="3:4" ht="13.2">
      <c r="C425" s="83"/>
      <c r="D425" s="83"/>
    </row>
    <row r="426" spans="3:4" ht="13.2">
      <c r="C426" s="83"/>
      <c r="D426" s="83"/>
    </row>
    <row r="427" spans="3:4" ht="13.2">
      <c r="C427" s="83"/>
      <c r="D427" s="83"/>
    </row>
    <row r="428" spans="3:4" ht="13.2">
      <c r="C428" s="83"/>
      <c r="D428" s="83"/>
    </row>
    <row r="429" spans="3:4" ht="13.2">
      <c r="C429" s="83"/>
      <c r="D429" s="83"/>
    </row>
    <row r="430" spans="3:4" ht="13.2">
      <c r="C430" s="83"/>
      <c r="D430" s="83"/>
    </row>
    <row r="431" spans="3:4" ht="13.2">
      <c r="C431" s="83"/>
      <c r="D431" s="83"/>
    </row>
    <row r="432" spans="3:4" ht="13.2">
      <c r="C432" s="83"/>
      <c r="D432" s="83"/>
    </row>
    <row r="433" spans="3:4" ht="13.2">
      <c r="C433" s="83"/>
      <c r="D433" s="83"/>
    </row>
    <row r="434" spans="3:4" ht="13.2">
      <c r="C434" s="83"/>
      <c r="D434" s="83"/>
    </row>
    <row r="435" spans="3:4" ht="13.2">
      <c r="C435" s="83"/>
      <c r="D435" s="83"/>
    </row>
    <row r="436" spans="3:4" ht="13.2">
      <c r="C436" s="83"/>
      <c r="D436" s="83"/>
    </row>
    <row r="437" spans="3:4" ht="13.2">
      <c r="C437" s="83"/>
      <c r="D437" s="83"/>
    </row>
    <row r="438" spans="3:4" ht="13.2">
      <c r="C438" s="83"/>
      <c r="D438" s="83"/>
    </row>
    <row r="439" spans="3:4" ht="13.2">
      <c r="C439" s="83"/>
      <c r="D439" s="83"/>
    </row>
    <row r="440" spans="3:4" ht="13.2">
      <c r="C440" s="83"/>
      <c r="D440" s="83"/>
    </row>
    <row r="441" spans="3:4" ht="13.2">
      <c r="C441" s="83"/>
      <c r="D441" s="83"/>
    </row>
    <row r="442" spans="3:4" ht="13.2">
      <c r="C442" s="83"/>
      <c r="D442" s="83"/>
    </row>
    <row r="443" spans="3:4" ht="13.2">
      <c r="C443" s="83"/>
      <c r="D443" s="83"/>
    </row>
    <row r="444" spans="3:4" ht="13.2">
      <c r="C444" s="83"/>
      <c r="D444" s="83"/>
    </row>
    <row r="445" spans="3:4" ht="13.2">
      <c r="C445" s="83"/>
      <c r="D445" s="83"/>
    </row>
    <row r="446" spans="3:4" ht="13.2">
      <c r="C446" s="83"/>
      <c r="D446" s="83"/>
    </row>
    <row r="447" spans="3:4" ht="13.2">
      <c r="C447" s="83"/>
      <c r="D447" s="83"/>
    </row>
    <row r="448" spans="3:4" ht="13.2">
      <c r="C448" s="83"/>
      <c r="D448" s="83"/>
    </row>
    <row r="449" spans="3:4" ht="13.2">
      <c r="C449" s="83"/>
      <c r="D449" s="83"/>
    </row>
    <row r="450" spans="3:4" ht="13.2">
      <c r="C450" s="83"/>
      <c r="D450" s="83"/>
    </row>
    <row r="451" spans="3:4" ht="13.2">
      <c r="C451" s="83"/>
      <c r="D451" s="83"/>
    </row>
    <row r="452" spans="3:4" ht="13.2">
      <c r="C452" s="83"/>
      <c r="D452" s="83"/>
    </row>
    <row r="453" spans="3:4" ht="13.2">
      <c r="C453" s="83"/>
      <c r="D453" s="83"/>
    </row>
    <row r="454" spans="3:4" ht="13.2">
      <c r="C454" s="83"/>
      <c r="D454" s="83"/>
    </row>
    <row r="455" spans="3:4" ht="13.2">
      <c r="C455" s="83"/>
      <c r="D455" s="83"/>
    </row>
    <row r="456" spans="3:4" ht="13.2">
      <c r="C456" s="83"/>
      <c r="D456" s="83"/>
    </row>
    <row r="457" spans="3:4" ht="13.2">
      <c r="C457" s="83"/>
      <c r="D457" s="83"/>
    </row>
    <row r="458" spans="3:4" ht="13.2">
      <c r="C458" s="83"/>
      <c r="D458" s="83"/>
    </row>
    <row r="459" spans="3:4" ht="13.2">
      <c r="C459" s="83"/>
      <c r="D459" s="83"/>
    </row>
    <row r="460" spans="3:4" ht="13.2">
      <c r="C460" s="83"/>
      <c r="D460" s="83"/>
    </row>
    <row r="461" spans="3:4" ht="13.2">
      <c r="C461" s="83"/>
      <c r="D461" s="83"/>
    </row>
    <row r="462" spans="3:4" ht="13.2">
      <c r="C462" s="83"/>
      <c r="D462" s="83"/>
    </row>
    <row r="463" spans="3:4" ht="13.2">
      <c r="C463" s="83"/>
      <c r="D463" s="83"/>
    </row>
    <row r="464" spans="3:4" ht="13.2">
      <c r="C464" s="83"/>
      <c r="D464" s="83"/>
    </row>
    <row r="465" spans="3:4" ht="13.2">
      <c r="C465" s="83"/>
      <c r="D465" s="83"/>
    </row>
    <row r="466" spans="3:4" ht="13.2">
      <c r="C466" s="83"/>
      <c r="D466" s="83"/>
    </row>
    <row r="467" spans="3:4" ht="13.2">
      <c r="C467" s="83"/>
      <c r="D467" s="83"/>
    </row>
    <row r="468" spans="3:4" ht="13.2">
      <c r="C468" s="83"/>
      <c r="D468" s="83"/>
    </row>
    <row r="469" spans="3:4" ht="13.2">
      <c r="C469" s="83"/>
      <c r="D469" s="83"/>
    </row>
    <row r="470" spans="3:4" ht="13.2">
      <c r="C470" s="83"/>
      <c r="D470" s="83"/>
    </row>
    <row r="471" spans="3:4" ht="13.2">
      <c r="C471" s="83"/>
      <c r="D471" s="83"/>
    </row>
    <row r="472" spans="3:4" ht="13.2">
      <c r="C472" s="83"/>
      <c r="D472" s="83"/>
    </row>
    <row r="473" spans="3:4" ht="13.2">
      <c r="C473" s="83"/>
      <c r="D473" s="83"/>
    </row>
    <row r="474" spans="3:4" ht="13.2">
      <c r="C474" s="83"/>
      <c r="D474" s="83"/>
    </row>
    <row r="475" spans="3:4" ht="13.2">
      <c r="C475" s="83"/>
      <c r="D475" s="83"/>
    </row>
    <row r="476" spans="3:4" ht="13.2">
      <c r="C476" s="83"/>
      <c r="D476" s="83"/>
    </row>
    <row r="477" spans="3:4" ht="13.2">
      <c r="C477" s="83"/>
      <c r="D477" s="83"/>
    </row>
    <row r="478" spans="3:4" ht="13.2">
      <c r="C478" s="83"/>
      <c r="D478" s="83"/>
    </row>
    <row r="479" spans="3:4" ht="13.2">
      <c r="C479" s="83"/>
      <c r="D479" s="83"/>
    </row>
    <row r="480" spans="3:4" ht="13.2">
      <c r="C480" s="83"/>
      <c r="D480" s="83"/>
    </row>
    <row r="481" spans="3:4" ht="13.2">
      <c r="C481" s="83"/>
      <c r="D481" s="83"/>
    </row>
    <row r="482" spans="3:4" ht="13.2">
      <c r="C482" s="83"/>
      <c r="D482" s="83"/>
    </row>
    <row r="483" spans="3:4" ht="13.2">
      <c r="C483" s="83"/>
      <c r="D483" s="83"/>
    </row>
    <row r="484" spans="3:4" ht="13.2">
      <c r="C484" s="83"/>
      <c r="D484" s="83"/>
    </row>
    <row r="485" spans="3:4" ht="13.2">
      <c r="C485" s="83"/>
      <c r="D485" s="83"/>
    </row>
    <row r="486" spans="3:4" ht="13.2">
      <c r="C486" s="83"/>
      <c r="D486" s="83"/>
    </row>
    <row r="487" spans="3:4" ht="13.2">
      <c r="C487" s="83"/>
      <c r="D487" s="83"/>
    </row>
    <row r="488" spans="3:4" ht="13.2">
      <c r="C488" s="83"/>
      <c r="D488" s="83"/>
    </row>
    <row r="489" spans="3:4" ht="13.2">
      <c r="C489" s="83"/>
      <c r="D489" s="83"/>
    </row>
    <row r="490" spans="3:4" ht="13.2">
      <c r="C490" s="83"/>
      <c r="D490" s="83"/>
    </row>
    <row r="491" spans="3:4" ht="13.2">
      <c r="C491" s="83"/>
      <c r="D491" s="83"/>
    </row>
    <row r="492" spans="3:4" ht="13.2">
      <c r="C492" s="83"/>
      <c r="D492" s="83"/>
    </row>
    <row r="493" spans="3:4" ht="13.2">
      <c r="C493" s="83"/>
      <c r="D493" s="83"/>
    </row>
    <row r="494" spans="3:4" ht="13.2">
      <c r="C494" s="83"/>
      <c r="D494" s="83"/>
    </row>
    <row r="495" spans="3:4" ht="13.2">
      <c r="C495" s="83"/>
      <c r="D495" s="83"/>
    </row>
    <row r="496" spans="3:4" ht="13.2">
      <c r="C496" s="83"/>
      <c r="D496" s="83"/>
    </row>
    <row r="497" spans="3:4" ht="13.2">
      <c r="C497" s="83"/>
      <c r="D497" s="83"/>
    </row>
    <row r="498" spans="3:4" ht="13.2">
      <c r="C498" s="83"/>
      <c r="D498" s="83"/>
    </row>
    <row r="499" spans="3:4" ht="13.2">
      <c r="C499" s="83"/>
      <c r="D499" s="83"/>
    </row>
    <row r="500" spans="3:4" ht="13.2">
      <c r="C500" s="83"/>
      <c r="D500" s="83"/>
    </row>
    <row r="501" spans="3:4" ht="13.2">
      <c r="C501" s="83"/>
      <c r="D501" s="83"/>
    </row>
    <row r="502" spans="3:4" ht="13.2">
      <c r="C502" s="83"/>
      <c r="D502" s="83"/>
    </row>
    <row r="503" spans="3:4" ht="13.2">
      <c r="C503" s="83"/>
      <c r="D503" s="83"/>
    </row>
    <row r="504" spans="3:4" ht="13.2">
      <c r="C504" s="83"/>
      <c r="D504" s="83"/>
    </row>
    <row r="505" spans="3:4" ht="13.2">
      <c r="C505" s="83"/>
      <c r="D505" s="83"/>
    </row>
    <row r="506" spans="3:4" ht="13.2">
      <c r="C506" s="83"/>
      <c r="D506" s="83"/>
    </row>
    <row r="507" spans="3:4" ht="13.2">
      <c r="C507" s="83"/>
      <c r="D507" s="83"/>
    </row>
    <row r="508" spans="3:4" ht="13.2">
      <c r="C508" s="83"/>
      <c r="D508" s="83"/>
    </row>
    <row r="509" spans="3:4" ht="13.2">
      <c r="C509" s="83"/>
      <c r="D509" s="83"/>
    </row>
    <row r="510" spans="3:4" ht="13.2">
      <c r="C510" s="83"/>
      <c r="D510" s="83"/>
    </row>
    <row r="511" spans="3:4" ht="13.2">
      <c r="C511" s="83"/>
      <c r="D511" s="83"/>
    </row>
    <row r="512" spans="3:4" ht="13.2">
      <c r="C512" s="83"/>
      <c r="D512" s="83"/>
    </row>
    <row r="513" spans="3:4" ht="13.2">
      <c r="C513" s="83"/>
      <c r="D513" s="83"/>
    </row>
    <row r="514" spans="3:4" ht="13.2">
      <c r="C514" s="83"/>
      <c r="D514" s="83"/>
    </row>
    <row r="515" spans="3:4" ht="13.2">
      <c r="C515" s="83"/>
      <c r="D515" s="83"/>
    </row>
    <row r="516" spans="3:4" ht="13.2">
      <c r="C516" s="83"/>
      <c r="D516" s="83"/>
    </row>
    <row r="517" spans="3:4" ht="13.2">
      <c r="C517" s="83"/>
      <c r="D517" s="83"/>
    </row>
    <row r="518" spans="3:4" ht="13.2">
      <c r="C518" s="83"/>
      <c r="D518" s="83"/>
    </row>
    <row r="519" spans="3:4" ht="13.2">
      <c r="C519" s="83"/>
      <c r="D519" s="83"/>
    </row>
    <row r="520" spans="3:4" ht="13.2">
      <c r="C520" s="83"/>
      <c r="D520" s="83"/>
    </row>
    <row r="521" spans="3:4" ht="13.2">
      <c r="C521" s="83"/>
      <c r="D521" s="83"/>
    </row>
    <row r="522" spans="3:4" ht="13.2">
      <c r="C522" s="83"/>
      <c r="D522" s="83"/>
    </row>
    <row r="523" spans="3:4" ht="13.2">
      <c r="C523" s="83"/>
      <c r="D523" s="83"/>
    </row>
    <row r="524" spans="3:4" ht="13.2">
      <c r="C524" s="83"/>
      <c r="D524" s="83"/>
    </row>
    <row r="525" spans="3:4" ht="13.2">
      <c r="C525" s="83"/>
      <c r="D525" s="83"/>
    </row>
    <row r="526" spans="3:4" ht="13.2">
      <c r="C526" s="83"/>
      <c r="D526" s="83"/>
    </row>
    <row r="527" spans="3:4" ht="13.2">
      <c r="C527" s="83"/>
      <c r="D527" s="83"/>
    </row>
    <row r="528" spans="3:4" ht="13.2">
      <c r="C528" s="83"/>
      <c r="D528" s="83"/>
    </row>
    <row r="529" spans="3:4" ht="13.2">
      <c r="C529" s="83"/>
      <c r="D529" s="83"/>
    </row>
    <row r="530" spans="3:4" ht="13.2">
      <c r="C530" s="83"/>
      <c r="D530" s="83"/>
    </row>
    <row r="531" spans="3:4" ht="13.2">
      <c r="C531" s="83"/>
      <c r="D531" s="83"/>
    </row>
    <row r="532" spans="3:4" ht="13.2">
      <c r="C532" s="83"/>
      <c r="D532" s="83"/>
    </row>
    <row r="533" spans="3:4" ht="13.2">
      <c r="C533" s="83"/>
      <c r="D533" s="83"/>
    </row>
    <row r="534" spans="3:4" ht="13.2">
      <c r="C534" s="83"/>
      <c r="D534" s="83"/>
    </row>
    <row r="535" spans="3:4" ht="13.2">
      <c r="C535" s="83"/>
      <c r="D535" s="83"/>
    </row>
    <row r="536" spans="3:4" ht="13.2">
      <c r="C536" s="83"/>
      <c r="D536" s="83"/>
    </row>
    <row r="537" spans="3:4" ht="13.2">
      <c r="C537" s="83"/>
      <c r="D537" s="83"/>
    </row>
    <row r="538" spans="3:4" ht="13.2">
      <c r="C538" s="83"/>
      <c r="D538" s="83"/>
    </row>
    <row r="539" spans="3:4" ht="13.2">
      <c r="C539" s="83"/>
      <c r="D539" s="83"/>
    </row>
    <row r="540" spans="3:4" ht="13.2">
      <c r="C540" s="83"/>
      <c r="D540" s="83"/>
    </row>
    <row r="541" spans="3:4" ht="13.2">
      <c r="C541" s="83"/>
      <c r="D541" s="83"/>
    </row>
    <row r="542" spans="3:4" ht="13.2">
      <c r="C542" s="83"/>
      <c r="D542" s="83"/>
    </row>
    <row r="543" spans="3:4" ht="13.2">
      <c r="C543" s="83"/>
      <c r="D543" s="83"/>
    </row>
    <row r="544" spans="3:4" ht="13.2">
      <c r="C544" s="83"/>
      <c r="D544" s="83"/>
    </row>
    <row r="545" spans="3:4" ht="13.2">
      <c r="C545" s="83"/>
      <c r="D545" s="83"/>
    </row>
    <row r="546" spans="3:4" ht="13.2">
      <c r="C546" s="83"/>
      <c r="D546" s="83"/>
    </row>
    <row r="547" spans="3:4" ht="13.2">
      <c r="C547" s="83"/>
      <c r="D547" s="83"/>
    </row>
    <row r="548" spans="3:4" ht="13.2">
      <c r="C548" s="83"/>
      <c r="D548" s="83"/>
    </row>
    <row r="549" spans="3:4" ht="13.2">
      <c r="C549" s="83"/>
      <c r="D549" s="83"/>
    </row>
    <row r="550" spans="3:4" ht="13.2">
      <c r="C550" s="83"/>
      <c r="D550" s="83"/>
    </row>
    <row r="551" spans="3:4" ht="13.2">
      <c r="C551" s="83"/>
      <c r="D551" s="83"/>
    </row>
    <row r="552" spans="3:4" ht="13.2">
      <c r="C552" s="83"/>
      <c r="D552" s="83"/>
    </row>
    <row r="553" spans="3:4" ht="13.2">
      <c r="C553" s="83"/>
      <c r="D553" s="83"/>
    </row>
    <row r="554" spans="3:4" ht="13.2">
      <c r="C554" s="83"/>
      <c r="D554" s="83"/>
    </row>
    <row r="555" spans="3:4" ht="13.2">
      <c r="C555" s="83"/>
      <c r="D555" s="83"/>
    </row>
    <row r="556" spans="3:4" ht="13.2">
      <c r="C556" s="83"/>
      <c r="D556" s="83"/>
    </row>
    <row r="557" spans="3:4" ht="13.2">
      <c r="C557" s="83"/>
      <c r="D557" s="83"/>
    </row>
    <row r="558" spans="3:4" ht="13.2">
      <c r="C558" s="83"/>
      <c r="D558" s="83"/>
    </row>
    <row r="559" spans="3:4" ht="13.2">
      <c r="C559" s="83"/>
      <c r="D559" s="83"/>
    </row>
    <row r="560" spans="3:4" ht="13.2">
      <c r="C560" s="83"/>
      <c r="D560" s="83"/>
    </row>
    <row r="561" spans="3:4" ht="13.2">
      <c r="C561" s="83"/>
      <c r="D561" s="83"/>
    </row>
    <row r="562" spans="3:4" ht="13.2">
      <c r="C562" s="83"/>
      <c r="D562" s="83"/>
    </row>
    <row r="563" spans="3:4" ht="13.2">
      <c r="C563" s="83"/>
      <c r="D563" s="83"/>
    </row>
    <row r="564" spans="3:4" ht="13.2">
      <c r="C564" s="83"/>
      <c r="D564" s="83"/>
    </row>
    <row r="565" spans="3:4" ht="13.2">
      <c r="C565" s="83"/>
      <c r="D565" s="83"/>
    </row>
    <row r="566" spans="3:4" ht="13.2">
      <c r="C566" s="83"/>
      <c r="D566" s="83"/>
    </row>
    <row r="567" spans="3:4" ht="13.2">
      <c r="C567" s="83"/>
      <c r="D567" s="83"/>
    </row>
    <row r="568" spans="3:4" ht="13.2">
      <c r="C568" s="83"/>
      <c r="D568" s="83"/>
    </row>
    <row r="569" spans="3:4" ht="13.2">
      <c r="C569" s="83"/>
      <c r="D569" s="83"/>
    </row>
    <row r="570" spans="3:4" ht="13.2">
      <c r="C570" s="83"/>
      <c r="D570" s="83"/>
    </row>
    <row r="571" spans="3:4" ht="13.2">
      <c r="C571" s="83"/>
      <c r="D571" s="83"/>
    </row>
    <row r="572" spans="3:4" ht="13.2">
      <c r="C572" s="83"/>
      <c r="D572" s="83"/>
    </row>
    <row r="573" spans="3:4" ht="13.2">
      <c r="C573" s="83"/>
      <c r="D573" s="83"/>
    </row>
    <row r="574" spans="3:4" ht="13.2">
      <c r="C574" s="83"/>
      <c r="D574" s="83"/>
    </row>
    <row r="575" spans="3:4" ht="13.2">
      <c r="C575" s="83"/>
      <c r="D575" s="83"/>
    </row>
    <row r="576" spans="3:4" ht="13.2">
      <c r="C576" s="83"/>
      <c r="D576" s="83"/>
    </row>
    <row r="577" spans="3:4" ht="13.2">
      <c r="C577" s="83"/>
      <c r="D577" s="83"/>
    </row>
    <row r="578" spans="3:4" ht="13.2">
      <c r="C578" s="83"/>
      <c r="D578" s="83"/>
    </row>
    <row r="579" spans="3:4" ht="13.2">
      <c r="C579" s="83"/>
      <c r="D579" s="83"/>
    </row>
    <row r="580" spans="3:4" ht="13.2">
      <c r="C580" s="83"/>
      <c r="D580" s="83"/>
    </row>
    <row r="581" spans="3:4" ht="13.2">
      <c r="C581" s="83"/>
      <c r="D581" s="83"/>
    </row>
    <row r="582" spans="3:4" ht="13.2">
      <c r="C582" s="83"/>
      <c r="D582" s="83"/>
    </row>
    <row r="583" spans="3:4" ht="13.2">
      <c r="C583" s="83"/>
      <c r="D583" s="83"/>
    </row>
    <row r="584" spans="3:4" ht="13.2">
      <c r="C584" s="83"/>
      <c r="D584" s="83"/>
    </row>
    <row r="585" spans="3:4" ht="13.2">
      <c r="C585" s="83"/>
      <c r="D585" s="83"/>
    </row>
    <row r="586" spans="3:4" ht="13.2">
      <c r="C586" s="83"/>
      <c r="D586" s="83"/>
    </row>
    <row r="587" spans="3:4" ht="13.2">
      <c r="C587" s="83"/>
      <c r="D587" s="83"/>
    </row>
    <row r="588" spans="3:4" ht="13.2">
      <c r="C588" s="83"/>
      <c r="D588" s="83"/>
    </row>
    <row r="589" spans="3:4" ht="13.2">
      <c r="C589" s="83"/>
      <c r="D589" s="83"/>
    </row>
    <row r="590" spans="3:4" ht="13.2">
      <c r="C590" s="83"/>
      <c r="D590" s="83"/>
    </row>
    <row r="591" spans="3:4" ht="13.2">
      <c r="C591" s="83"/>
      <c r="D591" s="83"/>
    </row>
    <row r="592" spans="3:4" ht="13.2">
      <c r="C592" s="83"/>
      <c r="D592" s="83"/>
    </row>
    <row r="593" spans="3:4" ht="13.2">
      <c r="C593" s="83"/>
      <c r="D593" s="83"/>
    </row>
    <row r="594" spans="3:4" ht="13.2">
      <c r="C594" s="83"/>
      <c r="D594" s="83"/>
    </row>
    <row r="595" spans="3:4" ht="13.2">
      <c r="C595" s="83"/>
      <c r="D595" s="83"/>
    </row>
    <row r="596" spans="3:4" ht="13.2">
      <c r="C596" s="83"/>
      <c r="D596" s="83"/>
    </row>
    <row r="597" spans="3:4" ht="13.2">
      <c r="C597" s="83"/>
      <c r="D597" s="83"/>
    </row>
    <row r="598" spans="3:4" ht="13.2">
      <c r="C598" s="83"/>
      <c r="D598" s="83"/>
    </row>
    <row r="599" spans="3:4" ht="13.2">
      <c r="C599" s="83"/>
      <c r="D599" s="83"/>
    </row>
    <row r="600" spans="3:4" ht="13.2">
      <c r="C600" s="83"/>
      <c r="D600" s="83"/>
    </row>
    <row r="601" spans="3:4" ht="13.2">
      <c r="C601" s="83"/>
      <c r="D601" s="83"/>
    </row>
    <row r="602" spans="3:4" ht="13.2">
      <c r="C602" s="83"/>
      <c r="D602" s="83"/>
    </row>
    <row r="603" spans="3:4" ht="13.2">
      <c r="C603" s="83"/>
      <c r="D603" s="83"/>
    </row>
    <row r="604" spans="3:4" ht="13.2">
      <c r="C604" s="83"/>
      <c r="D604" s="83"/>
    </row>
    <row r="605" spans="3:4" ht="13.2">
      <c r="C605" s="83"/>
      <c r="D605" s="83"/>
    </row>
    <row r="606" spans="3:4" ht="13.2">
      <c r="C606" s="83"/>
      <c r="D606" s="83"/>
    </row>
    <row r="607" spans="3:4" ht="13.2">
      <c r="C607" s="83"/>
      <c r="D607" s="83"/>
    </row>
    <row r="608" spans="3:4" ht="13.2">
      <c r="C608" s="83"/>
      <c r="D608" s="83"/>
    </row>
    <row r="609" spans="3:4" ht="13.2">
      <c r="C609" s="83"/>
      <c r="D609" s="83"/>
    </row>
    <row r="610" spans="3:4" ht="13.2">
      <c r="C610" s="83"/>
      <c r="D610" s="83"/>
    </row>
    <row r="611" spans="3:4" ht="13.2">
      <c r="C611" s="83"/>
      <c r="D611" s="83"/>
    </row>
    <row r="612" spans="3:4" ht="13.2">
      <c r="C612" s="83"/>
      <c r="D612" s="83"/>
    </row>
    <row r="613" spans="3:4" ht="13.2">
      <c r="C613" s="83"/>
      <c r="D613" s="83"/>
    </row>
    <row r="614" spans="3:4" ht="13.2">
      <c r="C614" s="83"/>
      <c r="D614" s="83"/>
    </row>
    <row r="615" spans="3:4" ht="13.2">
      <c r="C615" s="83"/>
      <c r="D615" s="83"/>
    </row>
    <row r="616" spans="3:4" ht="13.2">
      <c r="C616" s="83"/>
      <c r="D616" s="83"/>
    </row>
    <row r="617" spans="3:4" ht="13.2">
      <c r="C617" s="83"/>
      <c r="D617" s="83"/>
    </row>
    <row r="618" spans="3:4" ht="13.2">
      <c r="C618" s="83"/>
      <c r="D618" s="83"/>
    </row>
    <row r="619" spans="3:4" ht="13.2">
      <c r="C619" s="83"/>
      <c r="D619" s="83"/>
    </row>
    <row r="620" spans="3:4" ht="13.2">
      <c r="C620" s="83"/>
      <c r="D620" s="83"/>
    </row>
    <row r="621" spans="3:4" ht="13.2">
      <c r="C621" s="83"/>
      <c r="D621" s="83"/>
    </row>
    <row r="622" spans="3:4" ht="13.2">
      <c r="C622" s="83"/>
      <c r="D622" s="83"/>
    </row>
    <row r="623" spans="3:4" ht="13.2">
      <c r="C623" s="83"/>
      <c r="D623" s="83"/>
    </row>
    <row r="624" spans="3:4" ht="13.2">
      <c r="C624" s="83"/>
      <c r="D624" s="83"/>
    </row>
    <row r="625" spans="3:4" ht="13.2">
      <c r="C625" s="83"/>
      <c r="D625" s="83"/>
    </row>
    <row r="626" spans="3:4" ht="13.2">
      <c r="C626" s="83"/>
      <c r="D626" s="83"/>
    </row>
    <row r="627" spans="3:4" ht="13.2">
      <c r="C627" s="83"/>
      <c r="D627" s="83"/>
    </row>
    <row r="628" spans="3:4" ht="13.2">
      <c r="C628" s="83"/>
      <c r="D628" s="83"/>
    </row>
    <row r="629" spans="3:4" ht="13.2">
      <c r="C629" s="83"/>
      <c r="D629" s="83"/>
    </row>
    <row r="630" spans="3:4" ht="13.2">
      <c r="C630" s="83"/>
      <c r="D630" s="83"/>
    </row>
    <row r="631" spans="3:4" ht="13.2">
      <c r="C631" s="83"/>
      <c r="D631" s="83"/>
    </row>
    <row r="632" spans="3:4" ht="13.2">
      <c r="C632" s="83"/>
      <c r="D632" s="83"/>
    </row>
    <row r="633" spans="3:4" ht="13.2">
      <c r="C633" s="83"/>
      <c r="D633" s="83"/>
    </row>
    <row r="634" spans="3:4" ht="13.2">
      <c r="C634" s="83"/>
      <c r="D634" s="83"/>
    </row>
    <row r="635" spans="3:4" ht="13.2">
      <c r="C635" s="83"/>
      <c r="D635" s="83"/>
    </row>
    <row r="636" spans="3:4" ht="13.2">
      <c r="C636" s="83"/>
      <c r="D636" s="83"/>
    </row>
    <row r="637" spans="3:4" ht="13.2">
      <c r="C637" s="83"/>
      <c r="D637" s="83"/>
    </row>
    <row r="638" spans="3:4" ht="13.2">
      <c r="C638" s="83"/>
      <c r="D638" s="83"/>
    </row>
    <row r="639" spans="3:4" ht="13.2">
      <c r="C639" s="83"/>
      <c r="D639" s="83"/>
    </row>
    <row r="640" spans="3:4" ht="13.2">
      <c r="C640" s="83"/>
      <c r="D640" s="83"/>
    </row>
    <row r="641" spans="3:4" ht="13.2">
      <c r="C641" s="83"/>
      <c r="D641" s="83"/>
    </row>
    <row r="642" spans="3:4" ht="13.2">
      <c r="C642" s="83"/>
      <c r="D642" s="83"/>
    </row>
    <row r="643" spans="3:4" ht="13.2">
      <c r="C643" s="83"/>
      <c r="D643" s="83"/>
    </row>
    <row r="644" spans="3:4" ht="13.2">
      <c r="C644" s="83"/>
      <c r="D644" s="83"/>
    </row>
    <row r="645" spans="3:4" ht="13.2">
      <c r="C645" s="83"/>
      <c r="D645" s="83"/>
    </row>
    <row r="646" spans="3:4" ht="13.2">
      <c r="C646" s="83"/>
      <c r="D646" s="83"/>
    </row>
    <row r="647" spans="3:4" ht="13.2">
      <c r="C647" s="83"/>
      <c r="D647" s="83"/>
    </row>
    <row r="648" spans="3:4" ht="13.2">
      <c r="C648" s="83"/>
      <c r="D648" s="83"/>
    </row>
    <row r="649" spans="3:4" ht="13.2">
      <c r="C649" s="83"/>
      <c r="D649" s="83"/>
    </row>
    <row r="650" spans="3:4" ht="13.2">
      <c r="C650" s="83"/>
      <c r="D650" s="83"/>
    </row>
    <row r="651" spans="3:4" ht="13.2">
      <c r="C651" s="83"/>
      <c r="D651" s="83"/>
    </row>
    <row r="652" spans="3:4" ht="13.2">
      <c r="C652" s="83"/>
      <c r="D652" s="83"/>
    </row>
    <row r="653" spans="3:4" ht="13.2">
      <c r="C653" s="83"/>
      <c r="D653" s="83"/>
    </row>
    <row r="654" spans="3:4" ht="13.2">
      <c r="C654" s="83"/>
      <c r="D654" s="83"/>
    </row>
    <row r="655" spans="3:4" ht="13.2">
      <c r="C655" s="83"/>
      <c r="D655" s="83"/>
    </row>
    <row r="656" spans="3:4" ht="13.2">
      <c r="C656" s="83"/>
      <c r="D656" s="83"/>
    </row>
    <row r="657" spans="3:4" ht="13.2">
      <c r="C657" s="83"/>
      <c r="D657" s="83"/>
    </row>
    <row r="658" spans="3:4" ht="13.2">
      <c r="C658" s="83"/>
      <c r="D658" s="83"/>
    </row>
    <row r="659" spans="3:4" ht="13.2">
      <c r="C659" s="83"/>
      <c r="D659" s="83"/>
    </row>
    <row r="660" spans="3:4" ht="13.2">
      <c r="C660" s="83"/>
      <c r="D660" s="83"/>
    </row>
    <row r="661" spans="3:4" ht="13.2">
      <c r="C661" s="83"/>
      <c r="D661" s="83"/>
    </row>
    <row r="662" spans="3:4" ht="13.2">
      <c r="C662" s="83"/>
      <c r="D662" s="83"/>
    </row>
    <row r="663" spans="3:4" ht="13.2">
      <c r="C663" s="83"/>
      <c r="D663" s="83"/>
    </row>
    <row r="664" spans="3:4" ht="13.2">
      <c r="C664" s="83"/>
      <c r="D664" s="83"/>
    </row>
    <row r="665" spans="3:4" ht="13.2">
      <c r="C665" s="83"/>
      <c r="D665" s="83"/>
    </row>
    <row r="666" spans="3:4" ht="13.2">
      <c r="C666" s="83"/>
      <c r="D666" s="83"/>
    </row>
    <row r="667" spans="3:4" ht="13.2">
      <c r="C667" s="83"/>
      <c r="D667" s="83"/>
    </row>
    <row r="668" spans="3:4" ht="13.2">
      <c r="C668" s="83"/>
      <c r="D668" s="83"/>
    </row>
    <row r="669" spans="3:4" ht="13.2">
      <c r="C669" s="83"/>
      <c r="D669" s="83"/>
    </row>
    <row r="670" spans="3:4" ht="13.2">
      <c r="C670" s="83"/>
      <c r="D670" s="83"/>
    </row>
    <row r="671" spans="3:4" ht="13.2">
      <c r="C671" s="83"/>
      <c r="D671" s="83"/>
    </row>
    <row r="672" spans="3:4" ht="13.2">
      <c r="C672" s="83"/>
      <c r="D672" s="83"/>
    </row>
    <row r="673" spans="3:4" ht="13.2">
      <c r="C673" s="83"/>
      <c r="D673" s="83"/>
    </row>
    <row r="674" spans="3:4" ht="13.2">
      <c r="C674" s="83"/>
      <c r="D674" s="83"/>
    </row>
    <row r="675" spans="3:4" ht="13.2">
      <c r="C675" s="83"/>
      <c r="D675" s="83"/>
    </row>
    <row r="676" spans="3:4" ht="13.2">
      <c r="C676" s="83"/>
      <c r="D676" s="83"/>
    </row>
    <row r="677" spans="3:4" ht="13.2">
      <c r="C677" s="83"/>
      <c r="D677" s="83"/>
    </row>
    <row r="678" spans="3:4" ht="13.2">
      <c r="C678" s="83"/>
      <c r="D678" s="83"/>
    </row>
    <row r="679" spans="3:4" ht="13.2">
      <c r="C679" s="83"/>
      <c r="D679" s="83"/>
    </row>
    <row r="680" spans="3:4" ht="13.2">
      <c r="C680" s="83"/>
      <c r="D680" s="83"/>
    </row>
    <row r="681" spans="3:4" ht="13.2">
      <c r="C681" s="83"/>
      <c r="D681" s="83"/>
    </row>
    <row r="682" spans="3:4" ht="13.2">
      <c r="C682" s="83"/>
      <c r="D682" s="83"/>
    </row>
    <row r="683" spans="3:4" ht="13.2">
      <c r="C683" s="83"/>
      <c r="D683" s="83"/>
    </row>
    <row r="684" spans="3:4" ht="13.2">
      <c r="C684" s="83"/>
      <c r="D684" s="83"/>
    </row>
    <row r="685" spans="3:4" ht="13.2">
      <c r="C685" s="83"/>
      <c r="D685" s="83"/>
    </row>
    <row r="686" spans="3:4" ht="13.2">
      <c r="C686" s="83"/>
      <c r="D686" s="83"/>
    </row>
    <row r="687" spans="3:4" ht="13.2">
      <c r="C687" s="83"/>
      <c r="D687" s="83"/>
    </row>
    <row r="688" spans="3:4" ht="13.2">
      <c r="C688" s="83"/>
      <c r="D688" s="83"/>
    </row>
    <row r="689" spans="3:4" ht="13.2">
      <c r="C689" s="83"/>
      <c r="D689" s="83"/>
    </row>
    <row r="690" spans="3:4" ht="13.2">
      <c r="C690" s="83"/>
      <c r="D690" s="83"/>
    </row>
    <row r="691" spans="3:4" ht="13.2">
      <c r="C691" s="83"/>
      <c r="D691" s="83"/>
    </row>
    <row r="692" spans="3:4" ht="13.2">
      <c r="C692" s="83"/>
      <c r="D692" s="83"/>
    </row>
    <row r="693" spans="3:4" ht="13.2">
      <c r="C693" s="83"/>
      <c r="D693" s="83"/>
    </row>
    <row r="694" spans="3:4" ht="13.2">
      <c r="C694" s="83"/>
      <c r="D694" s="83"/>
    </row>
    <row r="695" spans="3:4" ht="13.2">
      <c r="C695" s="83"/>
      <c r="D695" s="83"/>
    </row>
    <row r="696" spans="3:4" ht="13.2">
      <c r="C696" s="83"/>
      <c r="D696" s="83"/>
    </row>
    <row r="697" spans="3:4" ht="13.2">
      <c r="C697" s="83"/>
      <c r="D697" s="83"/>
    </row>
    <row r="698" spans="3:4" ht="13.2">
      <c r="C698" s="83"/>
      <c r="D698" s="83"/>
    </row>
    <row r="699" spans="3:4" ht="13.2">
      <c r="C699" s="83"/>
      <c r="D699" s="83"/>
    </row>
    <row r="700" spans="3:4" ht="13.2">
      <c r="C700" s="83"/>
      <c r="D700" s="83"/>
    </row>
    <row r="701" spans="3:4" ht="13.2">
      <c r="C701" s="83"/>
      <c r="D701" s="83"/>
    </row>
    <row r="702" spans="3:4" ht="13.2">
      <c r="C702" s="83"/>
      <c r="D702" s="83"/>
    </row>
    <row r="703" spans="3:4" ht="13.2">
      <c r="C703" s="83"/>
      <c r="D703" s="83"/>
    </row>
    <row r="704" spans="3:4" ht="13.2">
      <c r="C704" s="83"/>
      <c r="D704" s="83"/>
    </row>
    <row r="705" spans="3:4" ht="13.2">
      <c r="C705" s="83"/>
      <c r="D705" s="83"/>
    </row>
    <row r="706" spans="3:4" ht="13.2">
      <c r="C706" s="83"/>
      <c r="D706" s="83"/>
    </row>
    <row r="707" spans="3:4" ht="13.2">
      <c r="C707" s="83"/>
      <c r="D707" s="83"/>
    </row>
    <row r="708" spans="3:4" ht="13.2">
      <c r="C708" s="83"/>
      <c r="D708" s="83"/>
    </row>
    <row r="709" spans="3:4" ht="13.2">
      <c r="C709" s="83"/>
      <c r="D709" s="83"/>
    </row>
    <row r="710" spans="3:4" ht="13.2">
      <c r="C710" s="83"/>
      <c r="D710" s="83"/>
    </row>
    <row r="711" spans="3:4" ht="13.2">
      <c r="C711" s="83"/>
      <c r="D711" s="83"/>
    </row>
    <row r="712" spans="3:4" ht="13.2">
      <c r="C712" s="83"/>
      <c r="D712" s="83"/>
    </row>
    <row r="713" spans="3:4" ht="13.2">
      <c r="C713" s="83"/>
      <c r="D713" s="83"/>
    </row>
    <row r="714" spans="3:4" ht="13.2">
      <c r="C714" s="83"/>
      <c r="D714" s="83"/>
    </row>
    <row r="715" spans="3:4" ht="13.2">
      <c r="C715" s="83"/>
      <c r="D715" s="83"/>
    </row>
    <row r="716" spans="3:4" ht="13.2">
      <c r="C716" s="83"/>
      <c r="D716" s="83"/>
    </row>
    <row r="717" spans="3:4" ht="13.2">
      <c r="C717" s="83"/>
      <c r="D717" s="83"/>
    </row>
    <row r="718" spans="3:4" ht="13.2">
      <c r="C718" s="83"/>
      <c r="D718" s="83"/>
    </row>
    <row r="719" spans="3:4" ht="13.2">
      <c r="C719" s="83"/>
      <c r="D719" s="83"/>
    </row>
    <row r="720" spans="3:4" ht="13.2">
      <c r="C720" s="83"/>
      <c r="D720" s="83"/>
    </row>
    <row r="721" spans="3:4" ht="13.2">
      <c r="C721" s="83"/>
      <c r="D721" s="83"/>
    </row>
    <row r="722" spans="3:4" ht="13.2">
      <c r="C722" s="83"/>
      <c r="D722" s="83"/>
    </row>
    <row r="723" spans="3:4" ht="13.2">
      <c r="C723" s="83"/>
      <c r="D723" s="83"/>
    </row>
    <row r="724" spans="3:4" ht="13.2">
      <c r="C724" s="83"/>
      <c r="D724" s="83"/>
    </row>
    <row r="725" spans="3:4" ht="13.2">
      <c r="C725" s="83"/>
      <c r="D725" s="83"/>
    </row>
    <row r="726" spans="3:4" ht="13.2">
      <c r="C726" s="83"/>
      <c r="D726" s="83"/>
    </row>
    <row r="727" spans="3:4" ht="13.2">
      <c r="C727" s="83"/>
      <c r="D727" s="83"/>
    </row>
    <row r="728" spans="3:4" ht="13.2">
      <c r="C728" s="83"/>
      <c r="D728" s="83"/>
    </row>
    <row r="729" spans="3:4" ht="13.2">
      <c r="C729" s="83"/>
      <c r="D729" s="83"/>
    </row>
    <row r="730" spans="3:4" ht="13.2">
      <c r="C730" s="83"/>
      <c r="D730" s="83"/>
    </row>
    <row r="731" spans="3:4" ht="13.2">
      <c r="C731" s="83"/>
      <c r="D731" s="83"/>
    </row>
    <row r="732" spans="3:4" ht="13.2">
      <c r="C732" s="83"/>
      <c r="D732" s="83"/>
    </row>
    <row r="733" spans="3:4" ht="13.2">
      <c r="C733" s="83"/>
      <c r="D733" s="83"/>
    </row>
    <row r="734" spans="3:4" ht="13.2">
      <c r="C734" s="83"/>
      <c r="D734" s="83"/>
    </row>
    <row r="735" spans="3:4" ht="13.2">
      <c r="C735" s="83"/>
      <c r="D735" s="83"/>
    </row>
    <row r="736" spans="3:4" ht="13.2">
      <c r="C736" s="83"/>
      <c r="D736" s="83"/>
    </row>
    <row r="737" spans="3:4" ht="13.2">
      <c r="C737" s="83"/>
      <c r="D737" s="83"/>
    </row>
    <row r="738" spans="3:4" ht="13.2">
      <c r="C738" s="83"/>
      <c r="D738" s="83"/>
    </row>
    <row r="739" spans="3:4" ht="13.2">
      <c r="C739" s="83"/>
      <c r="D739" s="83"/>
    </row>
    <row r="740" spans="3:4" ht="13.2">
      <c r="C740" s="83"/>
      <c r="D740" s="83"/>
    </row>
    <row r="741" spans="3:4" ht="13.2">
      <c r="C741" s="83"/>
      <c r="D741" s="83"/>
    </row>
    <row r="742" spans="3:4" ht="13.2">
      <c r="C742" s="83"/>
      <c r="D742" s="83"/>
    </row>
    <row r="743" spans="3:4" ht="13.2">
      <c r="C743" s="83"/>
      <c r="D743" s="83"/>
    </row>
    <row r="744" spans="3:4" ht="13.2">
      <c r="C744" s="83"/>
      <c r="D744" s="83"/>
    </row>
    <row r="745" spans="3:4" ht="13.2">
      <c r="C745" s="83"/>
      <c r="D745" s="83"/>
    </row>
    <row r="746" spans="3:4" ht="13.2">
      <c r="C746" s="83"/>
      <c r="D746" s="83"/>
    </row>
    <row r="747" spans="3:4" ht="13.2">
      <c r="C747" s="83"/>
      <c r="D747" s="83"/>
    </row>
    <row r="748" spans="3:4" ht="13.2">
      <c r="C748" s="83"/>
      <c r="D748" s="83"/>
    </row>
    <row r="749" spans="3:4" ht="13.2">
      <c r="C749" s="83"/>
      <c r="D749" s="83"/>
    </row>
    <row r="750" spans="3:4" ht="13.2">
      <c r="C750" s="83"/>
      <c r="D750" s="83"/>
    </row>
    <row r="751" spans="3:4" ht="13.2">
      <c r="C751" s="83"/>
      <c r="D751" s="83"/>
    </row>
    <row r="752" spans="3:4" ht="13.2">
      <c r="C752" s="83"/>
      <c r="D752" s="83"/>
    </row>
    <row r="753" spans="3:4" ht="13.2">
      <c r="C753" s="83"/>
      <c r="D753" s="83"/>
    </row>
    <row r="754" spans="3:4" ht="13.2">
      <c r="C754" s="83"/>
      <c r="D754" s="83"/>
    </row>
    <row r="755" spans="3:4" ht="13.2">
      <c r="C755" s="83"/>
      <c r="D755" s="83"/>
    </row>
    <row r="756" spans="3:4" ht="13.2">
      <c r="C756" s="83"/>
      <c r="D756" s="83"/>
    </row>
    <row r="757" spans="3:4" ht="13.2">
      <c r="C757" s="83"/>
      <c r="D757" s="83"/>
    </row>
    <row r="758" spans="3:4" ht="13.2">
      <c r="C758" s="83"/>
      <c r="D758" s="83"/>
    </row>
    <row r="759" spans="3:4" ht="13.2">
      <c r="C759" s="83"/>
      <c r="D759" s="83"/>
    </row>
    <row r="760" spans="3:4" ht="13.2">
      <c r="C760" s="83"/>
      <c r="D760" s="83"/>
    </row>
    <row r="761" spans="3:4" ht="13.2">
      <c r="C761" s="83"/>
      <c r="D761" s="83"/>
    </row>
    <row r="762" spans="3:4" ht="13.2">
      <c r="C762" s="83"/>
      <c r="D762" s="83"/>
    </row>
    <row r="763" spans="3:4" ht="13.2">
      <c r="C763" s="83"/>
      <c r="D763" s="83"/>
    </row>
    <row r="764" spans="3:4" ht="13.2">
      <c r="C764" s="83"/>
      <c r="D764" s="83"/>
    </row>
    <row r="765" spans="3:4" ht="13.2">
      <c r="C765" s="83"/>
      <c r="D765" s="83"/>
    </row>
    <row r="766" spans="3:4" ht="13.2">
      <c r="C766" s="83"/>
      <c r="D766" s="83"/>
    </row>
    <row r="767" spans="3:4" ht="13.2">
      <c r="C767" s="83"/>
      <c r="D767" s="83"/>
    </row>
    <row r="768" spans="3:4" ht="13.2">
      <c r="C768" s="83"/>
      <c r="D768" s="83"/>
    </row>
    <row r="769" spans="3:4" ht="13.2">
      <c r="C769" s="83"/>
      <c r="D769" s="83"/>
    </row>
    <row r="770" spans="3:4" ht="13.2">
      <c r="C770" s="83"/>
      <c r="D770" s="83"/>
    </row>
    <row r="771" spans="3:4" ht="13.2">
      <c r="C771" s="83"/>
      <c r="D771" s="83"/>
    </row>
    <row r="772" spans="3:4" ht="13.2">
      <c r="C772" s="83"/>
      <c r="D772" s="83"/>
    </row>
    <row r="773" spans="3:4" ht="13.2">
      <c r="C773" s="83"/>
      <c r="D773" s="83"/>
    </row>
    <row r="774" spans="3:4" ht="13.2">
      <c r="C774" s="83"/>
      <c r="D774" s="83"/>
    </row>
    <row r="775" spans="3:4" ht="13.2">
      <c r="C775" s="83"/>
      <c r="D775" s="83"/>
    </row>
    <row r="776" spans="3:4" ht="13.2">
      <c r="C776" s="83"/>
      <c r="D776" s="83"/>
    </row>
    <row r="777" spans="3:4" ht="13.2">
      <c r="C777" s="83"/>
      <c r="D777" s="83"/>
    </row>
    <row r="778" spans="3:4" ht="13.2">
      <c r="C778" s="83"/>
      <c r="D778" s="83"/>
    </row>
    <row r="779" spans="3:4" ht="13.2">
      <c r="C779" s="83"/>
      <c r="D779" s="83"/>
    </row>
    <row r="780" spans="3:4" ht="13.2">
      <c r="C780" s="83"/>
      <c r="D780" s="83"/>
    </row>
    <row r="781" spans="3:4" ht="13.2">
      <c r="C781" s="83"/>
      <c r="D781" s="83"/>
    </row>
    <row r="782" spans="3:4" ht="13.2">
      <c r="C782" s="83"/>
      <c r="D782" s="83"/>
    </row>
    <row r="783" spans="3:4" ht="13.2">
      <c r="C783" s="83"/>
      <c r="D783" s="83"/>
    </row>
    <row r="784" spans="3:4" ht="13.2">
      <c r="C784" s="83"/>
      <c r="D784" s="83"/>
    </row>
    <row r="785" spans="3:4" ht="13.2">
      <c r="C785" s="83"/>
      <c r="D785" s="83"/>
    </row>
    <row r="786" spans="3:4" ht="13.2">
      <c r="C786" s="83"/>
      <c r="D786" s="83"/>
    </row>
    <row r="787" spans="3:4" ht="13.2">
      <c r="C787" s="83"/>
      <c r="D787" s="83"/>
    </row>
    <row r="788" spans="3:4" ht="13.2">
      <c r="C788" s="83"/>
      <c r="D788" s="83"/>
    </row>
    <row r="789" spans="3:4" ht="13.2">
      <c r="C789" s="83"/>
      <c r="D789" s="83"/>
    </row>
    <row r="790" spans="3:4" ht="13.2">
      <c r="C790" s="83"/>
      <c r="D790" s="83"/>
    </row>
    <row r="791" spans="3:4" ht="13.2">
      <c r="C791" s="83"/>
      <c r="D791" s="83"/>
    </row>
    <row r="792" spans="3:4" ht="13.2">
      <c r="C792" s="83"/>
      <c r="D792" s="83"/>
    </row>
    <row r="793" spans="3:4" ht="13.2">
      <c r="C793" s="83"/>
      <c r="D793" s="83"/>
    </row>
    <row r="794" spans="3:4" ht="13.2">
      <c r="C794" s="83"/>
      <c r="D794" s="83"/>
    </row>
    <row r="795" spans="3:4" ht="13.2">
      <c r="C795" s="83"/>
      <c r="D795" s="83"/>
    </row>
    <row r="796" spans="3:4" ht="13.2">
      <c r="C796" s="83"/>
      <c r="D796" s="83"/>
    </row>
    <row r="797" spans="3:4" ht="13.2">
      <c r="C797" s="83"/>
      <c r="D797" s="83"/>
    </row>
    <row r="798" spans="3:4" ht="13.2">
      <c r="C798" s="83"/>
      <c r="D798" s="83"/>
    </row>
    <row r="799" spans="3:4" ht="13.2">
      <c r="C799" s="83"/>
      <c r="D799" s="83"/>
    </row>
    <row r="800" spans="3:4" ht="13.2">
      <c r="C800" s="83"/>
      <c r="D800" s="83"/>
    </row>
    <row r="801" spans="3:4" ht="13.2">
      <c r="C801" s="83"/>
      <c r="D801" s="83"/>
    </row>
    <row r="802" spans="3:4" ht="13.2">
      <c r="C802" s="83"/>
      <c r="D802" s="83"/>
    </row>
    <row r="803" spans="3:4" ht="13.2">
      <c r="C803" s="83"/>
      <c r="D803" s="83"/>
    </row>
    <row r="804" spans="3:4" ht="13.2">
      <c r="C804" s="83"/>
      <c r="D804" s="83"/>
    </row>
    <row r="805" spans="3:4" ht="13.2">
      <c r="C805" s="83"/>
      <c r="D805" s="83"/>
    </row>
    <row r="806" spans="3:4" ht="13.2">
      <c r="C806" s="83"/>
      <c r="D806" s="83"/>
    </row>
    <row r="807" spans="3:4" ht="13.2">
      <c r="C807" s="83"/>
      <c r="D807" s="83"/>
    </row>
    <row r="808" spans="3:4" ht="13.2">
      <c r="C808" s="83"/>
      <c r="D808" s="83"/>
    </row>
    <row r="809" spans="3:4" ht="13.2">
      <c r="C809" s="83"/>
      <c r="D809" s="83"/>
    </row>
    <row r="810" spans="3:4" ht="13.2">
      <c r="C810" s="83"/>
      <c r="D810" s="83"/>
    </row>
    <row r="811" spans="3:4" ht="13.2">
      <c r="C811" s="83"/>
      <c r="D811" s="83"/>
    </row>
    <row r="812" spans="3:4" ht="13.2">
      <c r="C812" s="83"/>
      <c r="D812" s="83"/>
    </row>
    <row r="813" spans="3:4" ht="13.2">
      <c r="C813" s="83"/>
      <c r="D813" s="83"/>
    </row>
    <row r="814" spans="3:4" ht="13.2">
      <c r="C814" s="83"/>
      <c r="D814" s="83"/>
    </row>
    <row r="815" spans="3:4" ht="13.2">
      <c r="C815" s="83"/>
      <c r="D815" s="83"/>
    </row>
    <row r="816" spans="3:4" ht="13.2">
      <c r="C816" s="83"/>
      <c r="D816" s="83"/>
    </row>
    <row r="817" spans="3:4" ht="13.2">
      <c r="C817" s="83"/>
      <c r="D817" s="83"/>
    </row>
    <row r="818" spans="3:4" ht="13.2">
      <c r="C818" s="83"/>
      <c r="D818" s="83"/>
    </row>
    <row r="819" spans="3:4" ht="13.2">
      <c r="C819" s="83"/>
      <c r="D819" s="83"/>
    </row>
    <row r="820" spans="3:4" ht="13.2">
      <c r="C820" s="83"/>
      <c r="D820" s="83"/>
    </row>
    <row r="821" spans="3:4" ht="13.2">
      <c r="C821" s="83"/>
      <c r="D821" s="83"/>
    </row>
    <row r="822" spans="3:4" ht="13.2">
      <c r="C822" s="83"/>
      <c r="D822" s="83"/>
    </row>
    <row r="823" spans="3:4" ht="13.2">
      <c r="C823" s="83"/>
      <c r="D823" s="83"/>
    </row>
    <row r="824" spans="3:4" ht="13.2">
      <c r="C824" s="83"/>
      <c r="D824" s="83"/>
    </row>
    <row r="825" spans="3:4" ht="13.2">
      <c r="C825" s="83"/>
      <c r="D825" s="83"/>
    </row>
    <row r="826" spans="3:4" ht="13.2">
      <c r="C826" s="83"/>
      <c r="D826" s="83"/>
    </row>
    <row r="827" spans="3:4" ht="13.2">
      <c r="C827" s="83"/>
      <c r="D827" s="83"/>
    </row>
    <row r="828" spans="3:4" ht="13.2">
      <c r="C828" s="83"/>
      <c r="D828" s="83"/>
    </row>
    <row r="829" spans="3:4" ht="13.2">
      <c r="C829" s="83"/>
      <c r="D829" s="83"/>
    </row>
    <row r="830" spans="3:4" ht="13.2">
      <c r="C830" s="83"/>
      <c r="D830" s="83"/>
    </row>
    <row r="831" spans="3:4" ht="13.2">
      <c r="C831" s="83"/>
      <c r="D831" s="83"/>
    </row>
    <row r="832" spans="3:4" ht="13.2">
      <c r="C832" s="83"/>
      <c r="D832" s="83"/>
    </row>
    <row r="833" spans="3:4" ht="13.2">
      <c r="C833" s="83"/>
      <c r="D833" s="83"/>
    </row>
    <row r="834" spans="3:4" ht="13.2">
      <c r="C834" s="83"/>
      <c r="D834" s="83"/>
    </row>
    <row r="835" spans="3:4" ht="13.2">
      <c r="C835" s="83"/>
      <c r="D835" s="83"/>
    </row>
    <row r="836" spans="3:4" ht="13.2">
      <c r="C836" s="83"/>
      <c r="D836" s="83"/>
    </row>
    <row r="837" spans="3:4" ht="13.2">
      <c r="C837" s="83"/>
      <c r="D837" s="83"/>
    </row>
    <row r="838" spans="3:4" ht="13.2">
      <c r="C838" s="83"/>
      <c r="D838" s="83"/>
    </row>
    <row r="839" spans="3:4" ht="13.2">
      <c r="C839" s="83"/>
      <c r="D839" s="83"/>
    </row>
    <row r="840" spans="3:4" ht="13.2">
      <c r="C840" s="83"/>
      <c r="D840" s="83"/>
    </row>
    <row r="841" spans="3:4" ht="13.2">
      <c r="C841" s="83"/>
      <c r="D841" s="83"/>
    </row>
    <row r="842" spans="3:4" ht="13.2">
      <c r="C842" s="83"/>
      <c r="D842" s="83"/>
    </row>
    <row r="843" spans="3:4" ht="13.2">
      <c r="C843" s="83"/>
      <c r="D843" s="83"/>
    </row>
    <row r="844" spans="3:4" ht="13.2">
      <c r="C844" s="83"/>
      <c r="D844" s="83"/>
    </row>
    <row r="845" spans="3:4" ht="13.2">
      <c r="C845" s="83"/>
      <c r="D845" s="83"/>
    </row>
    <row r="846" spans="3:4" ht="13.2">
      <c r="C846" s="83"/>
      <c r="D846" s="83"/>
    </row>
    <row r="847" spans="3:4" ht="13.2">
      <c r="C847" s="83"/>
      <c r="D847" s="83"/>
    </row>
    <row r="848" spans="3:4" ht="13.2">
      <c r="C848" s="83"/>
      <c r="D848" s="83"/>
    </row>
    <row r="849" spans="3:4" ht="13.2">
      <c r="C849" s="83"/>
      <c r="D849" s="83"/>
    </row>
    <row r="850" spans="3:4" ht="13.2">
      <c r="C850" s="83"/>
      <c r="D850" s="83"/>
    </row>
    <row r="851" spans="3:4" ht="13.2">
      <c r="C851" s="83"/>
      <c r="D851" s="83"/>
    </row>
    <row r="852" spans="3:4" ht="13.2">
      <c r="C852" s="83"/>
      <c r="D852" s="83"/>
    </row>
    <row r="853" spans="3:4" ht="13.2">
      <c r="C853" s="83"/>
      <c r="D853" s="83"/>
    </row>
    <row r="854" spans="3:4" ht="13.2">
      <c r="C854" s="83"/>
      <c r="D854" s="83"/>
    </row>
    <row r="855" spans="3:4" ht="13.2">
      <c r="C855" s="83"/>
      <c r="D855" s="83"/>
    </row>
    <row r="856" spans="3:4" ht="13.2">
      <c r="C856" s="83"/>
      <c r="D856" s="83"/>
    </row>
    <row r="857" spans="3:4" ht="13.2">
      <c r="C857" s="83"/>
      <c r="D857" s="83"/>
    </row>
    <row r="858" spans="3:4" ht="13.2">
      <c r="C858" s="83"/>
      <c r="D858" s="83"/>
    </row>
    <row r="859" spans="3:4" ht="13.2">
      <c r="C859" s="83"/>
      <c r="D859" s="83"/>
    </row>
    <row r="860" spans="3:4" ht="13.2">
      <c r="C860" s="83"/>
      <c r="D860" s="83"/>
    </row>
    <row r="861" spans="3:4" ht="13.2">
      <c r="C861" s="83"/>
      <c r="D861" s="83"/>
    </row>
    <row r="862" spans="3:4" ht="13.2">
      <c r="C862" s="83"/>
      <c r="D862" s="83"/>
    </row>
    <row r="863" spans="3:4" ht="13.2">
      <c r="C863" s="83"/>
      <c r="D863" s="83"/>
    </row>
    <row r="864" spans="3:4" ht="13.2">
      <c r="C864" s="83"/>
      <c r="D864" s="83"/>
    </row>
    <row r="865" spans="3:4" ht="13.2">
      <c r="C865" s="83"/>
      <c r="D865" s="83"/>
    </row>
    <row r="866" spans="3:4" ht="13.2">
      <c r="C866" s="83"/>
      <c r="D866" s="83"/>
    </row>
    <row r="867" spans="3:4" ht="13.2">
      <c r="C867" s="83"/>
      <c r="D867" s="83"/>
    </row>
    <row r="868" spans="3:4" ht="13.2">
      <c r="C868" s="83"/>
      <c r="D868" s="83"/>
    </row>
    <row r="869" spans="3:4" ht="13.2">
      <c r="C869" s="83"/>
      <c r="D869" s="83"/>
    </row>
    <row r="870" spans="3:4" ht="13.2">
      <c r="C870" s="83"/>
      <c r="D870" s="83"/>
    </row>
    <row r="871" spans="3:4" ht="13.2">
      <c r="C871" s="83"/>
      <c r="D871" s="83"/>
    </row>
    <row r="872" spans="3:4" ht="13.2">
      <c r="C872" s="83"/>
      <c r="D872" s="83"/>
    </row>
    <row r="873" spans="3:4" ht="13.2">
      <c r="C873" s="83"/>
      <c r="D873" s="83"/>
    </row>
    <row r="874" spans="3:4" ht="13.2">
      <c r="C874" s="83"/>
      <c r="D874" s="83"/>
    </row>
    <row r="875" spans="3:4" ht="13.2">
      <c r="C875" s="83"/>
      <c r="D875" s="83"/>
    </row>
    <row r="876" spans="3:4" ht="13.2">
      <c r="C876" s="83"/>
      <c r="D876" s="83"/>
    </row>
    <row r="877" spans="3:4" ht="13.2">
      <c r="C877" s="83"/>
      <c r="D877" s="83"/>
    </row>
    <row r="878" spans="3:4" ht="13.2">
      <c r="C878" s="83"/>
      <c r="D878" s="83"/>
    </row>
    <row r="879" spans="3:4" ht="13.2">
      <c r="C879" s="83"/>
      <c r="D879" s="83"/>
    </row>
    <row r="880" spans="3:4" ht="13.2">
      <c r="C880" s="83"/>
      <c r="D880" s="83"/>
    </row>
    <row r="881" spans="3:4" ht="13.2">
      <c r="C881" s="83"/>
      <c r="D881" s="83"/>
    </row>
    <row r="882" spans="3:4" ht="13.2">
      <c r="C882" s="83"/>
      <c r="D882" s="83"/>
    </row>
    <row r="883" spans="3:4" ht="13.2">
      <c r="C883" s="83"/>
      <c r="D883" s="83"/>
    </row>
    <row r="884" spans="3:4" ht="13.2">
      <c r="C884" s="83"/>
      <c r="D884" s="83"/>
    </row>
    <row r="885" spans="3:4" ht="13.2">
      <c r="C885" s="83"/>
      <c r="D885" s="83"/>
    </row>
    <row r="886" spans="3:4" ht="13.2">
      <c r="C886" s="83"/>
      <c r="D886" s="83"/>
    </row>
    <row r="887" spans="3:4" ht="13.2">
      <c r="C887" s="83"/>
      <c r="D887" s="83"/>
    </row>
    <row r="888" spans="3:4" ht="13.2">
      <c r="C888" s="83"/>
      <c r="D888" s="83"/>
    </row>
    <row r="889" spans="3:4" ht="13.2">
      <c r="C889" s="83"/>
      <c r="D889" s="83"/>
    </row>
    <row r="890" spans="3:4" ht="13.2">
      <c r="C890" s="83"/>
      <c r="D890" s="83"/>
    </row>
    <row r="891" spans="3:4" ht="13.2">
      <c r="C891" s="83"/>
      <c r="D891" s="83"/>
    </row>
    <row r="892" spans="3:4" ht="13.2">
      <c r="C892" s="83"/>
      <c r="D892" s="83"/>
    </row>
    <row r="893" spans="3:4" ht="13.2">
      <c r="C893" s="83"/>
      <c r="D893" s="83"/>
    </row>
    <row r="894" spans="3:4" ht="13.2">
      <c r="C894" s="83"/>
      <c r="D894" s="83"/>
    </row>
    <row r="895" spans="3:4" ht="13.2">
      <c r="C895" s="83"/>
      <c r="D895" s="83"/>
    </row>
    <row r="896" spans="3:4" ht="13.2">
      <c r="C896" s="83"/>
      <c r="D896" s="83"/>
    </row>
    <row r="897" spans="3:4" ht="13.2">
      <c r="C897" s="83"/>
      <c r="D897" s="83"/>
    </row>
    <row r="898" spans="3:4" ht="13.2">
      <c r="C898" s="83"/>
      <c r="D898" s="83"/>
    </row>
    <row r="899" spans="3:4" ht="13.2">
      <c r="C899" s="83"/>
      <c r="D899" s="83"/>
    </row>
    <row r="900" spans="3:4" ht="13.2">
      <c r="C900" s="83"/>
      <c r="D900" s="83"/>
    </row>
    <row r="901" spans="3:4" ht="13.2">
      <c r="C901" s="83"/>
      <c r="D901" s="83"/>
    </row>
    <row r="902" spans="3:4" ht="13.2">
      <c r="C902" s="83"/>
      <c r="D902" s="83"/>
    </row>
    <row r="903" spans="3:4" ht="13.2">
      <c r="C903" s="83"/>
      <c r="D903" s="83"/>
    </row>
    <row r="904" spans="3:4" ht="13.2">
      <c r="C904" s="83"/>
      <c r="D904" s="83"/>
    </row>
    <row r="905" spans="3:4" ht="13.2">
      <c r="C905" s="83"/>
      <c r="D905" s="83"/>
    </row>
    <row r="906" spans="3:4" ht="13.2">
      <c r="C906" s="83"/>
      <c r="D906" s="83"/>
    </row>
    <row r="907" spans="3:4" ht="13.2">
      <c r="C907" s="83"/>
      <c r="D907" s="83"/>
    </row>
    <row r="908" spans="3:4" ht="13.2">
      <c r="C908" s="83"/>
      <c r="D908" s="83"/>
    </row>
    <row r="909" spans="3:4" ht="13.2">
      <c r="C909" s="83"/>
      <c r="D909" s="83"/>
    </row>
    <row r="910" spans="3:4" ht="13.2">
      <c r="C910" s="83"/>
      <c r="D910" s="83"/>
    </row>
    <row r="911" spans="3:4" ht="13.2">
      <c r="C911" s="83"/>
      <c r="D911" s="83"/>
    </row>
    <row r="912" spans="3:4" ht="13.2">
      <c r="C912" s="83"/>
      <c r="D912" s="83"/>
    </row>
    <row r="913" spans="3:4" ht="13.2">
      <c r="C913" s="83"/>
      <c r="D913" s="83"/>
    </row>
    <row r="914" spans="3:4" ht="13.2">
      <c r="C914" s="83"/>
      <c r="D914" s="83"/>
    </row>
    <row r="915" spans="3:4" ht="13.2">
      <c r="C915" s="83"/>
      <c r="D915" s="83"/>
    </row>
    <row r="916" spans="3:4" ht="13.2">
      <c r="C916" s="83"/>
      <c r="D916" s="83"/>
    </row>
    <row r="917" spans="3:4" ht="13.2">
      <c r="C917" s="83"/>
      <c r="D917" s="83"/>
    </row>
    <row r="918" spans="3:4" ht="13.2">
      <c r="C918" s="83"/>
      <c r="D918" s="83"/>
    </row>
    <row r="919" spans="3:4" ht="13.2">
      <c r="C919" s="83"/>
      <c r="D919" s="83"/>
    </row>
    <row r="920" spans="3:4" ht="13.2">
      <c r="C920" s="83"/>
      <c r="D920" s="83"/>
    </row>
    <row r="921" spans="3:4" ht="13.2">
      <c r="C921" s="83"/>
      <c r="D921" s="83"/>
    </row>
    <row r="922" spans="3:4" ht="13.2">
      <c r="C922" s="83"/>
      <c r="D922" s="83"/>
    </row>
    <row r="923" spans="3:4" ht="13.2">
      <c r="C923" s="83"/>
      <c r="D923" s="83"/>
    </row>
    <row r="924" spans="3:4" ht="13.2">
      <c r="C924" s="83"/>
      <c r="D924" s="83"/>
    </row>
    <row r="925" spans="3:4" ht="13.2">
      <c r="C925" s="83"/>
      <c r="D925" s="83"/>
    </row>
    <row r="926" spans="3:4" ht="13.2">
      <c r="C926" s="83"/>
      <c r="D926" s="83"/>
    </row>
    <row r="927" spans="3:4" ht="13.2">
      <c r="C927" s="83"/>
      <c r="D927" s="83"/>
    </row>
    <row r="928" spans="3:4" ht="13.2">
      <c r="C928" s="83"/>
      <c r="D928" s="83"/>
    </row>
    <row r="929" spans="3:4" ht="13.2">
      <c r="C929" s="83"/>
      <c r="D929" s="83"/>
    </row>
    <row r="930" spans="3:4" ht="13.2">
      <c r="C930" s="83"/>
      <c r="D930" s="83"/>
    </row>
    <row r="931" spans="3:4" ht="13.2">
      <c r="C931" s="83"/>
      <c r="D931" s="83"/>
    </row>
    <row r="932" spans="3:4" ht="13.2">
      <c r="C932" s="83"/>
      <c r="D932" s="83"/>
    </row>
    <row r="933" spans="3:4" ht="13.2">
      <c r="C933" s="83"/>
      <c r="D933" s="83"/>
    </row>
    <row r="934" spans="3:4" ht="13.2">
      <c r="C934" s="83"/>
      <c r="D934" s="83"/>
    </row>
    <row r="935" spans="3:4" ht="13.2">
      <c r="C935" s="83"/>
      <c r="D935" s="83"/>
    </row>
    <row r="936" spans="3:4" ht="13.2">
      <c r="C936" s="83"/>
      <c r="D936" s="83"/>
    </row>
    <row r="937" spans="3:4" ht="13.2">
      <c r="C937" s="83"/>
      <c r="D937" s="83"/>
    </row>
    <row r="938" spans="3:4" ht="13.2">
      <c r="C938" s="83"/>
      <c r="D938" s="83"/>
    </row>
    <row r="939" spans="3:4" ht="13.2">
      <c r="C939" s="83"/>
      <c r="D939" s="83"/>
    </row>
    <row r="940" spans="3:4" ht="13.2">
      <c r="C940" s="83"/>
      <c r="D940" s="83"/>
    </row>
    <row r="941" spans="3:4" ht="13.2">
      <c r="C941" s="83"/>
      <c r="D941" s="83"/>
    </row>
    <row r="942" spans="3:4" ht="13.2">
      <c r="C942" s="83"/>
      <c r="D942" s="83"/>
    </row>
    <row r="943" spans="3:4" ht="13.2">
      <c r="C943" s="83"/>
      <c r="D943" s="83"/>
    </row>
    <row r="944" spans="3:4" ht="13.2">
      <c r="C944" s="83"/>
      <c r="D944" s="83"/>
    </row>
    <row r="945" spans="3:4" ht="13.2">
      <c r="C945" s="83"/>
      <c r="D945" s="83"/>
    </row>
    <row r="946" spans="3:4" ht="13.2">
      <c r="C946" s="83"/>
      <c r="D946" s="83"/>
    </row>
    <row r="947" spans="3:4" ht="13.2">
      <c r="C947" s="83"/>
      <c r="D947" s="83"/>
    </row>
    <row r="948" spans="3:4" ht="13.2">
      <c r="C948" s="83"/>
      <c r="D948" s="83"/>
    </row>
    <row r="949" spans="3:4" ht="13.2">
      <c r="C949" s="83"/>
      <c r="D949" s="83"/>
    </row>
    <row r="950" spans="3:4" ht="13.2">
      <c r="C950" s="83"/>
      <c r="D950" s="83"/>
    </row>
    <row r="951" spans="3:4" ht="13.2">
      <c r="C951" s="83"/>
      <c r="D951" s="83"/>
    </row>
    <row r="952" spans="3:4" ht="13.2">
      <c r="C952" s="83"/>
      <c r="D952" s="83"/>
    </row>
    <row r="953" spans="3:4" ht="13.2">
      <c r="C953" s="83"/>
      <c r="D953" s="83"/>
    </row>
    <row r="954" spans="3:4" ht="13.2">
      <c r="C954" s="83"/>
      <c r="D954" s="83"/>
    </row>
    <row r="955" spans="3:4" ht="13.2">
      <c r="C955" s="83"/>
      <c r="D955" s="83"/>
    </row>
    <row r="956" spans="3:4" ht="13.2">
      <c r="C956" s="83"/>
      <c r="D956" s="83"/>
    </row>
    <row r="957" spans="3:4" ht="13.2">
      <c r="C957" s="83"/>
      <c r="D957" s="83"/>
    </row>
    <row r="958" spans="3:4" ht="13.2">
      <c r="C958" s="83"/>
      <c r="D958" s="83"/>
    </row>
    <row r="959" spans="3:4" ht="13.2">
      <c r="C959" s="83"/>
      <c r="D959" s="83"/>
    </row>
    <row r="960" spans="3:4" ht="13.2">
      <c r="C960" s="83"/>
      <c r="D960" s="83"/>
    </row>
    <row r="961" spans="3:4" ht="13.2">
      <c r="C961" s="83"/>
      <c r="D961" s="83"/>
    </row>
    <row r="962" spans="3:4" ht="13.2">
      <c r="C962" s="83"/>
      <c r="D962" s="83"/>
    </row>
    <row r="963" spans="3:4" ht="13.2">
      <c r="C963" s="83"/>
      <c r="D963" s="83"/>
    </row>
    <row r="964" spans="3:4" ht="13.2">
      <c r="C964" s="83"/>
      <c r="D964" s="83"/>
    </row>
    <row r="965" spans="3:4" ht="13.2">
      <c r="C965" s="83"/>
      <c r="D965" s="83"/>
    </row>
    <row r="966" spans="3:4" ht="13.2">
      <c r="C966" s="83"/>
      <c r="D966" s="83"/>
    </row>
    <row r="967" spans="3:4" ht="13.2">
      <c r="C967" s="83"/>
      <c r="D967" s="83"/>
    </row>
    <row r="968" spans="3:4" ht="13.2">
      <c r="C968" s="83"/>
      <c r="D968" s="83"/>
    </row>
    <row r="969" spans="3:4" ht="13.2">
      <c r="C969" s="83"/>
      <c r="D969" s="83"/>
    </row>
    <row r="970" spans="3:4" ht="13.2">
      <c r="C970" s="83"/>
      <c r="D970" s="83"/>
    </row>
    <row r="971" spans="3:4" ht="13.2">
      <c r="C971" s="83"/>
      <c r="D971" s="83"/>
    </row>
    <row r="972" spans="3:4" ht="13.2">
      <c r="C972" s="83"/>
      <c r="D972" s="83"/>
    </row>
    <row r="973" spans="3:4" ht="13.2">
      <c r="C973" s="83"/>
      <c r="D973" s="83"/>
    </row>
    <row r="974" spans="3:4" ht="13.2">
      <c r="C974" s="83"/>
      <c r="D974" s="83"/>
    </row>
    <row r="975" spans="3:4" ht="13.2">
      <c r="C975" s="83"/>
      <c r="D975" s="83"/>
    </row>
    <row r="976" spans="3:4" ht="13.2">
      <c r="C976" s="83"/>
      <c r="D976" s="83"/>
    </row>
    <row r="977" spans="3:4" ht="13.2">
      <c r="C977" s="83"/>
      <c r="D977" s="83"/>
    </row>
    <row r="978" spans="3:4" ht="13.2">
      <c r="C978" s="83"/>
      <c r="D978" s="83"/>
    </row>
    <row r="979" spans="3:4" ht="13.2">
      <c r="C979" s="83"/>
      <c r="D979" s="83"/>
    </row>
    <row r="980" spans="3:4" ht="13.2">
      <c r="C980" s="83"/>
      <c r="D980" s="83"/>
    </row>
    <row r="981" spans="3:4" ht="13.2">
      <c r="C981" s="83"/>
      <c r="D981" s="83"/>
    </row>
    <row r="982" spans="3:4" ht="13.2">
      <c r="C982" s="83"/>
      <c r="D982" s="83"/>
    </row>
    <row r="983" spans="3:4" ht="13.2">
      <c r="C983" s="83"/>
      <c r="D983" s="83"/>
    </row>
    <row r="984" spans="3:4" ht="13.2">
      <c r="C984" s="83"/>
      <c r="D984" s="83"/>
    </row>
    <row r="985" spans="3:4" ht="13.2">
      <c r="C985" s="83"/>
      <c r="D985" s="83"/>
    </row>
    <row r="986" spans="3:4" ht="13.2">
      <c r="C986" s="83"/>
      <c r="D986" s="83"/>
    </row>
    <row r="987" spans="3:4" ht="13.2">
      <c r="C987" s="83"/>
      <c r="D987" s="83"/>
    </row>
    <row r="988" spans="3:4" ht="13.2">
      <c r="C988" s="83"/>
      <c r="D988" s="83"/>
    </row>
    <row r="989" spans="3:4" ht="13.2">
      <c r="C989" s="83"/>
      <c r="D989" s="83"/>
    </row>
    <row r="990" spans="3:4" ht="13.2">
      <c r="C990" s="83"/>
      <c r="D990" s="83"/>
    </row>
    <row r="991" spans="3:4" ht="13.2">
      <c r="C991" s="83"/>
      <c r="D991" s="83"/>
    </row>
    <row r="992" spans="3:4" ht="13.2">
      <c r="C992" s="83"/>
      <c r="D992" s="83"/>
    </row>
    <row r="993" spans="3:4" ht="13.2">
      <c r="C993" s="83"/>
      <c r="D993" s="83"/>
    </row>
    <row r="994" spans="3:4" ht="13.2">
      <c r="C994" s="83"/>
      <c r="D994" s="83"/>
    </row>
    <row r="995" spans="3:4" ht="13.2">
      <c r="C995" s="83"/>
      <c r="D995" s="83"/>
    </row>
    <row r="996" spans="3:4" ht="13.2">
      <c r="C996" s="83"/>
      <c r="D996" s="83"/>
    </row>
    <row r="997" spans="3:4" ht="13.2">
      <c r="C997" s="83"/>
      <c r="D997" s="83"/>
    </row>
    <row r="998" spans="3:4" ht="13.2">
      <c r="C998" s="83"/>
      <c r="D998" s="83"/>
    </row>
    <row r="999" spans="3:4" ht="13.2">
      <c r="C999" s="83"/>
      <c r="D999" s="83"/>
    </row>
    <row r="1000" spans="3:4" ht="13.2">
      <c r="C1000" s="83"/>
      <c r="D1000" s="83"/>
    </row>
  </sheetData>
  <mergeCells count="12">
    <mergeCell ref="A41:E42"/>
    <mergeCell ref="A43:E43"/>
    <mergeCell ref="E24:E25"/>
    <mergeCell ref="D24:D25"/>
    <mergeCell ref="C10:C14"/>
    <mergeCell ref="C6:C9"/>
    <mergeCell ref="E10:E14"/>
    <mergeCell ref="E6:E9"/>
    <mergeCell ref="A10:A14"/>
    <mergeCell ref="A6:A9"/>
    <mergeCell ref="B10:B14"/>
    <mergeCell ref="B6:B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725D4-1657-4E15-9E7A-79B74737C1CC}">
  <dimension ref="A1:E44"/>
  <sheetViews>
    <sheetView workbookViewId="0">
      <selection sqref="A1:XFD1048576"/>
    </sheetView>
  </sheetViews>
  <sheetFormatPr defaultRowHeight="13.2"/>
  <cols>
    <col min="2" max="2" width="13.5546875" customWidth="1"/>
    <col min="3" max="3" width="16.88671875" customWidth="1"/>
    <col min="4" max="4" width="40.77734375" customWidth="1"/>
    <col min="5" max="5" width="56.21875" customWidth="1"/>
  </cols>
  <sheetData>
    <row r="1" spans="1:5" ht="39.6">
      <c r="A1" s="515" t="s">
        <v>53</v>
      </c>
      <c r="B1" s="515" t="s">
        <v>69</v>
      </c>
      <c r="C1" s="515" t="s">
        <v>1353</v>
      </c>
      <c r="D1" s="515" t="s">
        <v>60</v>
      </c>
      <c r="E1" s="515" t="s">
        <v>70</v>
      </c>
    </row>
    <row r="2" spans="1:5" ht="39.6">
      <c r="A2" s="505" t="s">
        <v>73</v>
      </c>
      <c r="B2" s="506" t="s">
        <v>92</v>
      </c>
      <c r="C2" s="506" t="s">
        <v>91</v>
      </c>
      <c r="D2" s="507" t="s">
        <v>2023</v>
      </c>
      <c r="E2" s="506" t="s">
        <v>89</v>
      </c>
    </row>
    <row r="3" spans="1:5" ht="26.4">
      <c r="A3" s="508" t="s">
        <v>73</v>
      </c>
      <c r="B3" s="509" t="s">
        <v>86</v>
      </c>
      <c r="C3" s="509" t="s">
        <v>74</v>
      </c>
      <c r="D3" s="510" t="s">
        <v>88</v>
      </c>
      <c r="E3" s="506" t="s">
        <v>89</v>
      </c>
    </row>
    <row r="4" spans="1:5" ht="26.4">
      <c r="A4" s="505" t="s">
        <v>73</v>
      </c>
      <c r="B4" s="506" t="s">
        <v>197</v>
      </c>
      <c r="C4" s="506" t="s">
        <v>194</v>
      </c>
      <c r="D4" s="507" t="s">
        <v>80</v>
      </c>
      <c r="E4" s="506" t="s">
        <v>80</v>
      </c>
    </row>
    <row r="5" spans="1:5" ht="26.4">
      <c r="A5" s="505" t="s">
        <v>73</v>
      </c>
      <c r="B5" s="506" t="s">
        <v>106</v>
      </c>
      <c r="C5" s="506" t="s">
        <v>105</v>
      </c>
      <c r="D5" s="507" t="s">
        <v>80</v>
      </c>
      <c r="E5" s="506" t="s">
        <v>89</v>
      </c>
    </row>
    <row r="6" spans="1:5" ht="39.6">
      <c r="A6" s="528" t="s">
        <v>73</v>
      </c>
      <c r="B6" s="526" t="s">
        <v>117</v>
      </c>
      <c r="C6" s="526" t="s">
        <v>116</v>
      </c>
      <c r="D6" s="507" t="s">
        <v>1328</v>
      </c>
      <c r="E6" s="526" t="s">
        <v>119</v>
      </c>
    </row>
    <row r="7" spans="1:5" ht="39.6">
      <c r="A7" s="529"/>
      <c r="B7" s="531"/>
      <c r="C7" s="531"/>
      <c r="D7" s="507" t="s">
        <v>1329</v>
      </c>
      <c r="E7" s="531"/>
    </row>
    <row r="8" spans="1:5" ht="26.4">
      <c r="A8" s="529"/>
      <c r="B8" s="531"/>
      <c r="C8" s="531"/>
      <c r="D8" s="507" t="s">
        <v>1330</v>
      </c>
      <c r="E8" s="531"/>
    </row>
    <row r="9" spans="1:5" ht="26.4">
      <c r="A9" s="530"/>
      <c r="B9" s="527"/>
      <c r="C9" s="527"/>
      <c r="D9" s="507" t="s">
        <v>1331</v>
      </c>
      <c r="E9" s="527"/>
    </row>
    <row r="10" spans="1:5" ht="39.6">
      <c r="A10" s="528" t="s">
        <v>73</v>
      </c>
      <c r="B10" s="526" t="s">
        <v>122</v>
      </c>
      <c r="C10" s="526" t="s">
        <v>121</v>
      </c>
      <c r="D10" s="507" t="s">
        <v>1333</v>
      </c>
      <c r="E10" s="526" t="s">
        <v>2024</v>
      </c>
    </row>
    <row r="11" spans="1:5" ht="105.6">
      <c r="A11" s="529"/>
      <c r="B11" s="531"/>
      <c r="C11" s="531"/>
      <c r="D11" s="507" t="s">
        <v>1334</v>
      </c>
      <c r="E11" s="531"/>
    </row>
    <row r="12" spans="1:5" ht="26.4">
      <c r="A12" s="529"/>
      <c r="B12" s="531"/>
      <c r="C12" s="531"/>
      <c r="D12" s="507" t="s">
        <v>2025</v>
      </c>
      <c r="E12" s="531"/>
    </row>
    <row r="13" spans="1:5" ht="52.8">
      <c r="A13" s="529"/>
      <c r="B13" s="531"/>
      <c r="C13" s="531"/>
      <c r="D13" s="507" t="s">
        <v>2026</v>
      </c>
      <c r="E13" s="531"/>
    </row>
    <row r="14" spans="1:5" ht="79.2">
      <c r="A14" s="529"/>
      <c r="B14" s="531"/>
      <c r="C14" s="531"/>
      <c r="D14" s="507" t="s">
        <v>1339</v>
      </c>
      <c r="E14" s="531"/>
    </row>
    <row r="15" spans="1:5" ht="26.4">
      <c r="A15" s="529"/>
      <c r="B15" s="531"/>
      <c r="C15" s="531"/>
      <c r="D15" s="507" t="s">
        <v>2027</v>
      </c>
      <c r="E15" s="531"/>
    </row>
    <row r="16" spans="1:5" ht="52.8">
      <c r="A16" s="529"/>
      <c r="B16" s="531"/>
      <c r="C16" s="531"/>
      <c r="D16" s="507" t="s">
        <v>2028</v>
      </c>
      <c r="E16" s="531"/>
    </row>
    <row r="17" spans="1:5" ht="158.4">
      <c r="A17" s="529"/>
      <c r="B17" s="531"/>
      <c r="C17" s="531"/>
      <c r="D17" s="507" t="s">
        <v>2029</v>
      </c>
      <c r="E17" s="531"/>
    </row>
    <row r="18" spans="1:5" ht="66">
      <c r="A18" s="530"/>
      <c r="B18" s="527"/>
      <c r="C18" s="527"/>
      <c r="D18" s="507" t="s">
        <v>2030</v>
      </c>
      <c r="E18" s="527"/>
    </row>
    <row r="19" spans="1:5" ht="52.8">
      <c r="A19" s="505" t="s">
        <v>73</v>
      </c>
      <c r="B19" s="506" t="s">
        <v>126</v>
      </c>
      <c r="C19" s="506" t="s">
        <v>125</v>
      </c>
      <c r="D19" s="507" t="s">
        <v>2031</v>
      </c>
      <c r="E19" s="506" t="s">
        <v>89</v>
      </c>
    </row>
    <row r="20" spans="1:5" ht="145.19999999999999">
      <c r="A20" s="511" t="s">
        <v>174</v>
      </c>
      <c r="B20" s="506" t="s">
        <v>2032</v>
      </c>
      <c r="C20" s="506" t="s">
        <v>236</v>
      </c>
      <c r="D20" s="507" t="s">
        <v>2033</v>
      </c>
      <c r="E20" s="506" t="s">
        <v>89</v>
      </c>
    </row>
    <row r="21" spans="1:5">
      <c r="A21" s="511" t="s">
        <v>174</v>
      </c>
      <c r="B21" s="506" t="s">
        <v>143</v>
      </c>
      <c r="C21" s="506" t="s">
        <v>142</v>
      </c>
      <c r="D21" s="507" t="s">
        <v>144</v>
      </c>
      <c r="E21" s="506" t="s">
        <v>80</v>
      </c>
    </row>
    <row r="22" spans="1:5" ht="66">
      <c r="A22" s="511" t="s">
        <v>174</v>
      </c>
      <c r="B22" s="506" t="s">
        <v>146</v>
      </c>
      <c r="C22" s="506" t="s">
        <v>146</v>
      </c>
      <c r="D22" s="507" t="s">
        <v>1418</v>
      </c>
      <c r="E22" s="506" t="s">
        <v>89</v>
      </c>
    </row>
    <row r="23" spans="1:5" ht="39.6">
      <c r="A23" s="511" t="s">
        <v>174</v>
      </c>
      <c r="B23" s="506" t="s">
        <v>52</v>
      </c>
      <c r="C23" s="506" t="s">
        <v>52</v>
      </c>
      <c r="D23" s="507" t="s">
        <v>149</v>
      </c>
      <c r="E23" s="506" t="s">
        <v>89</v>
      </c>
    </row>
    <row r="24" spans="1:5" ht="26.4">
      <c r="A24" s="511" t="s">
        <v>174</v>
      </c>
      <c r="B24" s="506" t="s">
        <v>202</v>
      </c>
      <c r="C24" s="506" t="s">
        <v>198</v>
      </c>
      <c r="D24" s="507" t="s">
        <v>2034</v>
      </c>
      <c r="E24" s="506" t="s">
        <v>80</v>
      </c>
    </row>
    <row r="25" spans="1:5" ht="26.4">
      <c r="A25" s="511" t="s">
        <v>174</v>
      </c>
      <c r="B25" s="506" t="s">
        <v>208</v>
      </c>
      <c r="C25" s="506" t="s">
        <v>204</v>
      </c>
      <c r="D25" s="507" t="s">
        <v>209</v>
      </c>
      <c r="E25" s="506" t="s">
        <v>80</v>
      </c>
    </row>
    <row r="26" spans="1:5" ht="66">
      <c r="A26" s="511" t="s">
        <v>174</v>
      </c>
      <c r="B26" s="506" t="s">
        <v>206</v>
      </c>
      <c r="C26" s="506" t="s">
        <v>210</v>
      </c>
      <c r="D26" s="507" t="s">
        <v>214</v>
      </c>
      <c r="E26" s="506" t="s">
        <v>80</v>
      </c>
    </row>
    <row r="27" spans="1:5">
      <c r="A27" s="511" t="s">
        <v>174</v>
      </c>
      <c r="B27" s="506" t="s">
        <v>200</v>
      </c>
      <c r="C27" s="506" t="s">
        <v>200</v>
      </c>
      <c r="D27" s="507" t="s">
        <v>216</v>
      </c>
      <c r="E27" s="506" t="s">
        <v>80</v>
      </c>
    </row>
    <row r="28" spans="1:5">
      <c r="A28" s="511" t="s">
        <v>174</v>
      </c>
      <c r="B28" s="506" t="s">
        <v>184</v>
      </c>
      <c r="C28" s="506" t="s">
        <v>175</v>
      </c>
      <c r="D28" s="524" t="s">
        <v>2035</v>
      </c>
      <c r="E28" s="526" t="s">
        <v>186</v>
      </c>
    </row>
    <row r="29" spans="1:5">
      <c r="A29" s="511" t="s">
        <v>174</v>
      </c>
      <c r="B29" s="506" t="s">
        <v>193</v>
      </c>
      <c r="C29" s="506" t="s">
        <v>187</v>
      </c>
      <c r="D29" s="525"/>
      <c r="E29" s="527"/>
    </row>
    <row r="30" spans="1:5" ht="26.4">
      <c r="A30" s="512" t="s">
        <v>1146</v>
      </c>
      <c r="B30" s="506" t="s">
        <v>1148</v>
      </c>
      <c r="C30" s="506" t="s">
        <v>1147</v>
      </c>
      <c r="D30" s="507" t="s">
        <v>1149</v>
      </c>
      <c r="E30" s="506" t="s">
        <v>285</v>
      </c>
    </row>
    <row r="31" spans="1:5" ht="84">
      <c r="A31" s="512" t="s">
        <v>1146</v>
      </c>
      <c r="B31" s="506" t="s">
        <v>1151</v>
      </c>
      <c r="C31" s="506" t="s">
        <v>1460</v>
      </c>
      <c r="D31" s="507" t="s">
        <v>2036</v>
      </c>
      <c r="E31" s="506" t="s">
        <v>1153</v>
      </c>
    </row>
    <row r="32" spans="1:5" ht="39.6">
      <c r="A32" s="513" t="s">
        <v>235</v>
      </c>
      <c r="B32" s="506" t="s">
        <v>244</v>
      </c>
      <c r="C32" s="506" t="s">
        <v>243</v>
      </c>
      <c r="D32" s="507" t="s">
        <v>245</v>
      </c>
      <c r="E32" s="506" t="s">
        <v>2037</v>
      </c>
    </row>
    <row r="33" spans="1:5" ht="66">
      <c r="A33" s="513" t="s">
        <v>235</v>
      </c>
      <c r="B33" s="506" t="s">
        <v>248</v>
      </c>
      <c r="C33" s="506" t="s">
        <v>247</v>
      </c>
      <c r="D33" s="507" t="s">
        <v>2038</v>
      </c>
      <c r="E33" s="506" t="s">
        <v>250</v>
      </c>
    </row>
    <row r="34" spans="1:5" ht="237.6">
      <c r="A34" s="513" t="s">
        <v>235</v>
      </c>
      <c r="B34" s="506" t="s">
        <v>2039</v>
      </c>
      <c r="C34" s="506" t="s">
        <v>2040</v>
      </c>
      <c r="D34" s="507" t="s">
        <v>2041</v>
      </c>
      <c r="E34" s="506" t="s">
        <v>250</v>
      </c>
    </row>
    <row r="35" spans="1:5" ht="66">
      <c r="A35" s="516" t="s">
        <v>2042</v>
      </c>
      <c r="B35" s="517" t="s">
        <v>2043</v>
      </c>
      <c r="C35" s="518" t="s">
        <v>2044</v>
      </c>
      <c r="D35" s="519" t="s">
        <v>2045</v>
      </c>
      <c r="E35" s="520" t="s">
        <v>2046</v>
      </c>
    </row>
    <row r="36" spans="1:5" ht="158.4">
      <c r="A36" s="516" t="s">
        <v>2042</v>
      </c>
      <c r="B36" s="517" t="s">
        <v>2047</v>
      </c>
      <c r="C36" s="521" t="s">
        <v>2048</v>
      </c>
      <c r="D36" s="523" t="s">
        <v>2049</v>
      </c>
      <c r="E36" s="520" t="s">
        <v>2046</v>
      </c>
    </row>
    <row r="37" spans="1:5" ht="66">
      <c r="A37" s="516" t="s">
        <v>2042</v>
      </c>
      <c r="B37" s="517" t="s">
        <v>2050</v>
      </c>
      <c r="C37" s="520" t="s">
        <v>2051</v>
      </c>
      <c r="D37" s="522" t="s">
        <v>2052</v>
      </c>
      <c r="E37" s="520" t="s">
        <v>108</v>
      </c>
    </row>
    <row r="38" spans="1:5" ht="66">
      <c r="A38" s="516" t="s">
        <v>2042</v>
      </c>
      <c r="B38" s="517" t="s">
        <v>2053</v>
      </c>
      <c r="C38" s="520" t="s">
        <v>2054</v>
      </c>
      <c r="D38" s="522" t="s">
        <v>2055</v>
      </c>
      <c r="E38" s="520" t="s">
        <v>108</v>
      </c>
    </row>
    <row r="39" spans="1:5" ht="39.6">
      <c r="A39" s="516" t="s">
        <v>2042</v>
      </c>
      <c r="B39" s="514" t="s">
        <v>2056</v>
      </c>
      <c r="C39" s="518" t="s">
        <v>2057</v>
      </c>
      <c r="D39" s="519" t="s">
        <v>2058</v>
      </c>
      <c r="E39" s="520" t="s">
        <v>2059</v>
      </c>
    </row>
    <row r="40" spans="1:5" ht="39.6">
      <c r="A40" s="516" t="s">
        <v>2042</v>
      </c>
      <c r="B40" s="514" t="s">
        <v>2060</v>
      </c>
      <c r="C40" s="518" t="s">
        <v>2061</v>
      </c>
      <c r="D40" s="519" t="s">
        <v>2062</v>
      </c>
      <c r="E40" s="520" t="s">
        <v>2059</v>
      </c>
    </row>
    <row r="41" spans="1:5" ht="39.6">
      <c r="A41" s="516" t="s">
        <v>2042</v>
      </c>
      <c r="B41" s="517" t="s">
        <v>2063</v>
      </c>
      <c r="C41" s="518" t="s">
        <v>2064</v>
      </c>
      <c r="D41" s="519" t="s">
        <v>2065</v>
      </c>
      <c r="E41" s="520" t="s">
        <v>2059</v>
      </c>
    </row>
    <row r="42" spans="1:5" ht="39.6">
      <c r="A42" s="516" t="s">
        <v>2042</v>
      </c>
      <c r="B42" s="517" t="s">
        <v>2066</v>
      </c>
      <c r="C42" s="520" t="s">
        <v>2067</v>
      </c>
      <c r="D42" s="519" t="s">
        <v>2068</v>
      </c>
      <c r="E42" s="520" t="s">
        <v>2046</v>
      </c>
    </row>
    <row r="43" spans="1:5" ht="39.6">
      <c r="A43" s="516" t="s">
        <v>2042</v>
      </c>
      <c r="B43" s="517" t="s">
        <v>2069</v>
      </c>
      <c r="C43" s="520" t="s">
        <v>2070</v>
      </c>
      <c r="D43" s="519" t="s">
        <v>2071</v>
      </c>
      <c r="E43" s="520" t="s">
        <v>2046</v>
      </c>
    </row>
    <row r="44" spans="1:5" ht="39.6">
      <c r="A44" s="516" t="s">
        <v>2042</v>
      </c>
      <c r="B44" s="517" t="s">
        <v>2072</v>
      </c>
      <c r="C44" s="520" t="s">
        <v>2073</v>
      </c>
      <c r="D44" s="519" t="s">
        <v>2074</v>
      </c>
      <c r="E44" s="520" t="s">
        <v>2046</v>
      </c>
    </row>
  </sheetData>
  <mergeCells count="10">
    <mergeCell ref="D28:D29"/>
    <mergeCell ref="E28:E29"/>
    <mergeCell ref="A6:A9"/>
    <mergeCell ref="B6:B9"/>
    <mergeCell ref="C6:C9"/>
    <mergeCell ref="E6:E9"/>
    <mergeCell ref="A10:A18"/>
    <mergeCell ref="B10:B18"/>
    <mergeCell ref="C10:C18"/>
    <mergeCell ref="E10:E18"/>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outlinePr summaryBelow="0" summaryRight="0"/>
  </sheetPr>
  <dimension ref="A1:G1000"/>
  <sheetViews>
    <sheetView workbookViewId="0">
      <selection activeCell="F4" sqref="F4"/>
    </sheetView>
  </sheetViews>
  <sheetFormatPr defaultColWidth="14.44140625" defaultRowHeight="15.75" customHeight="1"/>
  <cols>
    <col min="1" max="1" width="17" customWidth="1"/>
    <col min="2" max="2" width="29.88671875" customWidth="1"/>
    <col min="3" max="3" width="50.33203125" customWidth="1"/>
    <col min="4" max="4" width="48.109375" customWidth="1"/>
  </cols>
  <sheetData>
    <row r="1" spans="1:7" ht="52.8">
      <c r="A1" s="53" t="s">
        <v>64</v>
      </c>
      <c r="B1" s="53" t="s">
        <v>65</v>
      </c>
      <c r="C1" s="53" t="s">
        <v>66</v>
      </c>
      <c r="D1" s="53" t="s">
        <v>1326</v>
      </c>
      <c r="E1" s="53"/>
      <c r="F1" s="53" t="s">
        <v>1221</v>
      </c>
      <c r="G1" s="53" t="s">
        <v>1327</v>
      </c>
    </row>
    <row r="2" spans="1:7" ht="14.4" hidden="1">
      <c r="A2" s="96" t="s">
        <v>546</v>
      </c>
      <c r="B2" s="96" t="s">
        <v>526</v>
      </c>
      <c r="C2" s="456" t="s">
        <v>547</v>
      </c>
      <c r="D2" s="453"/>
      <c r="E2" s="453"/>
      <c r="F2" s="97">
        <f>MATCH(A2,'Master_crosswalk '!AL:AL,0)</f>
        <v>131</v>
      </c>
      <c r="G2" s="83"/>
    </row>
    <row r="3" spans="1:7" ht="14.4">
      <c r="A3" s="96" t="s">
        <v>536</v>
      </c>
      <c r="B3" s="456" t="s">
        <v>526</v>
      </c>
      <c r="C3" s="453"/>
      <c r="D3" s="456" t="s">
        <v>537</v>
      </c>
      <c r="E3" s="453"/>
      <c r="F3" s="97">
        <f>MATCH(A3,'Master_crosswalk '!AL:AL,0)</f>
        <v>128</v>
      </c>
      <c r="G3" s="83"/>
    </row>
    <row r="4" spans="1:7" ht="14.4">
      <c r="A4" s="96" t="s">
        <v>539</v>
      </c>
      <c r="B4" s="456" t="s">
        <v>526</v>
      </c>
      <c r="C4" s="453"/>
      <c r="D4" s="456" t="s">
        <v>540</v>
      </c>
      <c r="E4" s="453"/>
      <c r="F4" s="97">
        <f>MATCH(A4,'Master_crosswalk '!AL:AL,0)</f>
        <v>129</v>
      </c>
      <c r="G4" s="83"/>
    </row>
    <row r="5" spans="1:7" ht="14.4">
      <c r="A5" s="96" t="s">
        <v>525</v>
      </c>
      <c r="B5" s="456" t="s">
        <v>526</v>
      </c>
      <c r="C5" s="453"/>
      <c r="D5" s="456" t="s">
        <v>527</v>
      </c>
      <c r="E5" s="453"/>
      <c r="F5" s="97">
        <f>MATCH(A5,'Master_crosswalk '!AL:AL,0)</f>
        <v>126</v>
      </c>
      <c r="G5" s="83"/>
    </row>
    <row r="6" spans="1:7" ht="14.4">
      <c r="A6" s="96" t="s">
        <v>543</v>
      </c>
      <c r="B6" s="456" t="s">
        <v>526</v>
      </c>
      <c r="C6" s="453"/>
      <c r="D6" s="456" t="s">
        <v>544</v>
      </c>
      <c r="E6" s="453"/>
      <c r="F6" s="97">
        <f>MATCH(A6,'Master_crosswalk '!AL:AL,0)</f>
        <v>130</v>
      </c>
      <c r="G6" s="83"/>
    </row>
    <row r="7" spans="1:7" ht="14.4">
      <c r="A7" s="96" t="s">
        <v>676</v>
      </c>
      <c r="B7" s="96" t="s">
        <v>674</v>
      </c>
      <c r="C7" s="96" t="s">
        <v>1332</v>
      </c>
      <c r="D7" s="456" t="s">
        <v>1332</v>
      </c>
      <c r="E7" s="453"/>
      <c r="F7" s="97">
        <f>MATCH(A7,'Master_crosswalk '!AL:AL,0)</f>
        <v>170</v>
      </c>
      <c r="G7" s="83"/>
    </row>
    <row r="8" spans="1:7" ht="28.8">
      <c r="A8" s="96" t="s">
        <v>679</v>
      </c>
      <c r="B8" s="96" t="s">
        <v>674</v>
      </c>
      <c r="C8" s="96" t="s">
        <v>1335</v>
      </c>
      <c r="D8" s="456" t="s">
        <v>1335</v>
      </c>
      <c r="E8" s="453"/>
      <c r="F8" s="97">
        <f>MATCH(A8,'Master_crosswalk '!AL:AL,0)</f>
        <v>171</v>
      </c>
      <c r="G8" s="83"/>
    </row>
    <row r="9" spans="1:7" ht="14.4">
      <c r="A9" s="96" t="s">
        <v>681</v>
      </c>
      <c r="B9" s="96" t="s">
        <v>674</v>
      </c>
      <c r="C9" s="96" t="s">
        <v>1338</v>
      </c>
      <c r="D9" s="456" t="s">
        <v>1338</v>
      </c>
      <c r="E9" s="453"/>
      <c r="F9" s="97">
        <f>MATCH(A9,'Master_crosswalk '!AL:AL,0)</f>
        <v>172</v>
      </c>
      <c r="G9" s="83"/>
    </row>
    <row r="10" spans="1:7" ht="28.8">
      <c r="A10" s="96" t="s">
        <v>684</v>
      </c>
      <c r="B10" s="96" t="s">
        <v>674</v>
      </c>
      <c r="C10" s="96" t="s">
        <v>685</v>
      </c>
      <c r="D10" s="456" t="s">
        <v>685</v>
      </c>
      <c r="E10" s="453"/>
      <c r="F10" s="97">
        <f>MATCH(A10,'Master_crosswalk '!AL:AL,0)</f>
        <v>173</v>
      </c>
      <c r="G10" s="83"/>
    </row>
    <row r="11" spans="1:7" ht="14.4">
      <c r="A11" s="96" t="s">
        <v>688</v>
      </c>
      <c r="B11" s="96" t="s">
        <v>674</v>
      </c>
      <c r="C11" s="96" t="s">
        <v>689</v>
      </c>
      <c r="D11" s="456" t="s">
        <v>689</v>
      </c>
      <c r="E11" s="453"/>
      <c r="F11" s="97">
        <f>MATCH(A11,'Master_crosswalk '!AL:AL,0)</f>
        <v>174</v>
      </c>
      <c r="G11" s="83"/>
    </row>
    <row r="12" spans="1:7" ht="14.4">
      <c r="A12" s="96" t="s">
        <v>692</v>
      </c>
      <c r="B12" s="96" t="s">
        <v>674</v>
      </c>
      <c r="C12" s="96" t="s">
        <v>691</v>
      </c>
      <c r="D12" s="456" t="s">
        <v>691</v>
      </c>
      <c r="E12" s="453"/>
      <c r="F12" s="97">
        <f>MATCH(A12,'Master_crosswalk '!AL:AL,0)</f>
        <v>175</v>
      </c>
      <c r="G12" s="83"/>
    </row>
    <row r="13" spans="1:7" ht="14.4">
      <c r="A13" s="96" t="s">
        <v>694</v>
      </c>
      <c r="B13" s="96" t="s">
        <v>674</v>
      </c>
      <c r="C13" s="96" t="s">
        <v>693</v>
      </c>
      <c r="D13" s="456" t="s">
        <v>693</v>
      </c>
      <c r="E13" s="453"/>
      <c r="F13" s="97">
        <f>MATCH(A13,'Master_crosswalk '!AL:AL,0)</f>
        <v>176</v>
      </c>
      <c r="G13" s="83"/>
    </row>
    <row r="14" spans="1:7" ht="14.4">
      <c r="A14" s="96" t="s">
        <v>696</v>
      </c>
      <c r="B14" s="96" t="s">
        <v>674</v>
      </c>
      <c r="C14" s="96" t="s">
        <v>695</v>
      </c>
      <c r="D14" s="456" t="s">
        <v>695</v>
      </c>
      <c r="E14" s="453"/>
      <c r="F14" s="97">
        <f>MATCH(A14,'Master_crosswalk '!AL:AL,0)</f>
        <v>177</v>
      </c>
      <c r="G14" s="83"/>
    </row>
    <row r="15" spans="1:7" ht="14.4">
      <c r="A15" s="96" t="s">
        <v>698</v>
      </c>
      <c r="B15" s="96" t="s">
        <v>674</v>
      </c>
      <c r="C15" s="96" t="s">
        <v>697</v>
      </c>
      <c r="D15" s="456" t="s">
        <v>699</v>
      </c>
      <c r="E15" s="453"/>
      <c r="F15" s="97">
        <f>MATCH(A15,'Master_crosswalk '!AL:AL,0)</f>
        <v>178</v>
      </c>
      <c r="G15" s="83"/>
    </row>
    <row r="16" spans="1:7" ht="14.4">
      <c r="A16" s="96" t="s">
        <v>701</v>
      </c>
      <c r="B16" s="96" t="s">
        <v>674</v>
      </c>
      <c r="C16" s="96" t="s">
        <v>1340</v>
      </c>
      <c r="D16" s="456" t="s">
        <v>1340</v>
      </c>
      <c r="E16" s="453"/>
      <c r="F16" s="97">
        <f>MATCH(A16,'Master_crosswalk '!AL:AL,0)</f>
        <v>179</v>
      </c>
      <c r="G16" s="83"/>
    </row>
    <row r="17" spans="1:7" ht="14.4">
      <c r="A17" s="96" t="s">
        <v>704</v>
      </c>
      <c r="B17" s="96" t="s">
        <v>674</v>
      </c>
      <c r="C17" s="96" t="s">
        <v>1341</v>
      </c>
      <c r="D17" s="456" t="s">
        <v>1341</v>
      </c>
      <c r="E17" s="453"/>
      <c r="F17" s="97">
        <f>MATCH(A17,'Master_crosswalk '!AL:AL,0)</f>
        <v>180</v>
      </c>
      <c r="G17" s="83"/>
    </row>
    <row r="18" spans="1:7" ht="28.8">
      <c r="A18" s="96" t="s">
        <v>708</v>
      </c>
      <c r="B18" s="96" t="s">
        <v>674</v>
      </c>
      <c r="C18" s="96" t="s">
        <v>709</v>
      </c>
      <c r="D18" s="456" t="s">
        <v>709</v>
      </c>
      <c r="E18" s="453"/>
      <c r="F18" s="97">
        <f>MATCH(A18,'Master_crosswalk '!AL:AL,0)</f>
        <v>181</v>
      </c>
      <c r="G18" s="83"/>
    </row>
    <row r="19" spans="1:7" ht="14.4">
      <c r="A19" s="96" t="s">
        <v>711</v>
      </c>
      <c r="B19" s="96" t="s">
        <v>674</v>
      </c>
      <c r="C19" s="96" t="s">
        <v>1342</v>
      </c>
      <c r="D19" s="456" t="s">
        <v>1342</v>
      </c>
      <c r="E19" s="453"/>
      <c r="F19" s="97">
        <f>MATCH(A19,'Master_crosswalk '!AL:AL,0)</f>
        <v>182</v>
      </c>
      <c r="G19" s="83"/>
    </row>
    <row r="20" spans="1:7" ht="14.4">
      <c r="A20" s="96" t="s">
        <v>1097</v>
      </c>
      <c r="B20" s="96" t="s">
        <v>1098</v>
      </c>
      <c r="C20" s="96" t="s">
        <v>1099</v>
      </c>
      <c r="D20" s="456" t="s">
        <v>1099</v>
      </c>
      <c r="E20" s="453"/>
      <c r="F20" s="97">
        <f>MATCH(A20,'Master_crosswalk '!AL:AL,0)</f>
        <v>326</v>
      </c>
      <c r="G20" s="83"/>
    </row>
    <row r="21" spans="1:7" ht="14.4">
      <c r="A21" s="96" t="s">
        <v>1102</v>
      </c>
      <c r="B21" s="96" t="s">
        <v>1098</v>
      </c>
      <c r="C21" s="96" t="s">
        <v>1103</v>
      </c>
      <c r="D21" s="456" t="s">
        <v>1103</v>
      </c>
      <c r="E21" s="453"/>
      <c r="F21" s="97">
        <f>MATCH(A21,'Master_crosswalk '!AL:AL,0)</f>
        <v>327</v>
      </c>
      <c r="G21" s="83"/>
    </row>
    <row r="22" spans="1:7" ht="100.8">
      <c r="A22" s="101" t="s">
        <v>1343</v>
      </c>
      <c r="B22" s="101" t="s">
        <v>427</v>
      </c>
      <c r="C22" s="101" t="s">
        <v>1344</v>
      </c>
      <c r="D22" s="101" t="s">
        <v>1344</v>
      </c>
      <c r="E22" s="101"/>
      <c r="F22" s="97" t="e">
        <f>MATCH(A22,'Master_crosswalk '!AL:AL,0)</f>
        <v>#N/A</v>
      </c>
      <c r="G22" s="101" t="s">
        <v>1345</v>
      </c>
    </row>
    <row r="23" spans="1:7" ht="14.4">
      <c r="A23" s="96" t="s">
        <v>458</v>
      </c>
      <c r="B23" s="96" t="s">
        <v>427</v>
      </c>
      <c r="C23" s="96" t="s">
        <v>457</v>
      </c>
      <c r="D23" s="456" t="s">
        <v>457</v>
      </c>
      <c r="E23" s="453"/>
      <c r="F23" s="97">
        <f>MATCH(A23,'Master_crosswalk '!AL:AL,0)</f>
        <v>103</v>
      </c>
      <c r="G23" s="83"/>
    </row>
    <row r="24" spans="1:7" ht="14.4">
      <c r="A24" s="96" t="s">
        <v>460</v>
      </c>
      <c r="B24" s="96" t="s">
        <v>427</v>
      </c>
      <c r="C24" s="96" t="s">
        <v>459</v>
      </c>
      <c r="D24" s="456" t="s">
        <v>459</v>
      </c>
      <c r="E24" s="453"/>
      <c r="F24" s="97">
        <f>MATCH(A24,'Master_crosswalk '!AL:AL,0)</f>
        <v>104</v>
      </c>
      <c r="G24" s="83"/>
    </row>
    <row r="25" spans="1:7" ht="28.8">
      <c r="A25" s="96" t="s">
        <v>462</v>
      </c>
      <c r="B25" s="96" t="s">
        <v>427</v>
      </c>
      <c r="C25" s="96" t="s">
        <v>461</v>
      </c>
      <c r="D25" s="456" t="s">
        <v>461</v>
      </c>
      <c r="E25" s="453"/>
      <c r="F25" s="97">
        <f>MATCH(A25,'Master_crosswalk '!AL:AL,0)</f>
        <v>105</v>
      </c>
      <c r="G25" s="83"/>
    </row>
    <row r="26" spans="1:7" ht="14.4">
      <c r="A26" s="96" t="s">
        <v>464</v>
      </c>
      <c r="B26" s="96" t="s">
        <v>427</v>
      </c>
      <c r="C26" s="96" t="s">
        <v>465</v>
      </c>
      <c r="D26" s="456" t="s">
        <v>465</v>
      </c>
      <c r="E26" s="453"/>
      <c r="F26" s="97">
        <f>MATCH(A26,'Master_crosswalk '!AL:AL,0)</f>
        <v>106</v>
      </c>
      <c r="G26" s="83"/>
    </row>
    <row r="27" spans="1:7" ht="14.4">
      <c r="A27" s="96" t="s">
        <v>467</v>
      </c>
      <c r="B27" s="96" t="s">
        <v>427</v>
      </c>
      <c r="C27" s="96" t="s">
        <v>468</v>
      </c>
      <c r="D27" s="456" t="s">
        <v>468</v>
      </c>
      <c r="E27" s="453"/>
      <c r="F27" s="97">
        <f>MATCH(A27,'Master_crosswalk '!AL:AL,0)</f>
        <v>107</v>
      </c>
      <c r="G27" s="83"/>
    </row>
    <row r="28" spans="1:7" ht="14.4">
      <c r="A28" s="96" t="s">
        <v>470</v>
      </c>
      <c r="B28" s="96" t="s">
        <v>427</v>
      </c>
      <c r="C28" s="96" t="s">
        <v>471</v>
      </c>
      <c r="D28" s="456" t="s">
        <v>471</v>
      </c>
      <c r="E28" s="453"/>
      <c r="F28" s="97">
        <f>MATCH(A28,'Master_crosswalk '!AL:AL,0)</f>
        <v>108</v>
      </c>
      <c r="G28" s="83"/>
    </row>
    <row r="29" spans="1:7" ht="14.4" hidden="1">
      <c r="A29" s="96" t="s">
        <v>473</v>
      </c>
      <c r="B29" s="96" t="s">
        <v>427</v>
      </c>
      <c r="C29" s="456" t="s">
        <v>474</v>
      </c>
      <c r="D29" s="453"/>
      <c r="E29" s="453"/>
      <c r="F29" s="97">
        <f>MATCH(A29,'Master_crosswalk '!AL:AL,0)</f>
        <v>109</v>
      </c>
      <c r="G29" s="83"/>
    </row>
    <row r="30" spans="1:7" ht="14.4" hidden="1">
      <c r="A30" s="96" t="s">
        <v>476</v>
      </c>
      <c r="B30" s="96" t="s">
        <v>427</v>
      </c>
      <c r="C30" s="456" t="s">
        <v>477</v>
      </c>
      <c r="D30" s="453"/>
      <c r="E30" s="453"/>
      <c r="F30" s="97">
        <f>MATCH(A30,'Master_crosswalk '!AL:AL,0)</f>
        <v>110</v>
      </c>
      <c r="G30" s="83"/>
    </row>
    <row r="31" spans="1:7" ht="14.4">
      <c r="A31" s="96" t="s">
        <v>455</v>
      </c>
      <c r="B31" s="96" t="s">
        <v>405</v>
      </c>
      <c r="C31" s="96" t="s">
        <v>456</v>
      </c>
      <c r="D31" s="456" t="s">
        <v>456</v>
      </c>
      <c r="E31" s="453"/>
      <c r="F31" s="97">
        <f>MATCH(A31,'Master_crosswalk '!AL:AL,0)</f>
        <v>102</v>
      </c>
      <c r="G31" s="83"/>
    </row>
    <row r="32" spans="1:7" ht="14.4">
      <c r="A32" s="96" t="s">
        <v>479</v>
      </c>
      <c r="B32" s="96" t="s">
        <v>405</v>
      </c>
      <c r="C32" s="96" t="s">
        <v>480</v>
      </c>
      <c r="D32" s="456" t="s">
        <v>480</v>
      </c>
      <c r="E32" s="453"/>
      <c r="F32" s="97">
        <f>MATCH(A32,'Master_crosswalk '!AL:AL,0)</f>
        <v>112</v>
      </c>
      <c r="G32" s="83"/>
    </row>
    <row r="33" spans="1:7" ht="14.4">
      <c r="A33" s="96" t="s">
        <v>482</v>
      </c>
      <c r="B33" s="96" t="s">
        <v>405</v>
      </c>
      <c r="C33" s="96" t="s">
        <v>481</v>
      </c>
      <c r="D33" s="456" t="s">
        <v>481</v>
      </c>
      <c r="E33" s="453"/>
      <c r="F33" s="97">
        <f>MATCH(A33,'Master_crosswalk '!AL:AL,0)</f>
        <v>113</v>
      </c>
      <c r="G33" s="83"/>
    </row>
    <row r="34" spans="1:7" ht="14.4">
      <c r="A34" s="96" t="s">
        <v>484</v>
      </c>
      <c r="B34" s="96" t="s">
        <v>405</v>
      </c>
      <c r="C34" s="96" t="s">
        <v>483</v>
      </c>
      <c r="D34" s="456" t="s">
        <v>483</v>
      </c>
      <c r="E34" s="453"/>
      <c r="F34" s="97">
        <f>MATCH(A34,'Master_crosswalk '!AL:AL,0)</f>
        <v>114</v>
      </c>
      <c r="G34" s="83"/>
    </row>
    <row r="35" spans="1:7" ht="14.4">
      <c r="A35" s="96" t="s">
        <v>404</v>
      </c>
      <c r="B35" s="96" t="s">
        <v>405</v>
      </c>
      <c r="C35" s="96" t="s">
        <v>406</v>
      </c>
      <c r="D35" s="456" t="s">
        <v>406</v>
      </c>
      <c r="E35" s="453"/>
      <c r="F35" s="97">
        <f>MATCH(A35,'Master_crosswalk '!AL:AL,0)</f>
        <v>93</v>
      </c>
      <c r="G35" s="83"/>
    </row>
    <row r="36" spans="1:7" ht="14.4">
      <c r="A36" s="96" t="s">
        <v>486</v>
      </c>
      <c r="B36" s="96" t="s">
        <v>405</v>
      </c>
      <c r="C36" s="96" t="s">
        <v>487</v>
      </c>
      <c r="D36" s="456" t="s">
        <v>487</v>
      </c>
      <c r="E36" s="453"/>
      <c r="F36" s="97">
        <f>MATCH(A36,'Master_crosswalk '!AL:AL,0)</f>
        <v>115</v>
      </c>
      <c r="G36" s="83"/>
    </row>
    <row r="37" spans="1:7" ht="14.4">
      <c r="A37" s="96" t="s">
        <v>298</v>
      </c>
      <c r="B37" s="96" t="s">
        <v>270</v>
      </c>
      <c r="C37" s="96" t="s">
        <v>299</v>
      </c>
      <c r="D37" s="456" t="s">
        <v>299</v>
      </c>
      <c r="E37" s="453"/>
      <c r="F37" s="97">
        <f>MATCH(A37,'Master_crosswalk '!AL:AL,0)</f>
        <v>68</v>
      </c>
      <c r="G37" s="83"/>
    </row>
    <row r="38" spans="1:7" ht="14.4">
      <c r="A38" s="96" t="s">
        <v>346</v>
      </c>
      <c r="B38" s="96" t="s">
        <v>270</v>
      </c>
      <c r="C38" s="96" t="s">
        <v>347</v>
      </c>
      <c r="D38" s="456" t="s">
        <v>347</v>
      </c>
      <c r="E38" s="453"/>
      <c r="F38" s="97">
        <f>MATCH(A38,'Master_crosswalk '!AL:AL,0)</f>
        <v>78</v>
      </c>
      <c r="G38" s="83"/>
    </row>
    <row r="39" spans="1:7" ht="14.4">
      <c r="A39" s="96" t="s">
        <v>349</v>
      </c>
      <c r="B39" s="96" t="s">
        <v>270</v>
      </c>
      <c r="C39" s="96" t="s">
        <v>348</v>
      </c>
      <c r="D39" s="456" t="s">
        <v>348</v>
      </c>
      <c r="E39" s="453"/>
      <c r="F39" s="97">
        <f>MATCH(A39,'Master_crosswalk '!AL:AL,0)</f>
        <v>79</v>
      </c>
      <c r="G39" s="83"/>
    </row>
    <row r="40" spans="1:7" ht="14.4">
      <c r="A40" s="96" t="s">
        <v>353</v>
      </c>
      <c r="B40" s="96" t="s">
        <v>270</v>
      </c>
      <c r="C40" s="96" t="s">
        <v>1347</v>
      </c>
      <c r="D40" s="456" t="s">
        <v>1347</v>
      </c>
      <c r="E40" s="453"/>
      <c r="F40" s="97">
        <f>MATCH(A40,'Master_crosswalk '!AL:AL,0)</f>
        <v>80</v>
      </c>
      <c r="G40" s="83"/>
    </row>
    <row r="41" spans="1:7" ht="14.4">
      <c r="A41" s="96" t="s">
        <v>355</v>
      </c>
      <c r="B41" s="96" t="s">
        <v>270</v>
      </c>
      <c r="C41" s="96" t="s">
        <v>1348</v>
      </c>
      <c r="D41" s="456" t="s">
        <v>1348</v>
      </c>
      <c r="E41" s="453"/>
      <c r="F41" s="97">
        <f>MATCH(A41,'Master_crosswalk '!AL:AL,0)</f>
        <v>81</v>
      </c>
      <c r="G41" s="83"/>
    </row>
    <row r="42" spans="1:7" ht="14.4">
      <c r="A42" s="96" t="s">
        <v>310</v>
      </c>
      <c r="B42" s="96" t="s">
        <v>270</v>
      </c>
      <c r="C42" s="96" t="s">
        <v>311</v>
      </c>
      <c r="D42" s="456" t="s">
        <v>311</v>
      </c>
      <c r="E42" s="453"/>
      <c r="F42" s="97">
        <f>MATCH(A42,'Master_crosswalk '!AL:AL,0)</f>
        <v>69</v>
      </c>
      <c r="G42" s="83"/>
    </row>
    <row r="43" spans="1:7" ht="93">
      <c r="A43" s="101" t="s">
        <v>269</v>
      </c>
      <c r="B43" s="101" t="s">
        <v>270</v>
      </c>
      <c r="C43" s="101" t="s">
        <v>271</v>
      </c>
      <c r="D43" s="457" t="s">
        <v>271</v>
      </c>
      <c r="E43" s="453"/>
      <c r="F43" s="97">
        <f>MATCH(A43,'Master_crosswalk '!AL:AL,0)</f>
        <v>65</v>
      </c>
      <c r="G43" s="107" t="s">
        <v>1345</v>
      </c>
    </row>
    <row r="44" spans="1:7" ht="14.4">
      <c r="A44" s="96" t="s">
        <v>364</v>
      </c>
      <c r="B44" s="96" t="s">
        <v>270</v>
      </c>
      <c r="C44" s="96" t="s">
        <v>365</v>
      </c>
      <c r="D44" s="456" t="s">
        <v>365</v>
      </c>
      <c r="E44" s="453"/>
      <c r="F44" s="97">
        <f>MATCH(A44,'Master_crosswalk '!AL:AL,0)</f>
        <v>86</v>
      </c>
      <c r="G44" s="83"/>
    </row>
    <row r="45" spans="1:7" ht="14.4">
      <c r="A45" s="96" t="s">
        <v>320</v>
      </c>
      <c r="B45" s="96" t="s">
        <v>270</v>
      </c>
      <c r="C45" s="96" t="s">
        <v>321</v>
      </c>
      <c r="D45" s="456" t="s">
        <v>321</v>
      </c>
      <c r="E45" s="453"/>
      <c r="F45" s="97">
        <f>MATCH(A45,'Master_crosswalk '!AL:AL,0)</f>
        <v>71</v>
      </c>
      <c r="G45" s="83"/>
    </row>
    <row r="46" spans="1:7" ht="14.4">
      <c r="A46" s="96" t="s">
        <v>316</v>
      </c>
      <c r="B46" s="96" t="s">
        <v>270</v>
      </c>
      <c r="C46" s="96" t="s">
        <v>317</v>
      </c>
      <c r="D46" s="456" t="s">
        <v>317</v>
      </c>
      <c r="E46" s="453"/>
      <c r="F46" s="97">
        <f>MATCH(A46,'Master_crosswalk '!AL:AL,0)</f>
        <v>70</v>
      </c>
      <c r="G46" s="83"/>
    </row>
    <row r="47" spans="1:7" ht="14.4">
      <c r="A47" s="96" t="s">
        <v>343</v>
      </c>
      <c r="B47" s="96" t="s">
        <v>270</v>
      </c>
      <c r="C47" s="96" t="s">
        <v>344</v>
      </c>
      <c r="D47" s="456" t="s">
        <v>344</v>
      </c>
      <c r="E47" s="453"/>
      <c r="F47" s="97">
        <f>MATCH(A47,'Master_crosswalk '!AL:AL,0)</f>
        <v>77</v>
      </c>
      <c r="G47" s="83"/>
    </row>
    <row r="48" spans="1:7" ht="14.4">
      <c r="A48" s="96" t="s">
        <v>778</v>
      </c>
      <c r="B48" s="96" t="s">
        <v>776</v>
      </c>
      <c r="C48" s="96" t="s">
        <v>777</v>
      </c>
      <c r="D48" s="456" t="s">
        <v>777</v>
      </c>
      <c r="E48" s="453"/>
      <c r="F48" s="97">
        <f>MATCH(A48,'Master_crosswalk '!AL:AL,0)</f>
        <v>207</v>
      </c>
      <c r="G48" s="83"/>
    </row>
    <row r="49" spans="1:7" ht="14.4">
      <c r="A49" s="96" t="s">
        <v>780</v>
      </c>
      <c r="B49" s="96" t="s">
        <v>776</v>
      </c>
      <c r="C49" s="96" t="s">
        <v>781</v>
      </c>
      <c r="D49" s="456" t="s">
        <v>782</v>
      </c>
      <c r="E49" s="453"/>
      <c r="F49" s="97">
        <f>MATCH(A49,'Master_crosswalk '!AL:AL,0)</f>
        <v>208</v>
      </c>
      <c r="G49" s="83"/>
    </row>
    <row r="50" spans="1:7" ht="14.4">
      <c r="A50" s="96" t="s">
        <v>784</v>
      </c>
      <c r="B50" s="96" t="s">
        <v>776</v>
      </c>
      <c r="C50" s="96" t="s">
        <v>783</v>
      </c>
      <c r="D50" s="456" t="s">
        <v>783</v>
      </c>
      <c r="E50" s="453"/>
      <c r="F50" s="97">
        <f>MATCH(A50,'Master_crosswalk '!AL:AL,0)</f>
        <v>209</v>
      </c>
      <c r="G50" s="83"/>
    </row>
    <row r="51" spans="1:7" ht="14.4">
      <c r="A51" s="96" t="s">
        <v>786</v>
      </c>
      <c r="B51" s="96" t="s">
        <v>776</v>
      </c>
      <c r="C51" s="96" t="s">
        <v>787</v>
      </c>
      <c r="D51" s="456" t="s">
        <v>788</v>
      </c>
      <c r="E51" s="453"/>
      <c r="F51" s="97">
        <f>MATCH(A51,'Master_crosswalk '!AL:AL,0)</f>
        <v>210</v>
      </c>
      <c r="G51" s="83"/>
    </row>
    <row r="52" spans="1:7" ht="14.4">
      <c r="A52" s="96" t="s">
        <v>791</v>
      </c>
      <c r="B52" s="96" t="s">
        <v>776</v>
      </c>
      <c r="C52" s="96" t="s">
        <v>792</v>
      </c>
      <c r="D52" s="456" t="s">
        <v>790</v>
      </c>
      <c r="E52" s="453"/>
      <c r="F52" s="97">
        <f>MATCH(A52,'Master_crosswalk '!AL:AL,0)</f>
        <v>211</v>
      </c>
      <c r="G52" s="83"/>
    </row>
    <row r="53" spans="1:7" ht="93">
      <c r="A53" s="101" t="s">
        <v>794</v>
      </c>
      <c r="B53" s="101" t="s">
        <v>776</v>
      </c>
      <c r="C53" s="101" t="s">
        <v>795</v>
      </c>
      <c r="D53" s="457" t="s">
        <v>796</v>
      </c>
      <c r="E53" s="453"/>
      <c r="F53" s="97">
        <f>MATCH(A53,'Master_crosswalk '!AL:AL,0)</f>
        <v>212</v>
      </c>
      <c r="G53" s="107" t="s">
        <v>1349</v>
      </c>
    </row>
    <row r="54" spans="1:7" ht="93">
      <c r="A54" s="101" t="s">
        <v>797</v>
      </c>
      <c r="B54" s="101" t="s">
        <v>776</v>
      </c>
      <c r="C54" s="101" t="s">
        <v>796</v>
      </c>
      <c r="D54" s="457" t="s">
        <v>796</v>
      </c>
      <c r="E54" s="453"/>
      <c r="F54" s="97">
        <f>MATCH(A54,'Master_crosswalk '!AL:AL,0)</f>
        <v>213</v>
      </c>
      <c r="G54" s="107" t="s">
        <v>1349</v>
      </c>
    </row>
    <row r="55" spans="1:7" ht="14.4">
      <c r="A55" s="96" t="s">
        <v>799</v>
      </c>
      <c r="B55" s="96" t="s">
        <v>776</v>
      </c>
      <c r="C55" s="96" t="s">
        <v>798</v>
      </c>
      <c r="D55" s="456" t="s">
        <v>798</v>
      </c>
      <c r="E55" s="453"/>
      <c r="F55" s="97">
        <f>MATCH(A55,'Master_crosswalk '!AL:AL,0)</f>
        <v>214</v>
      </c>
      <c r="G55" s="83"/>
    </row>
    <row r="56" spans="1:7" ht="14.4">
      <c r="A56" s="96" t="s">
        <v>801</v>
      </c>
      <c r="B56" s="96" t="s">
        <v>776</v>
      </c>
      <c r="C56" s="96" t="s">
        <v>802</v>
      </c>
      <c r="D56" s="456" t="s">
        <v>802</v>
      </c>
      <c r="E56" s="453"/>
      <c r="F56" s="97">
        <f>MATCH(A56,'Master_crosswalk '!AL:AL,0)</f>
        <v>215</v>
      </c>
      <c r="G56" s="83"/>
    </row>
    <row r="57" spans="1:7" ht="14.4">
      <c r="A57" s="96" t="s">
        <v>804</v>
      </c>
      <c r="B57" s="96" t="s">
        <v>776</v>
      </c>
      <c r="C57" s="96" t="s">
        <v>805</v>
      </c>
      <c r="D57" s="456" t="s">
        <v>806</v>
      </c>
      <c r="E57" s="453"/>
      <c r="F57" s="97">
        <f>MATCH(A57,'Master_crosswalk '!AL:AL,0)</f>
        <v>216</v>
      </c>
      <c r="G57" s="83"/>
    </row>
    <row r="58" spans="1:7" ht="14.4">
      <c r="A58" s="96" t="s">
        <v>808</v>
      </c>
      <c r="B58" s="96" t="s">
        <v>776</v>
      </c>
      <c r="C58" s="96" t="s">
        <v>809</v>
      </c>
      <c r="D58" s="456" t="s">
        <v>810</v>
      </c>
      <c r="E58" s="453"/>
      <c r="F58" s="97">
        <f>MATCH(A58,'Master_crosswalk '!AL:AL,0)</f>
        <v>217</v>
      </c>
      <c r="G58" s="83"/>
    </row>
    <row r="59" spans="1:7" ht="14.4">
      <c r="A59" s="96" t="s">
        <v>812</v>
      </c>
      <c r="B59" s="96" t="s">
        <v>776</v>
      </c>
      <c r="C59" s="96" t="s">
        <v>813</v>
      </c>
      <c r="D59" s="456" t="s">
        <v>814</v>
      </c>
      <c r="E59" s="453"/>
      <c r="F59" s="97">
        <f>MATCH(A59,'Master_crosswalk '!AL:AL,0)</f>
        <v>218</v>
      </c>
      <c r="G59" s="83"/>
    </row>
    <row r="60" spans="1:7" ht="14.4">
      <c r="A60" s="96" t="s">
        <v>499</v>
      </c>
      <c r="B60" s="96" t="s">
        <v>292</v>
      </c>
      <c r="C60" s="96" t="s">
        <v>500</v>
      </c>
      <c r="D60" s="456" t="s">
        <v>500</v>
      </c>
      <c r="E60" s="453"/>
      <c r="F60" s="97">
        <f>MATCH(A60,'Master_crosswalk '!AL:AL,0)</f>
        <v>119</v>
      </c>
      <c r="G60" s="83"/>
    </row>
    <row r="61" spans="1:7" ht="14.4">
      <c r="A61" s="96" t="s">
        <v>291</v>
      </c>
      <c r="B61" s="96" t="s">
        <v>292</v>
      </c>
      <c r="C61" s="96" t="s">
        <v>293</v>
      </c>
      <c r="D61" s="456" t="s">
        <v>293</v>
      </c>
      <c r="E61" s="453"/>
      <c r="F61" s="97">
        <f>MATCH(A61,'Master_crosswalk '!AL:AL,0)</f>
        <v>67</v>
      </c>
      <c r="G61" s="83"/>
    </row>
    <row r="62" spans="1:7" ht="28.8">
      <c r="A62" s="96" t="s">
        <v>1106</v>
      </c>
      <c r="B62" s="96" t="s">
        <v>1104</v>
      </c>
      <c r="C62" s="96" t="s">
        <v>1107</v>
      </c>
      <c r="D62" s="456" t="s">
        <v>1107</v>
      </c>
      <c r="E62" s="453"/>
      <c r="F62" s="97">
        <f>MATCH(A62,'Master_crosswalk '!AL:AL,0)</f>
        <v>328</v>
      </c>
      <c r="G62" s="83"/>
    </row>
    <row r="63" spans="1:7" ht="28.8">
      <c r="A63" s="96" t="s">
        <v>1109</v>
      </c>
      <c r="B63" s="96" t="s">
        <v>1104</v>
      </c>
      <c r="C63" s="96" t="s">
        <v>1110</v>
      </c>
      <c r="D63" s="456" t="s">
        <v>1110</v>
      </c>
      <c r="E63" s="453"/>
      <c r="F63" s="97">
        <f>MATCH(A63,'Master_crosswalk '!AL:AL,0)</f>
        <v>329</v>
      </c>
      <c r="G63" s="83"/>
    </row>
    <row r="64" spans="1:7" ht="28.8">
      <c r="A64" s="96" t="s">
        <v>1112</v>
      </c>
      <c r="B64" s="96" t="s">
        <v>1104</v>
      </c>
      <c r="C64" s="96" t="s">
        <v>1113</v>
      </c>
      <c r="D64" s="456" t="s">
        <v>1113</v>
      </c>
      <c r="E64" s="453"/>
      <c r="F64" s="97">
        <f>MATCH(A64,'Master_crosswalk '!AL:AL,0)</f>
        <v>330</v>
      </c>
      <c r="G64" s="83"/>
    </row>
    <row r="65" spans="1:7" ht="14.4">
      <c r="A65" s="96" t="s">
        <v>1115</v>
      </c>
      <c r="B65" s="96" t="s">
        <v>1104</v>
      </c>
      <c r="C65" s="96" t="s">
        <v>1116</v>
      </c>
      <c r="D65" s="456" t="s">
        <v>1116</v>
      </c>
      <c r="E65" s="453"/>
      <c r="F65" s="97">
        <f>MATCH(A65,'Master_crosswalk '!AL:AL,0)</f>
        <v>331</v>
      </c>
      <c r="G65" s="83"/>
    </row>
    <row r="66" spans="1:7" ht="28.8">
      <c r="A66" s="96" t="s">
        <v>1118</v>
      </c>
      <c r="B66" s="96" t="s">
        <v>1104</v>
      </c>
      <c r="C66" s="96" t="s">
        <v>1119</v>
      </c>
      <c r="D66" s="456" t="s">
        <v>1119</v>
      </c>
      <c r="E66" s="453"/>
      <c r="F66" s="97">
        <f>MATCH(A66,'Master_crosswalk '!AL:AL,0)</f>
        <v>332</v>
      </c>
      <c r="G66" s="83"/>
    </row>
    <row r="67" spans="1:7" ht="14.4">
      <c r="A67" s="96" t="s">
        <v>1121</v>
      </c>
      <c r="B67" s="96" t="s">
        <v>1104</v>
      </c>
      <c r="C67" s="96" t="s">
        <v>1122</v>
      </c>
      <c r="D67" s="456" t="s">
        <v>1122</v>
      </c>
      <c r="E67" s="453"/>
      <c r="F67" s="97">
        <f>MATCH(A67,'Master_crosswalk '!AL:AL,0)</f>
        <v>333</v>
      </c>
      <c r="G67" s="83"/>
    </row>
    <row r="68" spans="1:7" ht="14.4">
      <c r="A68" s="96" t="s">
        <v>1124</v>
      </c>
      <c r="B68" s="96" t="s">
        <v>1104</v>
      </c>
      <c r="C68" s="96" t="s">
        <v>1125</v>
      </c>
      <c r="D68" s="456" t="s">
        <v>1125</v>
      </c>
      <c r="E68" s="453"/>
      <c r="F68" s="97">
        <f>MATCH(A68,'Master_crosswalk '!AL:AL,0)</f>
        <v>334</v>
      </c>
      <c r="G68" s="83"/>
    </row>
    <row r="69" spans="1:7" ht="14.4">
      <c r="A69" s="96" t="s">
        <v>1127</v>
      </c>
      <c r="B69" s="96" t="s">
        <v>1104</v>
      </c>
      <c r="C69" s="96" t="s">
        <v>1128</v>
      </c>
      <c r="D69" s="456" t="s">
        <v>1128</v>
      </c>
      <c r="E69" s="453"/>
      <c r="F69" s="97">
        <f>MATCH(A69,'Master_crosswalk '!AL:AL,0)</f>
        <v>335</v>
      </c>
      <c r="G69" s="83"/>
    </row>
    <row r="70" spans="1:7" ht="14.4">
      <c r="A70" s="96" t="s">
        <v>1130</v>
      </c>
      <c r="B70" s="96" t="s">
        <v>1104</v>
      </c>
      <c r="C70" s="96" t="s">
        <v>1131</v>
      </c>
      <c r="D70" s="456" t="s">
        <v>1131</v>
      </c>
      <c r="E70" s="453"/>
      <c r="F70" s="97">
        <f>MATCH(A70,'Master_crosswalk '!AL:AL,0)</f>
        <v>336</v>
      </c>
      <c r="G70" s="83"/>
    </row>
    <row r="71" spans="1:7" ht="14.4">
      <c r="A71" s="96" t="s">
        <v>1133</v>
      </c>
      <c r="B71" s="96" t="s">
        <v>1104</v>
      </c>
      <c r="C71" s="96" t="s">
        <v>1134</v>
      </c>
      <c r="D71" s="456" t="s">
        <v>1134</v>
      </c>
      <c r="E71" s="453"/>
      <c r="F71" s="97">
        <f>MATCH(A71,'Master_crosswalk '!AL:AL,0)</f>
        <v>337</v>
      </c>
      <c r="G71" s="83"/>
    </row>
    <row r="72" spans="1:7" ht="14.4">
      <c r="A72" s="96" t="s">
        <v>1136</v>
      </c>
      <c r="B72" s="96" t="s">
        <v>1104</v>
      </c>
      <c r="C72" s="96" t="s">
        <v>1137</v>
      </c>
      <c r="D72" s="456" t="s">
        <v>1137</v>
      </c>
      <c r="E72" s="453"/>
      <c r="F72" s="97">
        <f>MATCH(A72,'Master_crosswalk '!AL:AL,0)</f>
        <v>338</v>
      </c>
      <c r="G72" s="83"/>
    </row>
    <row r="73" spans="1:7" ht="14.4">
      <c r="A73" s="96" t="s">
        <v>1139</v>
      </c>
      <c r="B73" s="96" t="s">
        <v>1104</v>
      </c>
      <c r="C73" s="96" t="s">
        <v>1140</v>
      </c>
      <c r="D73" s="456" t="s">
        <v>1140</v>
      </c>
      <c r="E73" s="453"/>
      <c r="F73" s="97">
        <f>MATCH(A73,'Master_crosswalk '!AL:AL,0)</f>
        <v>339</v>
      </c>
      <c r="G73" s="83"/>
    </row>
    <row r="74" spans="1:7" ht="14.4">
      <c r="A74" s="96" t="s">
        <v>1142</v>
      </c>
      <c r="B74" s="96" t="s">
        <v>1104</v>
      </c>
      <c r="C74" s="96" t="s">
        <v>1143</v>
      </c>
      <c r="D74" s="456" t="s">
        <v>1143</v>
      </c>
      <c r="E74" s="453"/>
      <c r="F74" s="97">
        <f>MATCH(A74,'Master_crosswalk '!AL:AL,0)</f>
        <v>340</v>
      </c>
      <c r="G74" s="83"/>
    </row>
    <row r="75" spans="1:7" ht="28.8">
      <c r="A75" s="96" t="s">
        <v>1144</v>
      </c>
      <c r="B75" s="96" t="s">
        <v>1104</v>
      </c>
      <c r="C75" s="96" t="s">
        <v>1145</v>
      </c>
      <c r="D75" s="456" t="s">
        <v>1145</v>
      </c>
      <c r="E75" s="453"/>
      <c r="F75" s="97">
        <f>MATCH(A75,'Master_crosswalk '!AL:AL,0)</f>
        <v>341</v>
      </c>
      <c r="G75" s="83"/>
    </row>
    <row r="76" spans="1:7" ht="14.4">
      <c r="A76" s="96" t="s">
        <v>372</v>
      </c>
      <c r="B76" s="96" t="s">
        <v>327</v>
      </c>
      <c r="C76" s="96" t="s">
        <v>373</v>
      </c>
      <c r="D76" s="456" t="s">
        <v>373</v>
      </c>
      <c r="E76" s="453"/>
      <c r="F76" s="97">
        <f>MATCH(A76,'Master_crosswalk '!AL:AL,0)</f>
        <v>88</v>
      </c>
      <c r="G76" s="110" t="s">
        <v>1350</v>
      </c>
    </row>
    <row r="77" spans="1:7" ht="14.4">
      <c r="A77" s="96" t="s">
        <v>326</v>
      </c>
      <c r="B77" s="96" t="s">
        <v>327</v>
      </c>
      <c r="C77" s="96" t="s">
        <v>328</v>
      </c>
      <c r="D77" s="456" t="s">
        <v>328</v>
      </c>
      <c r="E77" s="453"/>
      <c r="F77" s="97">
        <f>MATCH(A77,'Master_crosswalk '!AL:AL,0)</f>
        <v>72</v>
      </c>
      <c r="G77" s="83"/>
    </row>
    <row r="78" spans="1:7" ht="14.4">
      <c r="A78" s="96" t="s">
        <v>1351</v>
      </c>
      <c r="B78" s="96" t="s">
        <v>327</v>
      </c>
      <c r="C78" s="96" t="s">
        <v>1352</v>
      </c>
      <c r="D78" s="456" t="s">
        <v>1352</v>
      </c>
      <c r="E78" s="453"/>
      <c r="F78" s="97" t="e">
        <f>MATCH(A78,'Master_crosswalk '!AL:AL,0)</f>
        <v>#N/A</v>
      </c>
      <c r="G78" s="83"/>
    </row>
    <row r="79" spans="1:7" ht="14.4">
      <c r="A79" s="96" t="s">
        <v>1354</v>
      </c>
      <c r="B79" s="96" t="s">
        <v>327</v>
      </c>
      <c r="C79" s="96" t="s">
        <v>1355</v>
      </c>
      <c r="D79" s="456" t="s">
        <v>1355</v>
      </c>
      <c r="E79" s="453"/>
      <c r="F79" s="97" t="e">
        <f>MATCH(A79,'Master_crosswalk '!AL:AL,0)</f>
        <v>#N/A</v>
      </c>
      <c r="G79" s="83"/>
    </row>
    <row r="80" spans="1:7" ht="14.4">
      <c r="A80" s="96" t="s">
        <v>1356</v>
      </c>
      <c r="B80" s="96" t="s">
        <v>327</v>
      </c>
      <c r="C80" s="96" t="s">
        <v>1357</v>
      </c>
      <c r="D80" s="456" t="s">
        <v>1357</v>
      </c>
      <c r="E80" s="453"/>
      <c r="F80" s="97" t="e">
        <f>MATCH(A80,'Master_crosswalk '!AL:AL,0)</f>
        <v>#N/A</v>
      </c>
      <c r="G80" s="83"/>
    </row>
    <row r="81" spans="1:7" ht="14.4">
      <c r="A81" s="96" t="s">
        <v>1358</v>
      </c>
      <c r="B81" s="96" t="s">
        <v>327</v>
      </c>
      <c r="C81" s="96" t="s">
        <v>1359</v>
      </c>
      <c r="D81" s="456" t="s">
        <v>1359</v>
      </c>
      <c r="E81" s="453"/>
      <c r="F81" s="97" t="e">
        <f>MATCH(A81,'Master_crosswalk '!AL:AL,0)</f>
        <v>#N/A</v>
      </c>
      <c r="G81" s="83"/>
    </row>
    <row r="82" spans="1:7" ht="14.4">
      <c r="A82" s="96" t="s">
        <v>1360</v>
      </c>
      <c r="B82" s="96" t="s">
        <v>327</v>
      </c>
      <c r="C82" s="96" t="s">
        <v>1361</v>
      </c>
      <c r="D82" s="456" t="s">
        <v>1361</v>
      </c>
      <c r="E82" s="453"/>
      <c r="F82" s="97" t="e">
        <f>MATCH(A82,'Master_crosswalk '!AL:AL,0)</f>
        <v>#N/A</v>
      </c>
      <c r="G82" s="83"/>
    </row>
    <row r="83" spans="1:7" ht="28.8">
      <c r="A83" s="96" t="s">
        <v>1363</v>
      </c>
      <c r="B83" s="96" t="s">
        <v>327</v>
      </c>
      <c r="C83" s="96" t="s">
        <v>1364</v>
      </c>
      <c r="D83" s="456" t="s">
        <v>1364</v>
      </c>
      <c r="E83" s="453"/>
      <c r="F83" s="97" t="e">
        <f>MATCH(A83,'Master_crosswalk '!AL:AL,0)</f>
        <v>#N/A</v>
      </c>
      <c r="G83" s="83"/>
    </row>
    <row r="84" spans="1:7" ht="14.4">
      <c r="A84" s="96" t="s">
        <v>1365</v>
      </c>
      <c r="B84" s="96" t="s">
        <v>327</v>
      </c>
      <c r="C84" s="96" t="s">
        <v>1366</v>
      </c>
      <c r="D84" s="456" t="s">
        <v>1366</v>
      </c>
      <c r="E84" s="453"/>
      <c r="F84" s="97" t="e">
        <f>MATCH(A84,'Master_crosswalk '!AL:AL,0)</f>
        <v>#N/A</v>
      </c>
      <c r="G84" s="83"/>
    </row>
    <row r="85" spans="1:7" ht="14.4">
      <c r="A85" s="96" t="s">
        <v>1367</v>
      </c>
      <c r="B85" s="96" t="s">
        <v>327</v>
      </c>
      <c r="C85" s="96" t="s">
        <v>1368</v>
      </c>
      <c r="D85" s="456" t="s">
        <v>1368</v>
      </c>
      <c r="E85" s="453"/>
      <c r="F85" s="97" t="e">
        <f>MATCH(A85,'Master_crosswalk '!AL:AL,0)</f>
        <v>#N/A</v>
      </c>
      <c r="G85" s="83"/>
    </row>
    <row r="86" spans="1:7" ht="14.4" hidden="1">
      <c r="A86" s="96" t="s">
        <v>1369</v>
      </c>
      <c r="B86" s="96" t="s">
        <v>327</v>
      </c>
      <c r="C86" s="456" t="s">
        <v>1370</v>
      </c>
      <c r="D86" s="453"/>
      <c r="E86" s="453"/>
      <c r="F86" s="97" t="e">
        <f>MATCH(A86,'Master_crosswalk '!AL:AL,0)</f>
        <v>#N/A</v>
      </c>
      <c r="G86" s="83"/>
    </row>
    <row r="87" spans="1:7" ht="14.4" hidden="1">
      <c r="A87" s="96" t="s">
        <v>1371</v>
      </c>
      <c r="B87" s="96" t="s">
        <v>327</v>
      </c>
      <c r="C87" s="456" t="s">
        <v>1372</v>
      </c>
      <c r="D87" s="453"/>
      <c r="E87" s="453"/>
      <c r="F87" s="97" t="e">
        <f>MATCH(A87,'Master_crosswalk '!AL:AL,0)</f>
        <v>#N/A</v>
      </c>
      <c r="G87" s="83"/>
    </row>
    <row r="88" spans="1:7" ht="14.4" hidden="1">
      <c r="A88" s="96" t="s">
        <v>1373</v>
      </c>
      <c r="B88" s="96" t="s">
        <v>327</v>
      </c>
      <c r="C88" s="456" t="s">
        <v>1374</v>
      </c>
      <c r="D88" s="453"/>
      <c r="E88" s="453"/>
      <c r="F88" s="97" t="e">
        <f>MATCH(A88,'Master_crosswalk '!AL:AL,0)</f>
        <v>#N/A</v>
      </c>
      <c r="G88" s="83"/>
    </row>
    <row r="89" spans="1:7" ht="14.4" hidden="1">
      <c r="A89" s="96" t="s">
        <v>1375</v>
      </c>
      <c r="B89" s="96" t="s">
        <v>327</v>
      </c>
      <c r="C89" s="456" t="s">
        <v>1376</v>
      </c>
      <c r="D89" s="453"/>
      <c r="E89" s="453"/>
      <c r="F89" s="97" t="e">
        <f>MATCH(A89,'Master_crosswalk '!AL:AL,0)</f>
        <v>#N/A</v>
      </c>
      <c r="G89" s="83"/>
    </row>
    <row r="90" spans="1:7" ht="14.4" hidden="1">
      <c r="A90" s="96" t="s">
        <v>1378</v>
      </c>
      <c r="B90" s="96" t="s">
        <v>327</v>
      </c>
      <c r="C90" s="456" t="s">
        <v>1379</v>
      </c>
      <c r="D90" s="453"/>
      <c r="E90" s="453"/>
      <c r="F90" s="97" t="e">
        <f>MATCH(A90,'Master_crosswalk '!AL:AL,0)</f>
        <v>#N/A</v>
      </c>
      <c r="G90" s="83"/>
    </row>
    <row r="91" spans="1:7" ht="14.4">
      <c r="A91" s="96" t="s">
        <v>770</v>
      </c>
      <c r="B91" s="96" t="s">
        <v>327</v>
      </c>
      <c r="C91" s="96" t="s">
        <v>769</v>
      </c>
      <c r="D91" s="456" t="s">
        <v>771</v>
      </c>
      <c r="E91" s="453"/>
      <c r="F91" s="97">
        <f>MATCH(A91,'Master_crosswalk '!AL:AL,0)</f>
        <v>195</v>
      </c>
      <c r="G91" s="83"/>
    </row>
    <row r="92" spans="1:7" ht="14.4">
      <c r="A92" s="96" t="s">
        <v>773</v>
      </c>
      <c r="B92" s="96" t="s">
        <v>327</v>
      </c>
      <c r="C92" s="96" t="s">
        <v>774</v>
      </c>
      <c r="D92" s="456" t="s">
        <v>774</v>
      </c>
      <c r="E92" s="453"/>
      <c r="F92" s="97">
        <f>MATCH(A92,'Master_crosswalk '!AL:AL,0)</f>
        <v>196</v>
      </c>
      <c r="G92" s="83"/>
    </row>
    <row r="93" spans="1:7" ht="14.4">
      <c r="A93" s="96" t="s">
        <v>624</v>
      </c>
      <c r="B93" s="96" t="s">
        <v>327</v>
      </c>
      <c r="C93" s="96" t="s">
        <v>1381</v>
      </c>
      <c r="D93" s="456" t="s">
        <v>1381</v>
      </c>
      <c r="E93" s="453"/>
      <c r="F93" s="97">
        <f>MATCH(A93,'Master_crosswalk '!AL:AL,0)</f>
        <v>152</v>
      </c>
      <c r="G93" s="83"/>
    </row>
    <row r="94" spans="1:7" ht="14.4">
      <c r="A94" s="96" t="s">
        <v>440</v>
      </c>
      <c r="B94" s="96" t="s">
        <v>327</v>
      </c>
      <c r="C94" s="96" t="s">
        <v>441</v>
      </c>
      <c r="D94" s="456" t="s">
        <v>441</v>
      </c>
      <c r="E94" s="453"/>
      <c r="F94" s="97">
        <f>MATCH(A94,'Master_crosswalk '!AL:AL,0)</f>
        <v>99</v>
      </c>
      <c r="G94" s="83"/>
    </row>
    <row r="95" spans="1:7" ht="28.8">
      <c r="A95" s="96" t="s">
        <v>671</v>
      </c>
      <c r="B95" s="96" t="s">
        <v>327</v>
      </c>
      <c r="C95" s="96" t="s">
        <v>672</v>
      </c>
      <c r="D95" s="456" t="s">
        <v>673</v>
      </c>
      <c r="E95" s="453"/>
      <c r="F95" s="97">
        <f>MATCH(A95,'Master_crosswalk '!AL:AL,0)</f>
        <v>168</v>
      </c>
      <c r="G95" s="83"/>
    </row>
    <row r="96" spans="1:7" ht="28.8">
      <c r="A96" s="96" t="s">
        <v>1383</v>
      </c>
      <c r="B96" s="96" t="s">
        <v>327</v>
      </c>
      <c r="C96" s="96" t="s">
        <v>1384</v>
      </c>
      <c r="D96" s="456" t="s">
        <v>1384</v>
      </c>
      <c r="E96" s="453"/>
      <c r="F96" s="97" t="e">
        <f>MATCH(A96,'Master_crosswalk '!AL:AL,0)</f>
        <v>#N/A</v>
      </c>
      <c r="G96" s="83"/>
    </row>
    <row r="97" spans="1:7" ht="14.4">
      <c r="A97" s="96" t="s">
        <v>1385</v>
      </c>
      <c r="B97" s="96" t="s">
        <v>327</v>
      </c>
      <c r="C97" s="96" t="s">
        <v>1386</v>
      </c>
      <c r="D97" s="456" t="s">
        <v>1386</v>
      </c>
      <c r="E97" s="453"/>
      <c r="F97" s="97" t="e">
        <f>MATCH(A97,'Master_crosswalk '!AL:AL,0)</f>
        <v>#N/A</v>
      </c>
      <c r="G97" s="83"/>
    </row>
    <row r="98" spans="1:7" ht="14.4">
      <c r="A98" s="96" t="s">
        <v>1388</v>
      </c>
      <c r="B98" s="96" t="s">
        <v>327</v>
      </c>
      <c r="C98" s="96" t="s">
        <v>1389</v>
      </c>
      <c r="D98" s="456" t="s">
        <v>1389</v>
      </c>
      <c r="E98" s="453"/>
      <c r="F98" s="97" t="e">
        <f>MATCH(A98,'Master_crosswalk '!AL:AL,0)</f>
        <v>#N/A</v>
      </c>
      <c r="G98" s="83"/>
    </row>
    <row r="99" spans="1:7" ht="28.8">
      <c r="A99" s="96" t="s">
        <v>1391</v>
      </c>
      <c r="B99" s="96" t="s">
        <v>327</v>
      </c>
      <c r="C99" s="96" t="s">
        <v>1392</v>
      </c>
      <c r="D99" s="456" t="s">
        <v>1392</v>
      </c>
      <c r="E99" s="453"/>
      <c r="F99" s="97" t="e">
        <f>MATCH(A99,'Master_crosswalk '!AL:AL,0)</f>
        <v>#N/A</v>
      </c>
      <c r="G99" s="83"/>
    </row>
    <row r="100" spans="1:7" ht="14.4">
      <c r="A100" s="96" t="s">
        <v>1395</v>
      </c>
      <c r="B100" s="96" t="s">
        <v>327</v>
      </c>
      <c r="C100" s="96" t="s">
        <v>1396</v>
      </c>
      <c r="D100" s="456" t="s">
        <v>1396</v>
      </c>
      <c r="E100" s="453"/>
      <c r="F100" s="97" t="e">
        <f>MATCH(A100,'Master_crosswalk '!AL:AL,0)</f>
        <v>#N/A</v>
      </c>
      <c r="G100" s="83"/>
    </row>
    <row r="101" spans="1:7" ht="28.8">
      <c r="A101" s="96" t="s">
        <v>394</v>
      </c>
      <c r="B101" s="96" t="s">
        <v>327</v>
      </c>
      <c r="C101" s="96" t="s">
        <v>395</v>
      </c>
      <c r="D101" s="456" t="s">
        <v>396</v>
      </c>
      <c r="E101" s="453"/>
      <c r="F101" s="97">
        <f>MATCH(A101,'Master_crosswalk '!AL:AL,0)</f>
        <v>91</v>
      </c>
      <c r="G101" s="83"/>
    </row>
    <row r="102" spans="1:7" ht="14.4">
      <c r="A102" s="96" t="s">
        <v>425</v>
      </c>
      <c r="B102" s="96" t="s">
        <v>327</v>
      </c>
      <c r="C102" s="96" t="s">
        <v>426</v>
      </c>
      <c r="D102" s="456" t="s">
        <v>426</v>
      </c>
      <c r="E102" s="453"/>
      <c r="F102" s="97">
        <f>MATCH(A102,'Master_crosswalk '!AL:AL,0)</f>
        <v>97</v>
      </c>
      <c r="G102" s="83"/>
    </row>
    <row r="103" spans="1:7" ht="28.8">
      <c r="A103" s="96" t="s">
        <v>398</v>
      </c>
      <c r="B103" s="96" t="s">
        <v>327</v>
      </c>
      <c r="C103" s="96" t="s">
        <v>399</v>
      </c>
      <c r="D103" s="456" t="s">
        <v>400</v>
      </c>
      <c r="E103" s="453"/>
      <c r="F103" s="97">
        <f>MATCH(A103,'Master_crosswalk '!AL:AL,0)</f>
        <v>92</v>
      </c>
      <c r="G103" s="110"/>
    </row>
    <row r="104" spans="1:7" ht="28.8">
      <c r="A104" s="96" t="s">
        <v>1400</v>
      </c>
      <c r="B104" s="96" t="s">
        <v>327</v>
      </c>
      <c r="C104" s="96" t="s">
        <v>1401</v>
      </c>
      <c r="D104" s="456" t="s">
        <v>1402</v>
      </c>
      <c r="E104" s="453"/>
      <c r="F104" s="97" t="e">
        <f>MATCH(A104,'Master_crosswalk '!AL:AL,0)</f>
        <v>#N/A</v>
      </c>
      <c r="G104" s="83"/>
    </row>
    <row r="105" spans="1:7" ht="14.4">
      <c r="A105" s="96" t="s">
        <v>378</v>
      </c>
      <c r="B105" s="96" t="s">
        <v>327</v>
      </c>
      <c r="C105" s="96" t="s">
        <v>379</v>
      </c>
      <c r="D105" s="456" t="s">
        <v>380</v>
      </c>
      <c r="E105" s="453"/>
      <c r="F105" s="97">
        <f>MATCH(A105,'Master_crosswalk '!AL:AL,0)</f>
        <v>89</v>
      </c>
      <c r="G105" s="83"/>
    </row>
    <row r="106" spans="1:7" ht="14.4">
      <c r="A106" s="96" t="s">
        <v>1404</v>
      </c>
      <c r="B106" s="96" t="s">
        <v>327</v>
      </c>
      <c r="C106" s="96" t="s">
        <v>1405</v>
      </c>
      <c r="D106" s="456" t="s">
        <v>1405</v>
      </c>
      <c r="E106" s="453"/>
      <c r="F106" s="97" t="e">
        <f>MATCH(A106,'Master_crosswalk '!AL:AL,0)</f>
        <v>#N/A</v>
      </c>
      <c r="G106" s="83"/>
    </row>
    <row r="107" spans="1:7" ht="14.4" hidden="1">
      <c r="A107" s="96" t="s">
        <v>1407</v>
      </c>
      <c r="B107" s="456" t="s">
        <v>1408</v>
      </c>
      <c r="C107" s="453"/>
      <c r="D107" s="76"/>
      <c r="E107" s="74"/>
      <c r="F107" s="97" t="e">
        <f>MATCH(A107,'Master_crosswalk '!AL:AL,0)</f>
        <v>#N/A</v>
      </c>
      <c r="G107" s="83"/>
    </row>
    <row r="108" spans="1:7" ht="14.4">
      <c r="A108" s="96" t="s">
        <v>1409</v>
      </c>
      <c r="B108" s="96" t="s">
        <v>1408</v>
      </c>
      <c r="C108" s="96" t="s">
        <v>1410</v>
      </c>
      <c r="D108" s="456" t="s">
        <v>1410</v>
      </c>
      <c r="E108" s="453"/>
      <c r="F108" s="97" t="e">
        <f>MATCH(A108,'Master_crosswalk '!AL:AL,0)</f>
        <v>#N/A</v>
      </c>
      <c r="G108" s="83"/>
    </row>
    <row r="109" spans="1:7" ht="14.4">
      <c r="A109" s="96" t="s">
        <v>735</v>
      </c>
      <c r="B109" s="96" t="s">
        <v>719</v>
      </c>
      <c r="C109" s="96" t="s">
        <v>736</v>
      </c>
      <c r="D109" s="456" t="s">
        <v>737</v>
      </c>
      <c r="E109" s="453"/>
      <c r="F109" s="97">
        <f>MATCH(A109,'Master_crosswalk '!AL:AL,0)</f>
        <v>185</v>
      </c>
      <c r="G109" s="83"/>
    </row>
    <row r="110" spans="1:7" ht="14.4">
      <c r="A110" s="96" t="s">
        <v>718</v>
      </c>
      <c r="B110" s="96" t="s">
        <v>719</v>
      </c>
      <c r="C110" s="96" t="s">
        <v>720</v>
      </c>
      <c r="D110" s="456" t="s">
        <v>720</v>
      </c>
      <c r="E110" s="453"/>
      <c r="F110" s="97">
        <f>MATCH(A110,'Master_crosswalk '!AL:AL,0)</f>
        <v>183</v>
      </c>
      <c r="G110" s="83"/>
    </row>
    <row r="111" spans="1:7" ht="14.4">
      <c r="A111" s="96" t="s">
        <v>739</v>
      </c>
      <c r="B111" s="96" t="s">
        <v>719</v>
      </c>
      <c r="C111" s="96" t="s">
        <v>740</v>
      </c>
      <c r="D111" s="456" t="s">
        <v>741</v>
      </c>
      <c r="E111" s="453"/>
      <c r="F111" s="97">
        <f>MATCH(A111,'Master_crosswalk '!AL:AL,0)</f>
        <v>186</v>
      </c>
      <c r="G111" s="83"/>
    </row>
    <row r="112" spans="1:7" ht="14.4">
      <c r="A112" s="96" t="s">
        <v>743</v>
      </c>
      <c r="B112" s="96" t="s">
        <v>719</v>
      </c>
      <c r="C112" s="96" t="s">
        <v>744</v>
      </c>
      <c r="D112" s="456" t="s">
        <v>745</v>
      </c>
      <c r="E112" s="453"/>
      <c r="F112" s="97">
        <f>MATCH(A112,'Master_crosswalk '!AL:AL,0)</f>
        <v>187</v>
      </c>
      <c r="G112" s="83"/>
    </row>
    <row r="113" spans="1:7" ht="14.4">
      <c r="A113" s="96" t="s">
        <v>747</v>
      </c>
      <c r="B113" s="96" t="s">
        <v>719</v>
      </c>
      <c r="C113" s="96" t="s">
        <v>748</v>
      </c>
      <c r="D113" s="456" t="s">
        <v>749</v>
      </c>
      <c r="E113" s="453"/>
      <c r="F113" s="97">
        <f>MATCH(A113,'Master_crosswalk '!AL:AL,0)</f>
        <v>188</v>
      </c>
      <c r="G113" s="83"/>
    </row>
    <row r="114" spans="1:7" ht="14.4">
      <c r="A114" s="96" t="s">
        <v>751</v>
      </c>
      <c r="B114" s="96" t="s">
        <v>719</v>
      </c>
      <c r="C114" s="96" t="s">
        <v>752</v>
      </c>
      <c r="D114" s="456" t="s">
        <v>753</v>
      </c>
      <c r="E114" s="453"/>
      <c r="F114" s="97">
        <f>MATCH(A114,'Master_crosswalk '!AL:AL,0)</f>
        <v>189</v>
      </c>
      <c r="G114" s="83"/>
    </row>
    <row r="115" spans="1:7" ht="14.4">
      <c r="A115" s="96" t="s">
        <v>755</v>
      </c>
      <c r="B115" s="96" t="s">
        <v>719</v>
      </c>
      <c r="C115" s="96" t="s">
        <v>754</v>
      </c>
      <c r="D115" s="456" t="s">
        <v>754</v>
      </c>
      <c r="E115" s="453"/>
      <c r="F115" s="97">
        <f>MATCH(A115,'Master_crosswalk '!AL:AL,0)</f>
        <v>190</v>
      </c>
      <c r="G115" s="83"/>
    </row>
    <row r="116" spans="1:7" ht="14.4">
      <c r="A116" s="96" t="s">
        <v>728</v>
      </c>
      <c r="B116" s="96" t="s">
        <v>719</v>
      </c>
      <c r="C116" s="96" t="s">
        <v>729</v>
      </c>
      <c r="D116" s="456" t="s">
        <v>729</v>
      </c>
      <c r="E116" s="453"/>
      <c r="F116" s="97">
        <f>MATCH(A116,'Master_crosswalk '!AL:AL,0)</f>
        <v>184</v>
      </c>
      <c r="G116" s="83"/>
    </row>
    <row r="117" spans="1:7" ht="14.4">
      <c r="A117" s="96" t="s">
        <v>758</v>
      </c>
      <c r="B117" s="96" t="s">
        <v>719</v>
      </c>
      <c r="C117" s="96" t="s">
        <v>757</v>
      </c>
      <c r="D117" s="456" t="s">
        <v>759</v>
      </c>
      <c r="E117" s="453"/>
      <c r="F117" s="97">
        <f>MATCH(A117,'Master_crosswalk '!AL:AL,0)</f>
        <v>191</v>
      </c>
      <c r="G117" s="83"/>
    </row>
    <row r="118" spans="1:7" ht="14.4">
      <c r="A118" s="96" t="s">
        <v>761</v>
      </c>
      <c r="B118" s="96" t="s">
        <v>719</v>
      </c>
      <c r="C118" s="96" t="s">
        <v>760</v>
      </c>
      <c r="D118" s="456" t="s">
        <v>762</v>
      </c>
      <c r="E118" s="453"/>
      <c r="F118" s="97">
        <f>MATCH(A118,'Master_crosswalk '!AL:AL,0)</f>
        <v>192</v>
      </c>
      <c r="G118" s="83"/>
    </row>
    <row r="119" spans="1:7" ht="14.4">
      <c r="A119" s="96" t="s">
        <v>763</v>
      </c>
      <c r="B119" s="96" t="s">
        <v>719</v>
      </c>
      <c r="C119" s="96" t="s">
        <v>764</v>
      </c>
      <c r="D119" s="456" t="s">
        <v>765</v>
      </c>
      <c r="E119" s="453"/>
      <c r="F119" s="97">
        <f>MATCH(A119,'Master_crosswalk '!AL:AL,0)</f>
        <v>193</v>
      </c>
      <c r="G119" s="83"/>
    </row>
    <row r="120" spans="1:7" ht="14.4">
      <c r="A120" s="96" t="s">
        <v>767</v>
      </c>
      <c r="B120" s="96" t="s">
        <v>719</v>
      </c>
      <c r="C120" s="96" t="s">
        <v>766</v>
      </c>
      <c r="D120" s="456" t="s">
        <v>768</v>
      </c>
      <c r="E120" s="453"/>
      <c r="F120" s="97">
        <f>MATCH(A120,'Master_crosswalk '!AL:AL,0)</f>
        <v>194</v>
      </c>
      <c r="G120" s="83"/>
    </row>
    <row r="121" spans="1:7" ht="14.4" hidden="1">
      <c r="A121" s="96" t="s">
        <v>1427</v>
      </c>
      <c r="B121" s="456" t="s">
        <v>1428</v>
      </c>
      <c r="C121" s="453"/>
      <c r="D121" s="76"/>
      <c r="E121" s="74"/>
      <c r="F121" s="97" t="e">
        <f>MATCH(A121,'Master_crosswalk '!AL:AL,0)</f>
        <v>#N/A</v>
      </c>
      <c r="G121" s="83"/>
    </row>
    <row r="122" spans="1:7" ht="14.4" hidden="1">
      <c r="A122" s="96" t="s">
        <v>1430</v>
      </c>
      <c r="B122" s="456" t="s">
        <v>1428</v>
      </c>
      <c r="C122" s="453"/>
      <c r="D122" s="76"/>
      <c r="E122" s="74"/>
      <c r="F122" s="97" t="e">
        <f>MATCH(A122,'Master_crosswalk '!AL:AL,0)</f>
        <v>#N/A</v>
      </c>
      <c r="G122" s="83"/>
    </row>
    <row r="123" spans="1:7" ht="14.4" hidden="1">
      <c r="A123" s="96" t="s">
        <v>1432</v>
      </c>
      <c r="B123" s="456" t="s">
        <v>1428</v>
      </c>
      <c r="C123" s="453"/>
      <c r="D123" s="76"/>
      <c r="E123" s="74"/>
      <c r="F123" s="97" t="e">
        <f>MATCH(A123,'Master_crosswalk '!AL:AL,0)</f>
        <v>#N/A</v>
      </c>
      <c r="G123" s="83"/>
    </row>
    <row r="124" spans="1:7" ht="14.4" hidden="1">
      <c r="A124" s="96" t="s">
        <v>1435</v>
      </c>
      <c r="B124" s="456" t="s">
        <v>1428</v>
      </c>
      <c r="C124" s="453"/>
      <c r="D124" s="76"/>
      <c r="E124" s="74"/>
      <c r="F124" s="97" t="e">
        <f>MATCH(A124,'Master_crosswalk '!AL:AL,0)</f>
        <v>#N/A</v>
      </c>
      <c r="G124" s="83"/>
    </row>
    <row r="125" spans="1:7" ht="14.4" hidden="1">
      <c r="A125" s="96" t="s">
        <v>1438</v>
      </c>
      <c r="B125" s="456" t="s">
        <v>1428</v>
      </c>
      <c r="C125" s="453"/>
      <c r="D125" s="76"/>
      <c r="E125" s="74"/>
      <c r="F125" s="97" t="e">
        <f>MATCH(A125,'Master_crosswalk '!AL:AL,0)</f>
        <v>#N/A</v>
      </c>
      <c r="G125" s="83"/>
    </row>
    <row r="126" spans="1:7" ht="14.4">
      <c r="A126" s="96" t="s">
        <v>1440</v>
      </c>
      <c r="B126" s="96" t="s">
        <v>1428</v>
      </c>
      <c r="C126" s="96" t="s">
        <v>1441</v>
      </c>
      <c r="D126" s="456" t="s">
        <v>1441</v>
      </c>
      <c r="E126" s="453"/>
      <c r="F126" s="97" t="e">
        <f>MATCH(A126,'Master_crosswalk '!AL:AL,0)</f>
        <v>#N/A</v>
      </c>
      <c r="G126" s="83"/>
    </row>
    <row r="127" spans="1:7" ht="14.4">
      <c r="A127" s="96" t="s">
        <v>1444</v>
      </c>
      <c r="B127" s="96" t="s">
        <v>1428</v>
      </c>
      <c r="C127" s="96" t="s">
        <v>1445</v>
      </c>
      <c r="D127" s="456" t="s">
        <v>1445</v>
      </c>
      <c r="E127" s="453"/>
      <c r="F127" s="97" t="e">
        <f>MATCH(A127,'Master_crosswalk '!AL:AL,0)</f>
        <v>#N/A</v>
      </c>
      <c r="G127" s="83"/>
    </row>
    <row r="128" spans="1:7" ht="14.4" hidden="1">
      <c r="A128" s="96" t="s">
        <v>1446</v>
      </c>
      <c r="B128" s="456" t="s">
        <v>1428</v>
      </c>
      <c r="C128" s="453"/>
      <c r="D128" s="76"/>
      <c r="E128" s="74"/>
      <c r="F128" s="97" t="e">
        <f>MATCH(A128,'Master_crosswalk '!AL:AL,0)</f>
        <v>#N/A</v>
      </c>
      <c r="G128" s="83"/>
    </row>
    <row r="129" spans="1:7" ht="14.4">
      <c r="A129" s="96" t="s">
        <v>389</v>
      </c>
      <c r="B129" s="96" t="s">
        <v>390</v>
      </c>
      <c r="C129" s="96" t="s">
        <v>391</v>
      </c>
      <c r="D129" s="456" t="s">
        <v>391</v>
      </c>
      <c r="E129" s="453"/>
      <c r="F129" s="97">
        <f>MATCH(A129,'Master_crosswalk '!AL:AL,0)</f>
        <v>90</v>
      </c>
      <c r="G129" s="83"/>
    </row>
    <row r="130" spans="1:7" ht="14.4">
      <c r="A130" s="96" t="s">
        <v>418</v>
      </c>
      <c r="B130" s="96" t="s">
        <v>390</v>
      </c>
      <c r="C130" s="96" t="s">
        <v>419</v>
      </c>
      <c r="D130" s="456" t="s">
        <v>419</v>
      </c>
      <c r="E130" s="453"/>
      <c r="F130" s="97">
        <f>MATCH(A130,'Master_crosswalk '!AL:AL,0)</f>
        <v>95</v>
      </c>
      <c r="G130" s="83"/>
    </row>
    <row r="131" spans="1:7" ht="14.4">
      <c r="A131" s="96" t="s">
        <v>422</v>
      </c>
      <c r="B131" s="96" t="s">
        <v>390</v>
      </c>
      <c r="C131" s="96" t="s">
        <v>423</v>
      </c>
      <c r="D131" s="456" t="s">
        <v>423</v>
      </c>
      <c r="E131" s="453"/>
      <c r="F131" s="97">
        <f>MATCH(A131,'Master_crosswalk '!AL:AL,0)</f>
        <v>96</v>
      </c>
      <c r="G131" s="83"/>
    </row>
    <row r="132" spans="1:7" ht="14.4">
      <c r="A132" s="96" t="s">
        <v>1448</v>
      </c>
      <c r="B132" s="96" t="s">
        <v>1449</v>
      </c>
      <c r="C132" s="96" t="s">
        <v>1450</v>
      </c>
      <c r="D132" s="456" t="s">
        <v>1450</v>
      </c>
      <c r="E132" s="453"/>
      <c r="F132" s="97" t="e">
        <f>MATCH(A132,'Master_crosswalk '!AL:AL,0)</f>
        <v>#N/A</v>
      </c>
      <c r="G132" s="83"/>
    </row>
    <row r="133" spans="1:7" ht="14.4">
      <c r="A133" s="96" t="s">
        <v>1451</v>
      </c>
      <c r="B133" s="96" t="s">
        <v>1449</v>
      </c>
      <c r="C133" s="96" t="s">
        <v>1452</v>
      </c>
      <c r="D133" s="456" t="s">
        <v>1452</v>
      </c>
      <c r="E133" s="453"/>
      <c r="F133" s="97" t="e">
        <f>MATCH(A133,'Master_crosswalk '!AL:AL,0)</f>
        <v>#N/A</v>
      </c>
      <c r="G133" s="83"/>
    </row>
    <row r="134" spans="1:7" ht="14.4">
      <c r="A134" s="96" t="s">
        <v>1454</v>
      </c>
      <c r="B134" s="96" t="s">
        <v>1449</v>
      </c>
      <c r="C134" s="96" t="s">
        <v>1455</v>
      </c>
      <c r="D134" s="456" t="s">
        <v>1455</v>
      </c>
      <c r="E134" s="453"/>
      <c r="F134" s="97" t="e">
        <f>MATCH(A134,'Master_crosswalk '!AL:AL,0)</f>
        <v>#N/A</v>
      </c>
      <c r="G134" s="83"/>
    </row>
    <row r="135" spans="1:7" ht="14.4">
      <c r="A135" s="96" t="s">
        <v>1456</v>
      </c>
      <c r="B135" s="96" t="s">
        <v>1449</v>
      </c>
      <c r="C135" s="96" t="s">
        <v>1457</v>
      </c>
      <c r="D135" s="456" t="s">
        <v>1457</v>
      </c>
      <c r="E135" s="453"/>
      <c r="F135" s="97" t="e">
        <f>MATCH(A135,'Master_crosswalk '!AL:AL,0)</f>
        <v>#N/A</v>
      </c>
      <c r="G135" s="83"/>
    </row>
    <row r="136" spans="1:7" ht="14.4">
      <c r="A136" s="96" t="s">
        <v>1458</v>
      </c>
      <c r="B136" s="96" t="s">
        <v>1449</v>
      </c>
      <c r="C136" s="96" t="s">
        <v>1459</v>
      </c>
      <c r="D136" s="456" t="s">
        <v>1459</v>
      </c>
      <c r="E136" s="453"/>
      <c r="F136" s="97" t="e">
        <f>MATCH(A136,'Master_crosswalk '!AL:AL,0)</f>
        <v>#N/A</v>
      </c>
      <c r="G136" s="83"/>
    </row>
    <row r="137" spans="1:7" ht="14.4">
      <c r="A137" s="96" t="s">
        <v>1461</v>
      </c>
      <c r="B137" s="96" t="s">
        <v>1449</v>
      </c>
      <c r="C137" s="96" t="s">
        <v>1462</v>
      </c>
      <c r="D137" s="456" t="s">
        <v>1462</v>
      </c>
      <c r="E137" s="453"/>
      <c r="F137" s="97" t="e">
        <f>MATCH(A137,'Master_crosswalk '!AL:AL,0)</f>
        <v>#N/A</v>
      </c>
      <c r="G137" s="83"/>
    </row>
    <row r="138" spans="1:7" ht="28.8">
      <c r="A138" s="96" t="s">
        <v>1464</v>
      </c>
      <c r="B138" s="96" t="s">
        <v>1449</v>
      </c>
      <c r="C138" s="96" t="s">
        <v>1465</v>
      </c>
      <c r="D138" s="456" t="s">
        <v>1465</v>
      </c>
      <c r="E138" s="453"/>
      <c r="F138" s="97" t="e">
        <f>MATCH(A138,'Master_crosswalk '!AL:AL,0)</f>
        <v>#N/A</v>
      </c>
      <c r="G138" s="83"/>
    </row>
    <row r="139" spans="1:7" ht="14.4">
      <c r="A139" s="96" t="s">
        <v>1467</v>
      </c>
      <c r="B139" s="96" t="s">
        <v>1449</v>
      </c>
      <c r="C139" s="96" t="s">
        <v>1468</v>
      </c>
      <c r="D139" s="456" t="s">
        <v>1468</v>
      </c>
      <c r="E139" s="453"/>
      <c r="F139" s="97" t="e">
        <f>MATCH(A139,'Master_crosswalk '!AL:AL,0)</f>
        <v>#N/A</v>
      </c>
      <c r="G139" s="83"/>
    </row>
    <row r="140" spans="1:7" ht="14.4">
      <c r="A140" s="96" t="s">
        <v>1472</v>
      </c>
      <c r="B140" s="96" t="s">
        <v>1449</v>
      </c>
      <c r="C140" s="96" t="s">
        <v>1474</v>
      </c>
      <c r="D140" s="456" t="s">
        <v>1474</v>
      </c>
      <c r="E140" s="453"/>
      <c r="F140" s="97" t="e">
        <f>MATCH(A140,'Master_crosswalk '!AL:AL,0)</f>
        <v>#N/A</v>
      </c>
      <c r="G140" s="83"/>
    </row>
    <row r="141" spans="1:7" ht="28.8">
      <c r="A141" s="96" t="s">
        <v>1476</v>
      </c>
      <c r="B141" s="96" t="s">
        <v>1449</v>
      </c>
      <c r="C141" s="96" t="s">
        <v>1477</v>
      </c>
      <c r="D141" s="456" t="s">
        <v>1477</v>
      </c>
      <c r="E141" s="453"/>
      <c r="F141" s="97" t="e">
        <f>MATCH(A141,'Master_crosswalk '!AL:AL,0)</f>
        <v>#N/A</v>
      </c>
      <c r="G141" s="83"/>
    </row>
    <row r="142" spans="1:7" ht="14.4">
      <c r="A142" s="96" t="s">
        <v>1479</v>
      </c>
      <c r="B142" s="96" t="s">
        <v>1449</v>
      </c>
      <c r="C142" s="96" t="s">
        <v>1480</v>
      </c>
      <c r="D142" s="456" t="s">
        <v>1480</v>
      </c>
      <c r="E142" s="453"/>
      <c r="F142" s="97" t="e">
        <f>MATCH(A142,'Master_crosswalk '!AL:AL,0)</f>
        <v>#N/A</v>
      </c>
      <c r="G142" s="83"/>
    </row>
    <row r="143" spans="1:7" ht="14.4">
      <c r="A143" s="96" t="s">
        <v>1483</v>
      </c>
      <c r="B143" s="96" t="s">
        <v>1449</v>
      </c>
      <c r="C143" s="96" t="s">
        <v>1484</v>
      </c>
      <c r="D143" s="456" t="s">
        <v>1484</v>
      </c>
      <c r="E143" s="453"/>
      <c r="F143" s="97" t="e">
        <f>MATCH(A143,'Master_crosswalk '!AL:AL,0)</f>
        <v>#N/A</v>
      </c>
      <c r="G143" s="83"/>
    </row>
    <row r="144" spans="1:7" ht="14.4">
      <c r="A144" s="96" t="s">
        <v>1491</v>
      </c>
      <c r="B144" s="96" t="s">
        <v>1449</v>
      </c>
      <c r="C144" s="96" t="s">
        <v>1492</v>
      </c>
      <c r="D144" s="456" t="s">
        <v>1492</v>
      </c>
      <c r="E144" s="453"/>
      <c r="F144" s="97" t="e">
        <f>MATCH(A144,'Master_crosswalk '!AL:AL,0)</f>
        <v>#N/A</v>
      </c>
      <c r="G144" s="83"/>
    </row>
    <row r="145" spans="1:7" ht="14.4">
      <c r="A145" s="96" t="s">
        <v>1493</v>
      </c>
      <c r="B145" s="96" t="s">
        <v>1449</v>
      </c>
      <c r="C145" s="96" t="s">
        <v>1494</v>
      </c>
      <c r="D145" s="456" t="s">
        <v>1494</v>
      </c>
      <c r="E145" s="453"/>
      <c r="F145" s="97" t="e">
        <f>MATCH(A145,'Master_crosswalk '!AL:AL,0)</f>
        <v>#N/A</v>
      </c>
      <c r="G145" s="83"/>
    </row>
    <row r="146" spans="1:7" ht="14.4">
      <c r="A146" s="96" t="s">
        <v>1495</v>
      </c>
      <c r="B146" s="96" t="s">
        <v>1449</v>
      </c>
      <c r="C146" s="96" t="s">
        <v>1496</v>
      </c>
      <c r="D146" s="456" t="s">
        <v>1496</v>
      </c>
      <c r="E146" s="453"/>
      <c r="F146" s="97" t="e">
        <f>MATCH(A146,'Master_crosswalk '!AL:AL,0)</f>
        <v>#N/A</v>
      </c>
      <c r="G146" s="83"/>
    </row>
    <row r="147" spans="1:7" ht="14.4">
      <c r="A147" s="96" t="s">
        <v>1497</v>
      </c>
      <c r="B147" s="96" t="s">
        <v>1449</v>
      </c>
      <c r="C147" s="96" t="s">
        <v>1498</v>
      </c>
      <c r="D147" s="456" t="s">
        <v>1498</v>
      </c>
      <c r="E147" s="453"/>
      <c r="F147" s="97" t="e">
        <f>MATCH(A147,'Master_crosswalk '!AL:AL,0)</f>
        <v>#N/A</v>
      </c>
      <c r="G147" s="83"/>
    </row>
    <row r="148" spans="1:7" ht="14.4">
      <c r="A148" s="96" t="s">
        <v>1499</v>
      </c>
      <c r="B148" s="96" t="s">
        <v>1449</v>
      </c>
      <c r="C148" s="96" t="s">
        <v>1500</v>
      </c>
      <c r="D148" s="456" t="s">
        <v>1500</v>
      </c>
      <c r="E148" s="453"/>
      <c r="F148" s="97" t="e">
        <f>MATCH(A148,'Master_crosswalk '!AL:AL,0)</f>
        <v>#N/A</v>
      </c>
      <c r="G148" s="83"/>
    </row>
    <row r="149" spans="1:7" ht="14.4">
      <c r="A149" s="96" t="s">
        <v>1502</v>
      </c>
      <c r="B149" s="96" t="s">
        <v>1449</v>
      </c>
      <c r="C149" s="96" t="s">
        <v>1503</v>
      </c>
      <c r="D149" s="456" t="s">
        <v>1503</v>
      </c>
      <c r="E149" s="453"/>
      <c r="F149" s="97" t="e">
        <f>MATCH(A149,'Master_crosswalk '!AL:AL,0)</f>
        <v>#N/A</v>
      </c>
      <c r="G149" s="83"/>
    </row>
    <row r="150" spans="1:7" ht="14.4">
      <c r="A150" s="96" t="s">
        <v>1504</v>
      </c>
      <c r="B150" s="96" t="s">
        <v>1449</v>
      </c>
      <c r="C150" s="96" t="s">
        <v>1505</v>
      </c>
      <c r="D150" s="456" t="s">
        <v>1505</v>
      </c>
      <c r="E150" s="453"/>
      <c r="F150" s="97" t="e">
        <f>MATCH(A150,'Master_crosswalk '!AL:AL,0)</f>
        <v>#N/A</v>
      </c>
      <c r="G150" s="83"/>
    </row>
    <row r="151" spans="1:7" ht="14.4">
      <c r="A151" s="96" t="s">
        <v>1506</v>
      </c>
      <c r="B151" s="96" t="s">
        <v>1449</v>
      </c>
      <c r="C151" s="96" t="s">
        <v>1507</v>
      </c>
      <c r="D151" s="456" t="s">
        <v>1507</v>
      </c>
      <c r="E151" s="453"/>
      <c r="F151" s="97" t="e">
        <f>MATCH(A151,'Master_crosswalk '!AL:AL,0)</f>
        <v>#N/A</v>
      </c>
      <c r="G151" s="83"/>
    </row>
    <row r="152" spans="1:7" ht="14.4">
      <c r="A152" s="96" t="s">
        <v>1508</v>
      </c>
      <c r="B152" s="96" t="s">
        <v>1449</v>
      </c>
      <c r="C152" s="96" t="s">
        <v>1509</v>
      </c>
      <c r="D152" s="456" t="s">
        <v>1509</v>
      </c>
      <c r="E152" s="453"/>
      <c r="F152" s="97" t="e">
        <f>MATCH(A152,'Master_crosswalk '!AL:AL,0)</f>
        <v>#N/A</v>
      </c>
      <c r="G152" s="83"/>
    </row>
    <row r="153" spans="1:7" ht="14.4">
      <c r="A153" s="96" t="s">
        <v>1510</v>
      </c>
      <c r="B153" s="96" t="s">
        <v>1449</v>
      </c>
      <c r="C153" s="96" t="s">
        <v>1512</v>
      </c>
      <c r="D153" s="456" t="s">
        <v>1512</v>
      </c>
      <c r="E153" s="453"/>
      <c r="F153" s="97" t="e">
        <f>MATCH(A153,'Master_crosswalk '!AL:AL,0)</f>
        <v>#N/A</v>
      </c>
      <c r="G153" s="83"/>
    </row>
    <row r="154" spans="1:7" ht="10.95" customHeight="1">
      <c r="A154" s="96" t="s">
        <v>1513</v>
      </c>
      <c r="B154" s="96" t="s">
        <v>1449</v>
      </c>
      <c r="C154" s="96" t="s">
        <v>1514</v>
      </c>
      <c r="D154" s="456" t="s">
        <v>1514</v>
      </c>
      <c r="E154" s="453"/>
      <c r="F154" s="97" t="e">
        <f>MATCH(A154,'Master_crosswalk '!AL:AL,0)</f>
        <v>#N/A</v>
      </c>
      <c r="G154" s="83"/>
    </row>
    <row r="155" spans="1:7" ht="14.4">
      <c r="A155" s="96" t="s">
        <v>1515</v>
      </c>
      <c r="B155" s="96" t="s">
        <v>1449</v>
      </c>
      <c r="C155" s="96" t="s">
        <v>1516</v>
      </c>
      <c r="D155" s="456" t="s">
        <v>1516</v>
      </c>
      <c r="E155" s="453"/>
      <c r="F155" s="97" t="e">
        <f>MATCH(A155,'Master_crosswalk '!AL:AL,0)</f>
        <v>#N/A</v>
      </c>
      <c r="G155" s="83"/>
    </row>
    <row r="156" spans="1:7" ht="14.4">
      <c r="A156" s="96" t="s">
        <v>329</v>
      </c>
      <c r="B156" s="96" t="s">
        <v>282</v>
      </c>
      <c r="C156" s="96" t="s">
        <v>330</v>
      </c>
      <c r="D156" s="456" t="s">
        <v>330</v>
      </c>
      <c r="E156" s="453"/>
      <c r="F156" s="97">
        <f>MATCH(A156,'Master_crosswalk '!AL:AL,0)</f>
        <v>73</v>
      </c>
      <c r="G156" s="83"/>
    </row>
    <row r="157" spans="1:7" ht="14.4">
      <c r="A157" s="96" t="s">
        <v>432</v>
      </c>
      <c r="B157" s="96" t="s">
        <v>282</v>
      </c>
      <c r="C157" s="96" t="s">
        <v>433</v>
      </c>
      <c r="D157" s="456" t="s">
        <v>433</v>
      </c>
      <c r="E157" s="453"/>
      <c r="F157" s="97">
        <f>MATCH(A157,'Master_crosswalk '!AL:AL,0)</f>
        <v>98</v>
      </c>
      <c r="G157" s="83"/>
    </row>
    <row r="158" spans="1:7" ht="14.4">
      <c r="A158" s="96" t="s">
        <v>333</v>
      </c>
      <c r="B158" s="96" t="s">
        <v>282</v>
      </c>
      <c r="C158" s="96" t="s">
        <v>334</v>
      </c>
      <c r="D158" s="456" t="s">
        <v>334</v>
      </c>
      <c r="E158" s="453"/>
      <c r="F158" s="97">
        <f>MATCH(A158,'Master_crosswalk '!AL:AL,0)</f>
        <v>74</v>
      </c>
      <c r="G158" s="83"/>
    </row>
    <row r="159" spans="1:7" ht="14.4">
      <c r="A159" s="96" t="s">
        <v>281</v>
      </c>
      <c r="B159" s="96" t="s">
        <v>282</v>
      </c>
      <c r="C159" s="96" t="s">
        <v>283</v>
      </c>
      <c r="D159" s="456" t="s">
        <v>283</v>
      </c>
      <c r="E159" s="453"/>
      <c r="F159" s="97">
        <f>MATCH(A159,'Master_crosswalk '!AL:AL,0)</f>
        <v>66</v>
      </c>
      <c r="G159" s="83"/>
    </row>
    <row r="160" spans="1:7" ht="28.8">
      <c r="A160" s="96" t="s">
        <v>337</v>
      </c>
      <c r="B160" s="96" t="s">
        <v>282</v>
      </c>
      <c r="C160" s="96" t="s">
        <v>338</v>
      </c>
      <c r="D160" s="456" t="s">
        <v>338</v>
      </c>
      <c r="E160" s="453"/>
      <c r="F160" s="97">
        <f>MATCH(A160,'Master_crosswalk '!AL:AL,0)</f>
        <v>75</v>
      </c>
      <c r="G160" s="83"/>
    </row>
    <row r="161" spans="1:7" ht="28.8">
      <c r="A161" s="96" t="s">
        <v>340</v>
      </c>
      <c r="B161" s="96" t="s">
        <v>282</v>
      </c>
      <c r="C161" s="96" t="s">
        <v>341</v>
      </c>
      <c r="D161" s="456" t="s">
        <v>341</v>
      </c>
      <c r="E161" s="453"/>
      <c r="F161" s="97">
        <f>MATCH(A161,'Master_crosswalk '!AL:AL,0)</f>
        <v>76</v>
      </c>
      <c r="G161" s="83"/>
    </row>
    <row r="162" spans="1:7" ht="28.8">
      <c r="A162" s="96" t="s">
        <v>607</v>
      </c>
      <c r="B162" s="96" t="s">
        <v>587</v>
      </c>
      <c r="C162" s="96" t="s">
        <v>608</v>
      </c>
      <c r="D162" s="456" t="s">
        <v>608</v>
      </c>
      <c r="E162" s="453"/>
      <c r="F162" s="97">
        <f>MATCH(A162,'Master_crosswalk '!AL:AL,0)</f>
        <v>148</v>
      </c>
      <c r="G162" s="83"/>
    </row>
    <row r="163" spans="1:7" ht="28.8">
      <c r="A163" s="96" t="s">
        <v>611</v>
      </c>
      <c r="B163" s="96" t="s">
        <v>587</v>
      </c>
      <c r="C163" s="96" t="s">
        <v>612</v>
      </c>
      <c r="D163" s="456" t="s">
        <v>612</v>
      </c>
      <c r="E163" s="453"/>
      <c r="F163" s="97">
        <f>MATCH(A163,'Master_crosswalk '!AL:AL,0)</f>
        <v>149</v>
      </c>
      <c r="G163" s="83"/>
    </row>
    <row r="164" spans="1:7" ht="28.8">
      <c r="A164" s="96" t="s">
        <v>614</v>
      </c>
      <c r="B164" s="96" t="s">
        <v>587</v>
      </c>
      <c r="C164" s="96" t="s">
        <v>613</v>
      </c>
      <c r="D164" s="456" t="s">
        <v>613</v>
      </c>
      <c r="E164" s="453"/>
      <c r="F164" s="97">
        <f>MATCH(A164,'Master_crosswalk '!AL:AL,0)</f>
        <v>150</v>
      </c>
      <c r="G164" s="83"/>
    </row>
    <row r="165" spans="1:7" ht="14.4">
      <c r="A165" s="96" t="s">
        <v>615</v>
      </c>
      <c r="B165" s="96" t="s">
        <v>587</v>
      </c>
      <c r="C165" s="96" t="s">
        <v>616</v>
      </c>
      <c r="D165" s="456" t="s">
        <v>617</v>
      </c>
      <c r="E165" s="453"/>
      <c r="F165" s="97">
        <f>MATCH(A165,'Master_crosswalk '!AL:AL,0)</f>
        <v>151</v>
      </c>
      <c r="G165" s="83"/>
    </row>
    <row r="166" spans="1:7" ht="14.4">
      <c r="A166" s="96" t="s">
        <v>621</v>
      </c>
      <c r="B166" s="96" t="s">
        <v>587</v>
      </c>
      <c r="C166" s="96" t="s">
        <v>622</v>
      </c>
      <c r="D166" s="456" t="s">
        <v>622</v>
      </c>
      <c r="E166" s="453"/>
      <c r="F166" s="97">
        <f>MATCH(A166,'Master_crosswalk '!AL:AL,0)</f>
        <v>146</v>
      </c>
      <c r="G166" s="83"/>
    </row>
    <row r="167" spans="1:7" ht="14.4">
      <c r="A167" s="96" t="s">
        <v>624</v>
      </c>
      <c r="B167" s="96" t="s">
        <v>587</v>
      </c>
      <c r="C167" s="96" t="s">
        <v>1381</v>
      </c>
      <c r="D167" s="456" t="s">
        <v>1381</v>
      </c>
      <c r="E167" s="453"/>
      <c r="F167" s="97">
        <f>MATCH(A167,'Master_crosswalk '!AL:AL,0)</f>
        <v>152</v>
      </c>
      <c r="G167" s="83"/>
    </row>
    <row r="168" spans="1:7" ht="14.4">
      <c r="A168" s="96" t="s">
        <v>627</v>
      </c>
      <c r="B168" s="96" t="s">
        <v>587</v>
      </c>
      <c r="C168" s="96" t="s">
        <v>1526</v>
      </c>
      <c r="D168" s="456" t="s">
        <v>1526</v>
      </c>
      <c r="E168" s="453"/>
      <c r="F168" s="97">
        <f>MATCH(A168,'Master_crosswalk '!AL:AL,0)</f>
        <v>153</v>
      </c>
      <c r="G168" s="83"/>
    </row>
    <row r="169" spans="1:7" ht="14.4">
      <c r="A169" s="96" t="s">
        <v>593</v>
      </c>
      <c r="B169" s="96" t="s">
        <v>587</v>
      </c>
      <c r="C169" s="96" t="s">
        <v>594</v>
      </c>
      <c r="D169" s="456" t="s">
        <v>594</v>
      </c>
      <c r="E169" s="453"/>
      <c r="F169" s="97">
        <f>MATCH(A169,'Master_crosswalk '!AL:AL,0)</f>
        <v>141</v>
      </c>
      <c r="G169" s="83"/>
    </row>
    <row r="170" spans="1:7" ht="14.4">
      <c r="A170" s="96" t="s">
        <v>629</v>
      </c>
      <c r="B170" s="96" t="s">
        <v>587</v>
      </c>
      <c r="C170" s="96" t="s">
        <v>1527</v>
      </c>
      <c r="D170" s="456" t="s">
        <v>1527</v>
      </c>
      <c r="E170" s="453"/>
      <c r="F170" s="97">
        <f>MATCH(A170,'Master_crosswalk '!AL:AL,0)</f>
        <v>154</v>
      </c>
      <c r="G170" s="83"/>
    </row>
    <row r="171" spans="1:7" ht="14.4">
      <c r="A171" s="96" t="s">
        <v>632</v>
      </c>
      <c r="B171" s="96" t="s">
        <v>587</v>
      </c>
      <c r="C171" s="96" t="s">
        <v>633</v>
      </c>
      <c r="D171" s="456" t="s">
        <v>633</v>
      </c>
      <c r="E171" s="453"/>
      <c r="F171" s="97">
        <f>MATCH(A171,'Master_crosswalk '!AL:AL,0)</f>
        <v>155</v>
      </c>
      <c r="G171" s="83"/>
    </row>
    <row r="172" spans="1:7" ht="14.4" hidden="1">
      <c r="A172" s="96" t="s">
        <v>635</v>
      </c>
      <c r="B172" s="96" t="s">
        <v>587</v>
      </c>
      <c r="C172" s="456" t="s">
        <v>1530</v>
      </c>
      <c r="D172" s="453"/>
      <c r="E172" s="453"/>
      <c r="F172" s="97">
        <f>MATCH(A172,'Master_crosswalk '!AL:AL,0)</f>
        <v>156</v>
      </c>
      <c r="G172" s="83"/>
    </row>
    <row r="173" spans="1:7" ht="14.4" hidden="1">
      <c r="A173" s="96" t="s">
        <v>638</v>
      </c>
      <c r="B173" s="96" t="s">
        <v>587</v>
      </c>
      <c r="C173" s="456" t="s">
        <v>1532</v>
      </c>
      <c r="D173" s="453"/>
      <c r="E173" s="453"/>
      <c r="F173" s="97">
        <f>MATCH(A173,'Master_crosswalk '!AL:AL,0)</f>
        <v>157</v>
      </c>
      <c r="G173" s="83"/>
    </row>
    <row r="174" spans="1:7" ht="14.4">
      <c r="A174" s="96" t="s">
        <v>640</v>
      </c>
      <c r="B174" s="96" t="s">
        <v>587</v>
      </c>
      <c r="C174" s="96" t="s">
        <v>1533</v>
      </c>
      <c r="D174" s="456" t="s">
        <v>1533</v>
      </c>
      <c r="E174" s="453"/>
      <c r="F174" s="97">
        <f>MATCH(A174,'Master_crosswalk '!AL:AL,0)</f>
        <v>158</v>
      </c>
      <c r="G174" s="83"/>
    </row>
    <row r="175" spans="1:7" ht="14.4">
      <c r="A175" s="96" t="s">
        <v>643</v>
      </c>
      <c r="B175" s="96" t="s">
        <v>587</v>
      </c>
      <c r="C175" s="96" t="s">
        <v>1535</v>
      </c>
      <c r="D175" s="456" t="s">
        <v>1535</v>
      </c>
      <c r="E175" s="453"/>
      <c r="F175" s="97">
        <f>MATCH(A175,'Master_crosswalk '!AL:AL,0)</f>
        <v>159</v>
      </c>
      <c r="G175" s="83"/>
    </row>
    <row r="176" spans="1:7" ht="14.4">
      <c r="A176" s="96" t="s">
        <v>646</v>
      </c>
      <c r="B176" s="96" t="s">
        <v>587</v>
      </c>
      <c r="C176" s="96" t="s">
        <v>647</v>
      </c>
      <c r="D176" s="456" t="s">
        <v>648</v>
      </c>
      <c r="E176" s="453"/>
      <c r="F176" s="97">
        <f>MATCH(A176,'Master_crosswalk '!AL:AL,0)</f>
        <v>160</v>
      </c>
      <c r="G176" s="83"/>
    </row>
    <row r="177" spans="1:7" ht="14.4">
      <c r="A177" s="96" t="s">
        <v>650</v>
      </c>
      <c r="B177" s="96" t="s">
        <v>587</v>
      </c>
      <c r="C177" s="96" t="s">
        <v>651</v>
      </c>
      <c r="D177" s="456" t="s">
        <v>651</v>
      </c>
      <c r="E177" s="453"/>
      <c r="F177" s="97">
        <f>MATCH(A177,'Master_crosswalk '!AL:AL,0)</f>
        <v>161</v>
      </c>
      <c r="G177" s="83"/>
    </row>
    <row r="178" spans="1:7" ht="14.4">
      <c r="A178" s="96" t="s">
        <v>653</v>
      </c>
      <c r="B178" s="96" t="s">
        <v>587</v>
      </c>
      <c r="C178" s="96" t="s">
        <v>654</v>
      </c>
      <c r="D178" s="456" t="s">
        <v>655</v>
      </c>
      <c r="E178" s="453"/>
      <c r="F178" s="97">
        <f>MATCH(A178,'Master_crosswalk '!AL:AL,0)</f>
        <v>162</v>
      </c>
      <c r="G178" s="83"/>
    </row>
    <row r="179" spans="1:7" ht="14.4">
      <c r="A179" s="96" t="s">
        <v>586</v>
      </c>
      <c r="B179" s="96" t="s">
        <v>587</v>
      </c>
      <c r="C179" s="96" t="s">
        <v>588</v>
      </c>
      <c r="D179" s="456" t="s">
        <v>588</v>
      </c>
      <c r="E179" s="453"/>
      <c r="F179" s="97">
        <f>MATCH(A179,'Master_crosswalk '!AL:AL,0)</f>
        <v>140</v>
      </c>
      <c r="G179" s="83"/>
    </row>
    <row r="180" spans="1:7" ht="14.4">
      <c r="A180" s="96" t="s">
        <v>657</v>
      </c>
      <c r="B180" s="96" t="s">
        <v>587</v>
      </c>
      <c r="C180" s="96" t="s">
        <v>656</v>
      </c>
      <c r="D180" s="456" t="s">
        <v>656</v>
      </c>
      <c r="E180" s="453"/>
      <c r="F180" s="97">
        <f>MATCH(A180,'Master_crosswalk '!AL:AL,0)</f>
        <v>163</v>
      </c>
      <c r="G180" s="83"/>
    </row>
    <row r="181" spans="1:7" ht="14.4">
      <c r="A181" s="96" t="s">
        <v>659</v>
      </c>
      <c r="B181" s="96" t="s">
        <v>587</v>
      </c>
      <c r="C181" s="96" t="s">
        <v>660</v>
      </c>
      <c r="D181" s="456" t="s">
        <v>660</v>
      </c>
      <c r="E181" s="453"/>
      <c r="F181" s="97">
        <f>MATCH(A181,'Master_crosswalk '!AL:AL,0)</f>
        <v>164</v>
      </c>
      <c r="G181" s="83"/>
    </row>
    <row r="182" spans="1:7" ht="14.4">
      <c r="A182" s="96" t="s">
        <v>662</v>
      </c>
      <c r="B182" s="96" t="s">
        <v>663</v>
      </c>
      <c r="C182" s="96" t="s">
        <v>664</v>
      </c>
      <c r="D182" s="456" t="s">
        <v>664</v>
      </c>
      <c r="E182" s="453"/>
      <c r="F182" s="97">
        <f>MATCH(A182,'Master_crosswalk '!AL:AL,0)</f>
        <v>165</v>
      </c>
      <c r="G182" s="83"/>
    </row>
    <row r="183" spans="1:7" ht="14.4">
      <c r="A183" s="96" t="s">
        <v>666</v>
      </c>
      <c r="B183" s="96" t="s">
        <v>663</v>
      </c>
      <c r="C183" s="96" t="s">
        <v>667</v>
      </c>
      <c r="D183" s="456" t="s">
        <v>667</v>
      </c>
      <c r="E183" s="453"/>
      <c r="F183" s="97">
        <f>MATCH(A183,'Master_crosswalk '!AL:AL,0)</f>
        <v>166</v>
      </c>
      <c r="G183" s="83"/>
    </row>
    <row r="184" spans="1:7" ht="14.4">
      <c r="A184" s="96" t="s">
        <v>96</v>
      </c>
      <c r="B184" s="76"/>
      <c r="C184" s="96" t="s">
        <v>97</v>
      </c>
      <c r="D184" s="456" t="s">
        <v>97</v>
      </c>
      <c r="E184" s="453"/>
      <c r="F184" s="97">
        <f>MATCH(A184,'Master_crosswalk '!AL:AL,0)</f>
        <v>49</v>
      </c>
      <c r="G184" s="83"/>
    </row>
    <row r="185" spans="1:7" ht="14.4">
      <c r="A185" s="96" t="s">
        <v>113</v>
      </c>
      <c r="B185" s="76"/>
      <c r="C185" s="96" t="s">
        <v>114</v>
      </c>
      <c r="D185" s="456" t="s">
        <v>114</v>
      </c>
      <c r="E185" s="453"/>
      <c r="F185" s="97">
        <f>MATCH(A185,'Master_crosswalk '!AL:AL,0)</f>
        <v>52</v>
      </c>
      <c r="G185" s="83"/>
    </row>
    <row r="186" spans="1:7" ht="14.4">
      <c r="A186" s="96" t="s">
        <v>140</v>
      </c>
      <c r="B186" s="76"/>
      <c r="C186" s="96" t="s">
        <v>141</v>
      </c>
      <c r="D186" s="456" t="s">
        <v>141</v>
      </c>
      <c r="E186" s="453"/>
      <c r="F186" s="97">
        <f>MATCH(A186,'Master_crosswalk '!AL:AL,0)</f>
        <v>18</v>
      </c>
      <c r="G186" s="83"/>
    </row>
    <row r="187" spans="1:7" ht="14.4">
      <c r="A187" s="96" t="s">
        <v>181</v>
      </c>
      <c r="B187" s="76"/>
      <c r="C187" s="96" t="s">
        <v>182</v>
      </c>
      <c r="D187" s="456" t="s">
        <v>182</v>
      </c>
      <c r="E187" s="453"/>
      <c r="F187" s="97" t="e">
        <f>MATCH(A187,'Master_crosswalk '!AL:AL,0)</f>
        <v>#N/A</v>
      </c>
      <c r="G187" s="83"/>
    </row>
    <row r="188" spans="1:7" ht="14.4">
      <c r="A188" s="96" t="s">
        <v>191</v>
      </c>
      <c r="B188" s="76"/>
      <c r="C188" s="96" t="s">
        <v>192</v>
      </c>
      <c r="D188" s="456" t="s">
        <v>192</v>
      </c>
      <c r="E188" s="453"/>
      <c r="F188" s="97" t="e">
        <f>MATCH(A188,'Master_crosswalk '!AL:AL,0)</f>
        <v>#N/A</v>
      </c>
      <c r="G188" s="83"/>
    </row>
    <row r="189" spans="1:7" ht="14.4">
      <c r="A189" s="96" t="s">
        <v>129</v>
      </c>
      <c r="B189" s="76"/>
      <c r="C189" s="96" t="s">
        <v>130</v>
      </c>
      <c r="D189" s="456" t="s">
        <v>130</v>
      </c>
      <c r="E189" s="453"/>
      <c r="F189" s="97">
        <f>MATCH(A189,'Master_crosswalk '!AL:AL,0)</f>
        <v>14</v>
      </c>
      <c r="G189" s="83"/>
    </row>
    <row r="190" spans="1:7" ht="14.4">
      <c r="A190" s="96" t="s">
        <v>132</v>
      </c>
      <c r="B190" s="76"/>
      <c r="C190" s="96" t="s">
        <v>133</v>
      </c>
      <c r="D190" s="456" t="s">
        <v>133</v>
      </c>
      <c r="E190" s="453"/>
      <c r="F190" s="97">
        <f>MATCH(A190,'Master_crosswalk '!AL:AL,0)</f>
        <v>15</v>
      </c>
      <c r="G190" s="83"/>
    </row>
    <row r="191" spans="1:7" ht="14.4">
      <c r="A191" s="96" t="s">
        <v>135</v>
      </c>
      <c r="B191" s="76"/>
      <c r="C191" s="96" t="s">
        <v>134</v>
      </c>
      <c r="D191" s="456" t="s">
        <v>134</v>
      </c>
      <c r="E191" s="453"/>
      <c r="F191" s="97">
        <f>MATCH(A191,'Master_crosswalk '!AL:AL,0)</f>
        <v>16</v>
      </c>
      <c r="G191" s="83"/>
    </row>
    <row r="192" spans="1:7" ht="14.4">
      <c r="A192" s="96" t="s">
        <v>218</v>
      </c>
      <c r="B192" s="76"/>
      <c r="C192" s="96" t="s">
        <v>217</v>
      </c>
      <c r="D192" s="456" t="s">
        <v>217</v>
      </c>
      <c r="E192" s="453"/>
      <c r="F192" s="97">
        <f>MATCH(A192,'Master_crosswalk '!AL:AL,0)</f>
        <v>29</v>
      </c>
      <c r="G192" s="83"/>
    </row>
    <row r="193" spans="1:7" ht="14.4">
      <c r="A193" s="96" t="s">
        <v>220</v>
      </c>
      <c r="B193" s="76"/>
      <c r="C193" s="96" t="s">
        <v>219</v>
      </c>
      <c r="D193" s="456" t="s">
        <v>219</v>
      </c>
      <c r="E193" s="453"/>
      <c r="F193" s="97">
        <f>MATCH(A193,'Master_crosswalk '!AL:AL,0)</f>
        <v>30</v>
      </c>
      <c r="G193" s="83"/>
    </row>
    <row r="194" spans="1:7" ht="14.4">
      <c r="A194" s="96" t="s">
        <v>453</v>
      </c>
      <c r="B194" s="76"/>
      <c r="C194" s="96" t="s">
        <v>454</v>
      </c>
      <c r="D194" s="456" t="s">
        <v>454</v>
      </c>
      <c r="E194" s="453"/>
      <c r="F194" s="97">
        <f>MATCH(A194,'Master_crosswalk '!AL:AL,0)</f>
        <v>101</v>
      </c>
      <c r="G194" s="83"/>
    </row>
    <row r="195" spans="1:7" ht="14.4">
      <c r="A195" s="96" t="s">
        <v>103</v>
      </c>
      <c r="B195" s="76"/>
      <c r="C195" s="96" t="s">
        <v>104</v>
      </c>
      <c r="D195" s="456" t="s">
        <v>104</v>
      </c>
      <c r="E195" s="453"/>
      <c r="F195" s="97">
        <f>MATCH(A195,'Master_crosswalk '!AL:AL,0)</f>
        <v>50</v>
      </c>
      <c r="G195" s="83"/>
    </row>
    <row r="196" spans="1:7" ht="43.2">
      <c r="A196" s="96" t="s">
        <v>240</v>
      </c>
      <c r="B196" s="76"/>
      <c r="C196" s="96" t="s">
        <v>239</v>
      </c>
      <c r="D196" s="456" t="s">
        <v>239</v>
      </c>
      <c r="E196" s="453"/>
      <c r="F196" s="97">
        <f>MATCH(A196,'Master_crosswalk '!AL:AL,0)</f>
        <v>56</v>
      </c>
      <c r="G196" s="83"/>
    </row>
    <row r="197" spans="1:7" ht="14.4">
      <c r="A197" s="96" t="s">
        <v>242</v>
      </c>
      <c r="B197" s="76"/>
      <c r="C197" s="96" t="s">
        <v>241</v>
      </c>
      <c r="D197" s="456" t="s">
        <v>241</v>
      </c>
      <c r="E197" s="453"/>
      <c r="F197" s="97">
        <f>MATCH(A197,'Master_crosswalk '!AL:AL,0)</f>
        <v>57</v>
      </c>
      <c r="G197" s="83"/>
    </row>
    <row r="198" spans="1:7" ht="14.4">
      <c r="A198" s="96" t="s">
        <v>137</v>
      </c>
      <c r="B198" s="76"/>
      <c r="C198" s="96" t="s">
        <v>138</v>
      </c>
      <c r="D198" s="456" t="s">
        <v>138</v>
      </c>
      <c r="E198" s="453"/>
      <c r="F198" s="97">
        <f>MATCH(A198,'Master_crosswalk '!AL:AL,0)</f>
        <v>17</v>
      </c>
      <c r="G198" s="83"/>
    </row>
    <row r="199" spans="1:7" ht="14.4">
      <c r="A199" s="96" t="s">
        <v>78</v>
      </c>
      <c r="B199" s="76"/>
      <c r="C199" s="96" t="s">
        <v>84</v>
      </c>
      <c r="D199" s="456" t="s">
        <v>84</v>
      </c>
      <c r="E199" s="453"/>
      <c r="F199" s="97">
        <f>MATCH(A199,'Master_crosswalk '!AL:AL,0)</f>
        <v>27</v>
      </c>
      <c r="G199" s="83"/>
    </row>
    <row r="200" spans="1:7" ht="13.2">
      <c r="A200" s="83"/>
      <c r="B200" s="83"/>
      <c r="C200" s="83"/>
      <c r="D200" s="83"/>
      <c r="G200" s="83"/>
    </row>
    <row r="201" spans="1:7" ht="13.2">
      <c r="A201" s="83"/>
      <c r="B201" s="83"/>
      <c r="C201" s="83"/>
      <c r="D201" s="83"/>
      <c r="G201" s="83"/>
    </row>
    <row r="202" spans="1:7" ht="13.2">
      <c r="A202" s="83"/>
      <c r="B202" s="83"/>
      <c r="C202" s="83"/>
      <c r="D202" s="83"/>
      <c r="G202" s="83"/>
    </row>
    <row r="203" spans="1:7" ht="13.2">
      <c r="A203" s="83"/>
      <c r="B203" s="83"/>
      <c r="C203" s="83"/>
      <c r="D203" s="83"/>
      <c r="G203" s="83"/>
    </row>
    <row r="204" spans="1:7" ht="13.2">
      <c r="A204" s="83"/>
      <c r="B204" s="83"/>
      <c r="C204" s="83"/>
      <c r="D204" s="83"/>
      <c r="G204" s="83"/>
    </row>
    <row r="205" spans="1:7" ht="13.2">
      <c r="A205" s="83"/>
      <c r="B205" s="83"/>
      <c r="C205" s="83"/>
      <c r="D205" s="83"/>
      <c r="G205" s="83"/>
    </row>
    <row r="206" spans="1:7" ht="13.2">
      <c r="A206" s="83"/>
      <c r="B206" s="83"/>
      <c r="C206" s="83"/>
      <c r="D206" s="83"/>
      <c r="G206" s="83"/>
    </row>
    <row r="207" spans="1:7" ht="13.2">
      <c r="A207" s="83"/>
      <c r="B207" s="83"/>
      <c r="C207" s="83"/>
      <c r="D207" s="83"/>
      <c r="G207" s="83"/>
    </row>
    <row r="208" spans="1:7" ht="13.2">
      <c r="A208" s="83"/>
      <c r="B208" s="83"/>
      <c r="C208" s="83"/>
      <c r="D208" s="83"/>
      <c r="G208" s="83"/>
    </row>
    <row r="209" spans="1:7" ht="13.2">
      <c r="A209" s="83"/>
      <c r="B209" s="83"/>
      <c r="C209" s="83"/>
      <c r="D209" s="83"/>
      <c r="G209" s="83"/>
    </row>
    <row r="210" spans="1:7" ht="13.2">
      <c r="A210" s="83"/>
      <c r="B210" s="83"/>
      <c r="C210" s="83"/>
      <c r="D210" s="83"/>
      <c r="G210" s="83"/>
    </row>
    <row r="211" spans="1:7" ht="13.2">
      <c r="A211" s="83"/>
      <c r="B211" s="83"/>
      <c r="C211" s="83"/>
      <c r="D211" s="83"/>
      <c r="G211" s="83"/>
    </row>
    <row r="212" spans="1:7" ht="13.2">
      <c r="A212" s="83"/>
      <c r="B212" s="83"/>
      <c r="C212" s="83"/>
      <c r="D212" s="83"/>
      <c r="G212" s="83"/>
    </row>
    <row r="213" spans="1:7" ht="13.2">
      <c r="A213" s="83"/>
      <c r="B213" s="83"/>
      <c r="C213" s="83"/>
      <c r="D213" s="83"/>
      <c r="G213" s="83"/>
    </row>
    <row r="214" spans="1:7" ht="13.2">
      <c r="A214" s="83"/>
      <c r="B214" s="83"/>
      <c r="C214" s="83"/>
      <c r="D214" s="83"/>
      <c r="G214" s="83"/>
    </row>
    <row r="215" spans="1:7" ht="13.2">
      <c r="A215" s="83"/>
      <c r="B215" s="83"/>
      <c r="C215" s="83"/>
      <c r="D215" s="83"/>
      <c r="G215" s="83"/>
    </row>
    <row r="216" spans="1:7" ht="13.2">
      <c r="A216" s="83"/>
      <c r="B216" s="83"/>
      <c r="C216" s="83"/>
      <c r="D216" s="83"/>
      <c r="G216" s="83"/>
    </row>
    <row r="217" spans="1:7" ht="13.2">
      <c r="A217" s="83"/>
      <c r="B217" s="83"/>
      <c r="C217" s="83"/>
      <c r="D217" s="83"/>
      <c r="G217" s="83"/>
    </row>
    <row r="218" spans="1:7" ht="13.2">
      <c r="A218" s="83"/>
      <c r="B218" s="83"/>
      <c r="C218" s="83"/>
      <c r="D218" s="83"/>
      <c r="G218" s="83"/>
    </row>
    <row r="219" spans="1:7" ht="13.2">
      <c r="A219" s="83"/>
      <c r="B219" s="83"/>
      <c r="C219" s="83"/>
      <c r="D219" s="83"/>
      <c r="G219" s="83"/>
    </row>
    <row r="220" spans="1:7" ht="13.2">
      <c r="A220" s="83"/>
      <c r="B220" s="83"/>
      <c r="C220" s="83"/>
      <c r="D220" s="83"/>
      <c r="G220" s="83"/>
    </row>
    <row r="221" spans="1:7" ht="13.2">
      <c r="A221" s="83"/>
      <c r="B221" s="83"/>
      <c r="C221" s="83"/>
      <c r="D221" s="83"/>
      <c r="G221" s="83"/>
    </row>
    <row r="222" spans="1:7" ht="13.2">
      <c r="A222" s="83"/>
      <c r="B222" s="83"/>
      <c r="C222" s="83"/>
      <c r="D222" s="83"/>
      <c r="G222" s="83"/>
    </row>
    <row r="223" spans="1:7" ht="13.2">
      <c r="A223" s="83"/>
      <c r="B223" s="83"/>
      <c r="C223" s="83"/>
      <c r="D223" s="83"/>
      <c r="G223" s="83"/>
    </row>
    <row r="224" spans="1:7" ht="13.2">
      <c r="A224" s="83"/>
      <c r="B224" s="83"/>
      <c r="C224" s="83"/>
      <c r="D224" s="83"/>
      <c r="G224" s="83"/>
    </row>
    <row r="225" spans="1:7" ht="13.2">
      <c r="A225" s="83"/>
      <c r="B225" s="83"/>
      <c r="C225" s="83"/>
      <c r="D225" s="83"/>
      <c r="G225" s="83"/>
    </row>
    <row r="226" spans="1:7" ht="13.2">
      <c r="A226" s="83"/>
      <c r="B226" s="83"/>
      <c r="C226" s="83"/>
      <c r="D226" s="83"/>
      <c r="G226" s="83"/>
    </row>
    <row r="227" spans="1:7" ht="13.2">
      <c r="A227" s="83"/>
      <c r="B227" s="83"/>
      <c r="C227" s="83"/>
      <c r="D227" s="83"/>
      <c r="G227" s="83"/>
    </row>
    <row r="228" spans="1:7" ht="13.2">
      <c r="A228" s="83"/>
      <c r="B228" s="83"/>
      <c r="C228" s="83"/>
      <c r="D228" s="83"/>
      <c r="G228" s="83"/>
    </row>
    <row r="229" spans="1:7" ht="13.2">
      <c r="A229" s="83"/>
      <c r="B229" s="83"/>
      <c r="C229" s="83"/>
      <c r="D229" s="83"/>
      <c r="G229" s="83"/>
    </row>
    <row r="230" spans="1:7" ht="13.2">
      <c r="A230" s="83"/>
      <c r="B230" s="83"/>
      <c r="C230" s="83"/>
      <c r="D230" s="83"/>
      <c r="G230" s="83"/>
    </row>
    <row r="231" spans="1:7" ht="13.2">
      <c r="A231" s="83"/>
      <c r="B231" s="83"/>
      <c r="C231" s="83"/>
      <c r="D231" s="83"/>
      <c r="G231" s="83"/>
    </row>
    <row r="232" spans="1:7" ht="13.2">
      <c r="A232" s="83"/>
      <c r="B232" s="83"/>
      <c r="C232" s="83"/>
      <c r="D232" s="83"/>
      <c r="G232" s="83"/>
    </row>
    <row r="233" spans="1:7" ht="13.2">
      <c r="A233" s="83"/>
      <c r="B233" s="83"/>
      <c r="C233" s="83"/>
      <c r="D233" s="83"/>
      <c r="G233" s="83"/>
    </row>
    <row r="234" spans="1:7" ht="13.2">
      <c r="A234" s="83"/>
      <c r="B234" s="83"/>
      <c r="C234" s="83"/>
      <c r="D234" s="83"/>
      <c r="G234" s="83"/>
    </row>
    <row r="235" spans="1:7" ht="13.2">
      <c r="A235" s="83"/>
      <c r="B235" s="83"/>
      <c r="C235" s="83"/>
      <c r="D235" s="83"/>
      <c r="G235" s="83"/>
    </row>
    <row r="236" spans="1:7" ht="13.2">
      <c r="A236" s="83"/>
      <c r="B236" s="83"/>
      <c r="C236" s="83"/>
      <c r="D236" s="83"/>
      <c r="G236" s="83"/>
    </row>
    <row r="237" spans="1:7" ht="13.2">
      <c r="A237" s="83"/>
      <c r="B237" s="83"/>
      <c r="C237" s="83"/>
      <c r="D237" s="83"/>
      <c r="G237" s="83"/>
    </row>
    <row r="238" spans="1:7" ht="13.2">
      <c r="A238" s="83"/>
      <c r="B238" s="83"/>
      <c r="C238" s="83"/>
      <c r="D238" s="83"/>
      <c r="G238" s="83"/>
    </row>
    <row r="239" spans="1:7" ht="13.2">
      <c r="A239" s="83"/>
      <c r="B239" s="83"/>
      <c r="C239" s="83"/>
      <c r="D239" s="83"/>
      <c r="G239" s="83"/>
    </row>
    <row r="240" spans="1:7" ht="13.2">
      <c r="A240" s="83"/>
      <c r="B240" s="83"/>
      <c r="C240" s="83"/>
      <c r="D240" s="83"/>
      <c r="G240" s="83"/>
    </row>
    <row r="241" spans="1:7" ht="13.2">
      <c r="A241" s="83"/>
      <c r="B241" s="83"/>
      <c r="C241" s="83"/>
      <c r="D241" s="83"/>
      <c r="G241" s="83"/>
    </row>
    <row r="242" spans="1:7" ht="13.2">
      <c r="A242" s="83"/>
      <c r="B242" s="83"/>
      <c r="C242" s="83"/>
      <c r="D242" s="83"/>
      <c r="G242" s="83"/>
    </row>
    <row r="243" spans="1:7" ht="13.2">
      <c r="A243" s="83"/>
      <c r="B243" s="83"/>
      <c r="C243" s="83"/>
      <c r="D243" s="83"/>
      <c r="G243" s="83"/>
    </row>
    <row r="244" spans="1:7" ht="13.2">
      <c r="A244" s="83"/>
      <c r="B244" s="83"/>
      <c r="C244" s="83"/>
      <c r="D244" s="83"/>
      <c r="G244" s="83"/>
    </row>
    <row r="245" spans="1:7" ht="13.2">
      <c r="A245" s="83"/>
      <c r="B245" s="83"/>
      <c r="C245" s="83"/>
      <c r="D245" s="83"/>
      <c r="G245" s="83"/>
    </row>
    <row r="246" spans="1:7" ht="13.2">
      <c r="A246" s="83"/>
      <c r="B246" s="83"/>
      <c r="C246" s="83"/>
      <c r="D246" s="83"/>
      <c r="G246" s="83"/>
    </row>
    <row r="247" spans="1:7" ht="13.2">
      <c r="A247" s="83"/>
      <c r="B247" s="83"/>
      <c r="C247" s="83"/>
      <c r="D247" s="83"/>
      <c r="G247" s="83"/>
    </row>
    <row r="248" spans="1:7" ht="13.2">
      <c r="A248" s="83"/>
      <c r="B248" s="83"/>
      <c r="C248" s="83"/>
      <c r="D248" s="83"/>
      <c r="G248" s="83"/>
    </row>
    <row r="249" spans="1:7" ht="13.2">
      <c r="A249" s="83"/>
      <c r="B249" s="83"/>
      <c r="C249" s="83"/>
      <c r="D249" s="83"/>
      <c r="G249" s="83"/>
    </row>
    <row r="250" spans="1:7" ht="13.2">
      <c r="A250" s="83"/>
      <c r="B250" s="83"/>
      <c r="C250" s="83"/>
      <c r="D250" s="83"/>
      <c r="G250" s="83"/>
    </row>
    <row r="251" spans="1:7" ht="13.2">
      <c r="A251" s="83"/>
      <c r="B251" s="83"/>
      <c r="C251" s="83"/>
      <c r="D251" s="83"/>
      <c r="G251" s="83"/>
    </row>
    <row r="252" spans="1:7" ht="13.2">
      <c r="A252" s="83"/>
      <c r="B252" s="83"/>
      <c r="C252" s="83"/>
      <c r="D252" s="83"/>
      <c r="G252" s="83"/>
    </row>
    <row r="253" spans="1:7" ht="13.2">
      <c r="A253" s="83"/>
      <c r="B253" s="83"/>
      <c r="C253" s="83"/>
      <c r="D253" s="83"/>
      <c r="G253" s="83"/>
    </row>
    <row r="254" spans="1:7" ht="13.2">
      <c r="A254" s="83"/>
      <c r="B254" s="83"/>
      <c r="C254" s="83"/>
      <c r="D254" s="83"/>
      <c r="G254" s="83"/>
    </row>
    <row r="255" spans="1:7" ht="13.2">
      <c r="A255" s="83"/>
      <c r="B255" s="83"/>
      <c r="C255" s="83"/>
      <c r="D255" s="83"/>
      <c r="G255" s="83"/>
    </row>
    <row r="256" spans="1:7" ht="13.2">
      <c r="A256" s="83"/>
      <c r="B256" s="83"/>
      <c r="C256" s="83"/>
      <c r="D256" s="83"/>
      <c r="G256" s="83"/>
    </row>
    <row r="257" spans="1:7" ht="13.2">
      <c r="A257" s="83"/>
      <c r="B257" s="83"/>
      <c r="C257" s="83"/>
      <c r="D257" s="83"/>
      <c r="G257" s="83"/>
    </row>
    <row r="258" spans="1:7" ht="13.2">
      <c r="A258" s="83"/>
      <c r="B258" s="83"/>
      <c r="C258" s="83"/>
      <c r="D258" s="83"/>
      <c r="G258" s="83"/>
    </row>
    <row r="259" spans="1:7" ht="13.2">
      <c r="A259" s="83"/>
      <c r="B259" s="83"/>
      <c r="C259" s="83"/>
      <c r="D259" s="83"/>
      <c r="G259" s="83"/>
    </row>
    <row r="260" spans="1:7" ht="13.2">
      <c r="A260" s="83"/>
      <c r="B260" s="83"/>
      <c r="C260" s="83"/>
      <c r="D260" s="83"/>
      <c r="G260" s="83"/>
    </row>
    <row r="261" spans="1:7" ht="13.2">
      <c r="A261" s="83"/>
      <c r="B261" s="83"/>
      <c r="C261" s="83"/>
      <c r="D261" s="83"/>
      <c r="G261" s="83"/>
    </row>
    <row r="262" spans="1:7" ht="13.2">
      <c r="A262" s="83"/>
      <c r="B262" s="83"/>
      <c r="C262" s="83"/>
      <c r="D262" s="83"/>
      <c r="G262" s="83"/>
    </row>
    <row r="263" spans="1:7" ht="13.2">
      <c r="A263" s="83"/>
      <c r="B263" s="83"/>
      <c r="C263" s="83"/>
      <c r="D263" s="83"/>
      <c r="G263" s="83"/>
    </row>
    <row r="264" spans="1:7" ht="13.2">
      <c r="A264" s="83"/>
      <c r="B264" s="83"/>
      <c r="C264" s="83"/>
      <c r="D264" s="83"/>
      <c r="G264" s="83"/>
    </row>
    <row r="265" spans="1:7" ht="13.2">
      <c r="A265" s="83"/>
      <c r="B265" s="83"/>
      <c r="C265" s="83"/>
      <c r="D265" s="83"/>
      <c r="G265" s="83"/>
    </row>
    <row r="266" spans="1:7" ht="13.2">
      <c r="A266" s="83"/>
      <c r="B266" s="83"/>
      <c r="C266" s="83"/>
      <c r="D266" s="83"/>
      <c r="G266" s="83"/>
    </row>
    <row r="267" spans="1:7" ht="13.2">
      <c r="A267" s="83"/>
      <c r="B267" s="83"/>
      <c r="C267" s="83"/>
      <c r="D267" s="83"/>
      <c r="G267" s="83"/>
    </row>
    <row r="268" spans="1:7" ht="13.2">
      <c r="A268" s="83"/>
      <c r="B268" s="83"/>
      <c r="C268" s="83"/>
      <c r="D268" s="83"/>
      <c r="G268" s="83"/>
    </row>
    <row r="269" spans="1:7" ht="13.2">
      <c r="A269" s="83"/>
      <c r="B269" s="83"/>
      <c r="C269" s="83"/>
      <c r="D269" s="83"/>
      <c r="G269" s="83"/>
    </row>
    <row r="270" spans="1:7" ht="13.2">
      <c r="A270" s="83"/>
      <c r="B270" s="83"/>
      <c r="C270" s="83"/>
      <c r="D270" s="83"/>
      <c r="G270" s="83"/>
    </row>
    <row r="271" spans="1:7" ht="13.2">
      <c r="A271" s="83"/>
      <c r="B271" s="83"/>
      <c r="C271" s="83"/>
      <c r="D271" s="83"/>
      <c r="G271" s="83"/>
    </row>
    <row r="272" spans="1:7" ht="13.2">
      <c r="A272" s="83"/>
      <c r="B272" s="83"/>
      <c r="C272" s="83"/>
      <c r="D272" s="83"/>
      <c r="G272" s="83"/>
    </row>
    <row r="273" spans="1:7" ht="13.2">
      <c r="A273" s="83"/>
      <c r="B273" s="83"/>
      <c r="C273" s="83"/>
      <c r="D273" s="83"/>
      <c r="G273" s="83"/>
    </row>
    <row r="274" spans="1:7" ht="13.2">
      <c r="A274" s="83"/>
      <c r="B274" s="83"/>
      <c r="C274" s="83"/>
      <c r="D274" s="83"/>
      <c r="G274" s="83"/>
    </row>
    <row r="275" spans="1:7" ht="13.2">
      <c r="A275" s="83"/>
      <c r="B275" s="83"/>
      <c r="C275" s="83"/>
      <c r="D275" s="83"/>
      <c r="G275" s="83"/>
    </row>
    <row r="276" spans="1:7" ht="13.2">
      <c r="A276" s="83"/>
      <c r="B276" s="83"/>
      <c r="C276" s="83"/>
      <c r="D276" s="83"/>
      <c r="G276" s="83"/>
    </row>
    <row r="277" spans="1:7" ht="13.2">
      <c r="A277" s="83"/>
      <c r="B277" s="83"/>
      <c r="C277" s="83"/>
      <c r="D277" s="83"/>
      <c r="G277" s="83"/>
    </row>
    <row r="278" spans="1:7" ht="13.2">
      <c r="A278" s="83"/>
      <c r="B278" s="83"/>
      <c r="C278" s="83"/>
      <c r="D278" s="83"/>
      <c r="G278" s="83"/>
    </row>
    <row r="279" spans="1:7" ht="13.2">
      <c r="A279" s="83"/>
      <c r="B279" s="83"/>
      <c r="C279" s="83"/>
      <c r="D279" s="83"/>
      <c r="G279" s="83"/>
    </row>
    <row r="280" spans="1:7" ht="13.2">
      <c r="A280" s="83"/>
      <c r="B280" s="83"/>
      <c r="C280" s="83"/>
      <c r="D280" s="83"/>
      <c r="G280" s="83"/>
    </row>
    <row r="281" spans="1:7" ht="13.2">
      <c r="A281" s="83"/>
      <c r="B281" s="83"/>
      <c r="C281" s="83"/>
      <c r="D281" s="83"/>
      <c r="G281" s="83"/>
    </row>
    <row r="282" spans="1:7" ht="13.2">
      <c r="A282" s="83"/>
      <c r="B282" s="83"/>
      <c r="C282" s="83"/>
      <c r="D282" s="83"/>
      <c r="G282" s="83"/>
    </row>
    <row r="283" spans="1:7" ht="13.2">
      <c r="A283" s="83"/>
      <c r="B283" s="83"/>
      <c r="C283" s="83"/>
      <c r="D283" s="83"/>
      <c r="G283" s="83"/>
    </row>
    <row r="284" spans="1:7" ht="13.2">
      <c r="A284" s="83"/>
      <c r="B284" s="83"/>
      <c r="C284" s="83"/>
      <c r="D284" s="83"/>
      <c r="G284" s="83"/>
    </row>
    <row r="285" spans="1:7" ht="13.2">
      <c r="A285" s="83"/>
      <c r="B285" s="83"/>
      <c r="C285" s="83"/>
      <c r="D285" s="83"/>
      <c r="G285" s="83"/>
    </row>
    <row r="286" spans="1:7" ht="13.2">
      <c r="A286" s="83"/>
      <c r="B286" s="83"/>
      <c r="C286" s="83"/>
      <c r="D286" s="83"/>
      <c r="G286" s="83"/>
    </row>
    <row r="287" spans="1:7" ht="13.2">
      <c r="A287" s="83"/>
      <c r="B287" s="83"/>
      <c r="C287" s="83"/>
      <c r="D287" s="83"/>
      <c r="G287" s="83"/>
    </row>
    <row r="288" spans="1:7" ht="13.2">
      <c r="A288" s="83"/>
      <c r="B288" s="83"/>
      <c r="C288" s="83"/>
      <c r="D288" s="83"/>
      <c r="G288" s="83"/>
    </row>
    <row r="289" spans="1:7" ht="13.2">
      <c r="A289" s="83"/>
      <c r="B289" s="83"/>
      <c r="C289" s="83"/>
      <c r="D289" s="83"/>
      <c r="G289" s="83"/>
    </row>
    <row r="290" spans="1:7" ht="13.2">
      <c r="A290" s="83"/>
      <c r="B290" s="83"/>
      <c r="C290" s="83"/>
      <c r="D290" s="83"/>
      <c r="G290" s="83"/>
    </row>
    <row r="291" spans="1:7" ht="13.2">
      <c r="A291" s="83"/>
      <c r="B291" s="83"/>
      <c r="C291" s="83"/>
      <c r="D291" s="83"/>
      <c r="G291" s="83"/>
    </row>
    <row r="292" spans="1:7" ht="13.2">
      <c r="A292" s="83"/>
      <c r="B292" s="83"/>
      <c r="C292" s="83"/>
      <c r="D292" s="83"/>
      <c r="G292" s="83"/>
    </row>
    <row r="293" spans="1:7" ht="13.2">
      <c r="A293" s="83"/>
      <c r="B293" s="83"/>
      <c r="C293" s="83"/>
      <c r="D293" s="83"/>
      <c r="G293" s="83"/>
    </row>
    <row r="294" spans="1:7" ht="13.2">
      <c r="A294" s="83"/>
      <c r="B294" s="83"/>
      <c r="C294" s="83"/>
      <c r="D294" s="83"/>
      <c r="G294" s="83"/>
    </row>
    <row r="295" spans="1:7" ht="13.2">
      <c r="A295" s="83"/>
      <c r="B295" s="83"/>
      <c r="C295" s="83"/>
      <c r="D295" s="83"/>
      <c r="G295" s="83"/>
    </row>
    <row r="296" spans="1:7" ht="13.2">
      <c r="A296" s="83"/>
      <c r="B296" s="83"/>
      <c r="C296" s="83"/>
      <c r="D296" s="83"/>
      <c r="G296" s="83"/>
    </row>
    <row r="297" spans="1:7" ht="13.2">
      <c r="A297" s="83"/>
      <c r="B297" s="83"/>
      <c r="C297" s="83"/>
      <c r="D297" s="83"/>
      <c r="G297" s="83"/>
    </row>
    <row r="298" spans="1:7" ht="13.2">
      <c r="A298" s="83"/>
      <c r="B298" s="83"/>
      <c r="C298" s="83"/>
      <c r="D298" s="83"/>
      <c r="G298" s="83"/>
    </row>
    <row r="299" spans="1:7" ht="13.2">
      <c r="A299" s="83"/>
      <c r="B299" s="83"/>
      <c r="C299" s="83"/>
      <c r="D299" s="83"/>
      <c r="G299" s="83"/>
    </row>
    <row r="300" spans="1:7" ht="13.2">
      <c r="A300" s="83"/>
      <c r="B300" s="83"/>
      <c r="C300" s="83"/>
      <c r="D300" s="83"/>
      <c r="G300" s="83"/>
    </row>
    <row r="301" spans="1:7" ht="13.2">
      <c r="A301" s="83"/>
      <c r="B301" s="83"/>
      <c r="C301" s="83"/>
      <c r="D301" s="83"/>
      <c r="G301" s="83"/>
    </row>
    <row r="302" spans="1:7" ht="13.2">
      <c r="A302" s="83"/>
      <c r="B302" s="83"/>
      <c r="C302" s="83"/>
      <c r="D302" s="83"/>
      <c r="G302" s="83"/>
    </row>
    <row r="303" spans="1:7" ht="13.2">
      <c r="A303" s="83"/>
      <c r="B303" s="83"/>
      <c r="C303" s="83"/>
      <c r="D303" s="83"/>
      <c r="G303" s="83"/>
    </row>
    <row r="304" spans="1:7" ht="13.2">
      <c r="A304" s="83"/>
      <c r="B304" s="83"/>
      <c r="C304" s="83"/>
      <c r="D304" s="83"/>
      <c r="G304" s="83"/>
    </row>
    <row r="305" spans="1:7" ht="13.2">
      <c r="A305" s="83"/>
      <c r="B305" s="83"/>
      <c r="C305" s="83"/>
      <c r="D305" s="83"/>
      <c r="G305" s="83"/>
    </row>
    <row r="306" spans="1:7" ht="13.2">
      <c r="A306" s="83"/>
      <c r="B306" s="83"/>
      <c r="C306" s="83"/>
      <c r="D306" s="83"/>
      <c r="G306" s="83"/>
    </row>
    <row r="307" spans="1:7" ht="13.2">
      <c r="A307" s="83"/>
      <c r="B307" s="83"/>
      <c r="C307" s="83"/>
      <c r="D307" s="83"/>
      <c r="G307" s="83"/>
    </row>
    <row r="308" spans="1:7" ht="13.2">
      <c r="A308" s="83"/>
      <c r="B308" s="83"/>
      <c r="C308" s="83"/>
      <c r="D308" s="83"/>
      <c r="G308" s="83"/>
    </row>
    <row r="309" spans="1:7" ht="13.2">
      <c r="A309" s="83"/>
      <c r="B309" s="83"/>
      <c r="C309" s="83"/>
      <c r="D309" s="83"/>
      <c r="G309" s="83"/>
    </row>
    <row r="310" spans="1:7" ht="13.2">
      <c r="A310" s="83"/>
      <c r="B310" s="83"/>
      <c r="C310" s="83"/>
      <c r="D310" s="83"/>
      <c r="G310" s="83"/>
    </row>
    <row r="311" spans="1:7" ht="13.2">
      <c r="A311" s="83"/>
      <c r="B311" s="83"/>
      <c r="C311" s="83"/>
      <c r="D311" s="83"/>
      <c r="G311" s="83"/>
    </row>
    <row r="312" spans="1:7" ht="13.2">
      <c r="A312" s="83"/>
      <c r="B312" s="83"/>
      <c r="C312" s="83"/>
      <c r="D312" s="83"/>
      <c r="G312" s="83"/>
    </row>
    <row r="313" spans="1:7" ht="13.2">
      <c r="A313" s="83"/>
      <c r="B313" s="83"/>
      <c r="C313" s="83"/>
      <c r="D313" s="83"/>
      <c r="G313" s="83"/>
    </row>
    <row r="314" spans="1:7" ht="13.2">
      <c r="A314" s="83"/>
      <c r="B314" s="83"/>
      <c r="C314" s="83"/>
      <c r="D314" s="83"/>
      <c r="G314" s="83"/>
    </row>
    <row r="315" spans="1:7" ht="13.2">
      <c r="A315" s="83"/>
      <c r="B315" s="83"/>
      <c r="C315" s="83"/>
      <c r="D315" s="83"/>
      <c r="G315" s="83"/>
    </row>
    <row r="316" spans="1:7" ht="13.2">
      <c r="A316" s="83"/>
      <c r="B316" s="83"/>
      <c r="C316" s="83"/>
      <c r="D316" s="83"/>
      <c r="G316" s="83"/>
    </row>
    <row r="317" spans="1:7" ht="13.2">
      <c r="A317" s="83"/>
      <c r="B317" s="83"/>
      <c r="C317" s="83"/>
      <c r="D317" s="83"/>
      <c r="G317" s="83"/>
    </row>
    <row r="318" spans="1:7" ht="13.2">
      <c r="A318" s="83"/>
      <c r="B318" s="83"/>
      <c r="C318" s="83"/>
      <c r="D318" s="83"/>
      <c r="G318" s="83"/>
    </row>
    <row r="319" spans="1:7" ht="13.2">
      <c r="A319" s="83"/>
      <c r="B319" s="83"/>
      <c r="C319" s="83"/>
      <c r="D319" s="83"/>
      <c r="G319" s="83"/>
    </row>
    <row r="320" spans="1:7" ht="13.2">
      <c r="A320" s="83"/>
      <c r="B320" s="83"/>
      <c r="C320" s="83"/>
      <c r="D320" s="83"/>
      <c r="G320" s="83"/>
    </row>
    <row r="321" spans="1:7" ht="13.2">
      <c r="A321" s="83"/>
      <c r="B321" s="83"/>
      <c r="C321" s="83"/>
      <c r="D321" s="83"/>
      <c r="G321" s="83"/>
    </row>
    <row r="322" spans="1:7" ht="13.2">
      <c r="A322" s="83"/>
      <c r="B322" s="83"/>
      <c r="C322" s="83"/>
      <c r="D322" s="83"/>
      <c r="G322" s="83"/>
    </row>
    <row r="323" spans="1:7" ht="13.2">
      <c r="A323" s="83"/>
      <c r="B323" s="83"/>
      <c r="C323" s="83"/>
      <c r="D323" s="83"/>
      <c r="G323" s="83"/>
    </row>
    <row r="324" spans="1:7" ht="13.2">
      <c r="A324" s="83"/>
      <c r="B324" s="83"/>
      <c r="C324" s="83"/>
      <c r="D324" s="83"/>
      <c r="G324" s="83"/>
    </row>
    <row r="325" spans="1:7" ht="13.2">
      <c r="A325" s="83"/>
      <c r="B325" s="83"/>
      <c r="C325" s="83"/>
      <c r="D325" s="83"/>
      <c r="G325" s="83"/>
    </row>
    <row r="326" spans="1:7" ht="13.2">
      <c r="A326" s="83"/>
      <c r="B326" s="83"/>
      <c r="C326" s="83"/>
      <c r="D326" s="83"/>
      <c r="G326" s="83"/>
    </row>
    <row r="327" spans="1:7" ht="13.2">
      <c r="A327" s="83"/>
      <c r="B327" s="83"/>
      <c r="C327" s="83"/>
      <c r="D327" s="83"/>
      <c r="G327" s="83"/>
    </row>
    <row r="328" spans="1:7" ht="13.2">
      <c r="A328" s="83"/>
      <c r="B328" s="83"/>
      <c r="C328" s="83"/>
      <c r="D328" s="83"/>
      <c r="G328" s="83"/>
    </row>
    <row r="329" spans="1:7" ht="13.2">
      <c r="A329" s="83"/>
      <c r="B329" s="83"/>
      <c r="C329" s="83"/>
      <c r="D329" s="83"/>
      <c r="G329" s="83"/>
    </row>
    <row r="330" spans="1:7" ht="13.2">
      <c r="A330" s="83"/>
      <c r="B330" s="83"/>
      <c r="C330" s="83"/>
      <c r="D330" s="83"/>
      <c r="G330" s="83"/>
    </row>
    <row r="331" spans="1:7" ht="13.2">
      <c r="A331" s="83"/>
      <c r="B331" s="83"/>
      <c r="C331" s="83"/>
      <c r="D331" s="83"/>
      <c r="G331" s="83"/>
    </row>
    <row r="332" spans="1:7" ht="13.2">
      <c r="A332" s="83"/>
      <c r="B332" s="83"/>
      <c r="C332" s="83"/>
      <c r="D332" s="83"/>
      <c r="G332" s="83"/>
    </row>
    <row r="333" spans="1:7" ht="13.2">
      <c r="A333" s="83"/>
      <c r="B333" s="83"/>
      <c r="C333" s="83"/>
      <c r="D333" s="83"/>
      <c r="G333" s="83"/>
    </row>
    <row r="334" spans="1:7" ht="13.2">
      <c r="A334" s="83"/>
      <c r="B334" s="83"/>
      <c r="C334" s="83"/>
      <c r="D334" s="83"/>
      <c r="G334" s="83"/>
    </row>
    <row r="335" spans="1:7" ht="13.2">
      <c r="A335" s="83"/>
      <c r="B335" s="83"/>
      <c r="C335" s="83"/>
      <c r="D335" s="83"/>
      <c r="G335" s="83"/>
    </row>
    <row r="336" spans="1:7" ht="13.2">
      <c r="A336" s="83"/>
      <c r="B336" s="83"/>
      <c r="C336" s="83"/>
      <c r="D336" s="83"/>
      <c r="G336" s="83"/>
    </row>
    <row r="337" spans="1:7" ht="13.2">
      <c r="A337" s="83"/>
      <c r="B337" s="83"/>
      <c r="C337" s="83"/>
      <c r="D337" s="83"/>
      <c r="G337" s="83"/>
    </row>
    <row r="338" spans="1:7" ht="13.2">
      <c r="A338" s="83"/>
      <c r="B338" s="83"/>
      <c r="C338" s="83"/>
      <c r="D338" s="83"/>
      <c r="G338" s="83"/>
    </row>
    <row r="339" spans="1:7" ht="13.2">
      <c r="A339" s="83"/>
      <c r="B339" s="83"/>
      <c r="C339" s="83"/>
      <c r="D339" s="83"/>
      <c r="G339" s="83"/>
    </row>
    <row r="340" spans="1:7" ht="13.2">
      <c r="A340" s="83"/>
      <c r="B340" s="83"/>
      <c r="C340" s="83"/>
      <c r="D340" s="83"/>
      <c r="G340" s="83"/>
    </row>
    <row r="341" spans="1:7" ht="13.2">
      <c r="A341" s="83"/>
      <c r="B341" s="83"/>
      <c r="C341" s="83"/>
      <c r="D341" s="83"/>
      <c r="G341" s="83"/>
    </row>
    <row r="342" spans="1:7" ht="13.2">
      <c r="A342" s="83"/>
      <c r="B342" s="83"/>
      <c r="C342" s="83"/>
      <c r="D342" s="83"/>
      <c r="G342" s="83"/>
    </row>
    <row r="343" spans="1:7" ht="13.2">
      <c r="A343" s="83"/>
      <c r="B343" s="83"/>
      <c r="C343" s="83"/>
      <c r="D343" s="83"/>
      <c r="G343" s="83"/>
    </row>
    <row r="344" spans="1:7" ht="13.2">
      <c r="A344" s="83"/>
      <c r="B344" s="83"/>
      <c r="C344" s="83"/>
      <c r="D344" s="83"/>
      <c r="G344" s="83"/>
    </row>
    <row r="345" spans="1:7" ht="13.2">
      <c r="A345" s="83"/>
      <c r="B345" s="83"/>
      <c r="C345" s="83"/>
      <c r="D345" s="83"/>
      <c r="G345" s="83"/>
    </row>
    <row r="346" spans="1:7" ht="13.2">
      <c r="A346" s="83"/>
      <c r="B346" s="83"/>
      <c r="C346" s="83"/>
      <c r="D346" s="83"/>
      <c r="G346" s="83"/>
    </row>
    <row r="347" spans="1:7" ht="13.2">
      <c r="A347" s="83"/>
      <c r="B347" s="83"/>
      <c r="C347" s="83"/>
      <c r="D347" s="83"/>
      <c r="G347" s="83"/>
    </row>
    <row r="348" spans="1:7" ht="13.2">
      <c r="A348" s="83"/>
      <c r="B348" s="83"/>
      <c r="C348" s="83"/>
      <c r="D348" s="83"/>
      <c r="G348" s="83"/>
    </row>
    <row r="349" spans="1:7" ht="13.2">
      <c r="A349" s="83"/>
      <c r="B349" s="83"/>
      <c r="C349" s="83"/>
      <c r="D349" s="83"/>
      <c r="G349" s="83"/>
    </row>
    <row r="350" spans="1:7" ht="13.2">
      <c r="A350" s="83"/>
      <c r="B350" s="83"/>
      <c r="C350" s="83"/>
      <c r="D350" s="83"/>
      <c r="G350" s="83"/>
    </row>
    <row r="351" spans="1:7" ht="13.2">
      <c r="A351" s="83"/>
      <c r="B351" s="83"/>
      <c r="C351" s="83"/>
      <c r="D351" s="83"/>
      <c r="G351" s="83"/>
    </row>
    <row r="352" spans="1:7" ht="13.2">
      <c r="A352" s="83"/>
      <c r="B352" s="83"/>
      <c r="C352" s="83"/>
      <c r="D352" s="83"/>
      <c r="G352" s="83"/>
    </row>
    <row r="353" spans="1:7" ht="13.2">
      <c r="A353" s="83"/>
      <c r="B353" s="83"/>
      <c r="C353" s="83"/>
      <c r="D353" s="83"/>
      <c r="G353" s="83"/>
    </row>
    <row r="354" spans="1:7" ht="13.2">
      <c r="A354" s="83"/>
      <c r="B354" s="83"/>
      <c r="C354" s="83"/>
      <c r="D354" s="83"/>
      <c r="G354" s="83"/>
    </row>
    <row r="355" spans="1:7" ht="13.2">
      <c r="A355" s="83"/>
      <c r="B355" s="83"/>
      <c r="C355" s="83"/>
      <c r="D355" s="83"/>
      <c r="G355" s="83"/>
    </row>
    <row r="356" spans="1:7" ht="13.2">
      <c r="A356" s="83"/>
      <c r="B356" s="83"/>
      <c r="C356" s="83"/>
      <c r="D356" s="83"/>
      <c r="G356" s="83"/>
    </row>
    <row r="357" spans="1:7" ht="13.2">
      <c r="A357" s="83"/>
      <c r="B357" s="83"/>
      <c r="C357" s="83"/>
      <c r="D357" s="83"/>
      <c r="G357" s="83"/>
    </row>
    <row r="358" spans="1:7" ht="13.2">
      <c r="A358" s="83"/>
      <c r="B358" s="83"/>
      <c r="C358" s="83"/>
      <c r="D358" s="83"/>
      <c r="G358" s="83"/>
    </row>
    <row r="359" spans="1:7" ht="13.2">
      <c r="A359" s="83"/>
      <c r="B359" s="83"/>
      <c r="C359" s="83"/>
      <c r="D359" s="83"/>
      <c r="G359" s="83"/>
    </row>
    <row r="360" spans="1:7" ht="13.2">
      <c r="A360" s="83"/>
      <c r="B360" s="83"/>
      <c r="C360" s="83"/>
      <c r="D360" s="83"/>
      <c r="G360" s="83"/>
    </row>
    <row r="361" spans="1:7" ht="13.2">
      <c r="A361" s="83"/>
      <c r="B361" s="83"/>
      <c r="C361" s="83"/>
      <c r="D361" s="83"/>
      <c r="G361" s="83"/>
    </row>
    <row r="362" spans="1:7" ht="13.2">
      <c r="A362" s="83"/>
      <c r="B362" s="83"/>
      <c r="C362" s="83"/>
      <c r="D362" s="83"/>
      <c r="G362" s="83"/>
    </row>
    <row r="363" spans="1:7" ht="13.2">
      <c r="A363" s="83"/>
      <c r="B363" s="83"/>
      <c r="C363" s="83"/>
      <c r="D363" s="83"/>
      <c r="G363" s="83"/>
    </row>
    <row r="364" spans="1:7" ht="13.2">
      <c r="A364" s="83"/>
      <c r="B364" s="83"/>
      <c r="C364" s="83"/>
      <c r="D364" s="83"/>
      <c r="G364" s="83"/>
    </row>
    <row r="365" spans="1:7" ht="13.2">
      <c r="A365" s="83"/>
      <c r="B365" s="83"/>
      <c r="C365" s="83"/>
      <c r="D365" s="83"/>
      <c r="G365" s="83"/>
    </row>
    <row r="366" spans="1:7" ht="13.2">
      <c r="A366" s="83"/>
      <c r="B366" s="83"/>
      <c r="C366" s="83"/>
      <c r="D366" s="83"/>
      <c r="G366" s="83"/>
    </row>
    <row r="367" spans="1:7" ht="13.2">
      <c r="A367" s="83"/>
      <c r="B367" s="83"/>
      <c r="C367" s="83"/>
      <c r="D367" s="83"/>
      <c r="G367" s="83"/>
    </row>
    <row r="368" spans="1:7" ht="13.2">
      <c r="A368" s="83"/>
      <c r="B368" s="83"/>
      <c r="C368" s="83"/>
      <c r="D368" s="83"/>
      <c r="G368" s="83"/>
    </row>
    <row r="369" spans="1:7" ht="13.2">
      <c r="A369" s="83"/>
      <c r="B369" s="83"/>
      <c r="C369" s="83"/>
      <c r="D369" s="83"/>
      <c r="G369" s="83"/>
    </row>
    <row r="370" spans="1:7" ht="13.2">
      <c r="A370" s="83"/>
      <c r="B370" s="83"/>
      <c r="C370" s="83"/>
      <c r="D370" s="83"/>
      <c r="G370" s="83"/>
    </row>
    <row r="371" spans="1:7" ht="13.2">
      <c r="A371" s="83"/>
      <c r="B371" s="83"/>
      <c r="C371" s="83"/>
      <c r="D371" s="83"/>
      <c r="G371" s="83"/>
    </row>
    <row r="372" spans="1:7" ht="13.2">
      <c r="A372" s="83"/>
      <c r="B372" s="83"/>
      <c r="C372" s="83"/>
      <c r="D372" s="83"/>
      <c r="G372" s="83"/>
    </row>
    <row r="373" spans="1:7" ht="13.2">
      <c r="A373" s="83"/>
      <c r="B373" s="83"/>
      <c r="C373" s="83"/>
      <c r="D373" s="83"/>
      <c r="G373" s="83"/>
    </row>
    <row r="374" spans="1:7" ht="13.2">
      <c r="A374" s="83"/>
      <c r="B374" s="83"/>
      <c r="C374" s="83"/>
      <c r="D374" s="83"/>
      <c r="G374" s="83"/>
    </row>
    <row r="375" spans="1:7" ht="13.2">
      <c r="A375" s="83"/>
      <c r="B375" s="83"/>
      <c r="C375" s="83"/>
      <c r="D375" s="83"/>
      <c r="G375" s="83"/>
    </row>
    <row r="376" spans="1:7" ht="13.2">
      <c r="A376" s="83"/>
      <c r="B376" s="83"/>
      <c r="C376" s="83"/>
      <c r="D376" s="83"/>
      <c r="G376" s="83"/>
    </row>
    <row r="377" spans="1:7" ht="13.2">
      <c r="A377" s="83"/>
      <c r="B377" s="83"/>
      <c r="C377" s="83"/>
      <c r="D377" s="83"/>
      <c r="G377" s="83"/>
    </row>
    <row r="378" spans="1:7" ht="13.2">
      <c r="A378" s="83"/>
      <c r="B378" s="83"/>
      <c r="C378" s="83"/>
      <c r="D378" s="83"/>
      <c r="G378" s="83"/>
    </row>
    <row r="379" spans="1:7" ht="13.2">
      <c r="A379" s="83"/>
      <c r="B379" s="83"/>
      <c r="C379" s="83"/>
      <c r="D379" s="83"/>
      <c r="G379" s="83"/>
    </row>
    <row r="380" spans="1:7" ht="13.2">
      <c r="A380" s="83"/>
      <c r="B380" s="83"/>
      <c r="C380" s="83"/>
      <c r="D380" s="83"/>
      <c r="G380" s="83"/>
    </row>
    <row r="381" spans="1:7" ht="13.2">
      <c r="A381" s="83"/>
      <c r="B381" s="83"/>
      <c r="C381" s="83"/>
      <c r="D381" s="83"/>
      <c r="G381" s="83"/>
    </row>
    <row r="382" spans="1:7" ht="13.2">
      <c r="A382" s="83"/>
      <c r="B382" s="83"/>
      <c r="C382" s="83"/>
      <c r="D382" s="83"/>
      <c r="G382" s="83"/>
    </row>
    <row r="383" spans="1:7" ht="13.2">
      <c r="A383" s="83"/>
      <c r="B383" s="83"/>
      <c r="C383" s="83"/>
      <c r="D383" s="83"/>
      <c r="G383" s="83"/>
    </row>
    <row r="384" spans="1:7" ht="13.2">
      <c r="A384" s="83"/>
      <c r="B384" s="83"/>
      <c r="C384" s="83"/>
      <c r="D384" s="83"/>
      <c r="G384" s="83"/>
    </row>
    <row r="385" spans="1:7" ht="13.2">
      <c r="A385" s="83"/>
      <c r="B385" s="83"/>
      <c r="C385" s="83"/>
      <c r="D385" s="83"/>
      <c r="G385" s="83"/>
    </row>
    <row r="386" spans="1:7" ht="13.2">
      <c r="A386" s="83"/>
      <c r="B386" s="83"/>
      <c r="C386" s="83"/>
      <c r="D386" s="83"/>
      <c r="G386" s="83"/>
    </row>
    <row r="387" spans="1:7" ht="13.2">
      <c r="A387" s="83"/>
      <c r="B387" s="83"/>
      <c r="C387" s="83"/>
      <c r="D387" s="83"/>
      <c r="G387" s="83"/>
    </row>
    <row r="388" spans="1:7" ht="13.2">
      <c r="A388" s="83"/>
      <c r="B388" s="83"/>
      <c r="C388" s="83"/>
      <c r="D388" s="83"/>
      <c r="G388" s="83"/>
    </row>
    <row r="389" spans="1:7" ht="13.2">
      <c r="A389" s="83"/>
      <c r="B389" s="83"/>
      <c r="C389" s="83"/>
      <c r="D389" s="83"/>
      <c r="G389" s="83"/>
    </row>
    <row r="390" spans="1:7" ht="13.2">
      <c r="A390" s="83"/>
      <c r="B390" s="83"/>
      <c r="C390" s="83"/>
      <c r="D390" s="83"/>
      <c r="G390" s="83"/>
    </row>
    <row r="391" spans="1:7" ht="13.2">
      <c r="A391" s="83"/>
      <c r="B391" s="83"/>
      <c r="C391" s="83"/>
      <c r="D391" s="83"/>
      <c r="G391" s="83"/>
    </row>
    <row r="392" spans="1:7" ht="13.2">
      <c r="A392" s="83"/>
      <c r="B392" s="83"/>
      <c r="C392" s="83"/>
      <c r="D392" s="83"/>
      <c r="G392" s="83"/>
    </row>
    <row r="393" spans="1:7" ht="13.2">
      <c r="A393" s="83"/>
      <c r="B393" s="83"/>
      <c r="C393" s="83"/>
      <c r="D393" s="83"/>
      <c r="G393" s="83"/>
    </row>
    <row r="394" spans="1:7" ht="13.2">
      <c r="A394" s="83"/>
      <c r="B394" s="83"/>
      <c r="C394" s="83"/>
      <c r="D394" s="83"/>
      <c r="G394" s="83"/>
    </row>
    <row r="395" spans="1:7" ht="13.2">
      <c r="A395" s="83"/>
      <c r="B395" s="83"/>
      <c r="C395" s="83"/>
      <c r="D395" s="83"/>
      <c r="G395" s="83"/>
    </row>
    <row r="396" spans="1:7" ht="13.2">
      <c r="A396" s="83"/>
      <c r="B396" s="83"/>
      <c r="C396" s="83"/>
      <c r="D396" s="83"/>
      <c r="G396" s="83"/>
    </row>
    <row r="397" spans="1:7" ht="13.2">
      <c r="A397" s="83"/>
      <c r="B397" s="83"/>
      <c r="C397" s="83"/>
      <c r="D397" s="83"/>
      <c r="G397" s="83"/>
    </row>
    <row r="398" spans="1:7" ht="13.2">
      <c r="A398" s="83"/>
      <c r="B398" s="83"/>
      <c r="C398" s="83"/>
      <c r="D398" s="83"/>
      <c r="G398" s="83"/>
    </row>
    <row r="399" spans="1:7" ht="13.2">
      <c r="A399" s="83"/>
      <c r="B399" s="83"/>
      <c r="C399" s="83"/>
      <c r="D399" s="83"/>
      <c r="G399" s="83"/>
    </row>
    <row r="400" spans="1:7" ht="13.2">
      <c r="A400" s="83"/>
      <c r="B400" s="83"/>
      <c r="C400" s="83"/>
      <c r="D400" s="83"/>
      <c r="G400" s="83"/>
    </row>
    <row r="401" spans="1:7" ht="13.2">
      <c r="A401" s="83"/>
      <c r="B401" s="83"/>
      <c r="C401" s="83"/>
      <c r="D401" s="83"/>
      <c r="G401" s="83"/>
    </row>
    <row r="402" spans="1:7" ht="13.2">
      <c r="A402" s="83"/>
      <c r="B402" s="83"/>
      <c r="C402" s="83"/>
      <c r="D402" s="83"/>
      <c r="G402" s="83"/>
    </row>
    <row r="403" spans="1:7" ht="13.2">
      <c r="A403" s="83"/>
      <c r="B403" s="83"/>
      <c r="C403" s="83"/>
      <c r="D403" s="83"/>
      <c r="G403" s="83"/>
    </row>
    <row r="404" spans="1:7" ht="13.2">
      <c r="A404" s="83"/>
      <c r="B404" s="83"/>
      <c r="C404" s="83"/>
      <c r="D404" s="83"/>
      <c r="G404" s="83"/>
    </row>
    <row r="405" spans="1:7" ht="13.2">
      <c r="A405" s="83"/>
      <c r="B405" s="83"/>
      <c r="C405" s="83"/>
      <c r="D405" s="83"/>
      <c r="G405" s="83"/>
    </row>
    <row r="406" spans="1:7" ht="13.2">
      <c r="A406" s="83"/>
      <c r="B406" s="83"/>
      <c r="C406" s="83"/>
      <c r="D406" s="83"/>
      <c r="G406" s="83"/>
    </row>
    <row r="407" spans="1:7" ht="13.2">
      <c r="A407" s="83"/>
      <c r="B407" s="83"/>
      <c r="C407" s="83"/>
      <c r="D407" s="83"/>
      <c r="G407" s="83"/>
    </row>
    <row r="408" spans="1:7" ht="13.2">
      <c r="A408" s="83"/>
      <c r="B408" s="83"/>
      <c r="C408" s="83"/>
      <c r="D408" s="83"/>
      <c r="G408" s="83"/>
    </row>
    <row r="409" spans="1:7" ht="13.2">
      <c r="A409" s="83"/>
      <c r="B409" s="83"/>
      <c r="C409" s="83"/>
      <c r="D409" s="83"/>
      <c r="G409" s="83"/>
    </row>
    <row r="410" spans="1:7" ht="13.2">
      <c r="A410" s="83"/>
      <c r="B410" s="83"/>
      <c r="C410" s="83"/>
      <c r="D410" s="83"/>
      <c r="G410" s="83"/>
    </row>
    <row r="411" spans="1:7" ht="13.2">
      <c r="A411" s="83"/>
      <c r="B411" s="83"/>
      <c r="C411" s="83"/>
      <c r="D411" s="83"/>
      <c r="G411" s="83"/>
    </row>
    <row r="412" spans="1:7" ht="13.2">
      <c r="A412" s="83"/>
      <c r="B412" s="83"/>
      <c r="C412" s="83"/>
      <c r="D412" s="83"/>
      <c r="G412" s="83"/>
    </row>
    <row r="413" spans="1:7" ht="13.2">
      <c r="A413" s="83"/>
      <c r="B413" s="83"/>
      <c r="C413" s="83"/>
      <c r="D413" s="83"/>
      <c r="G413" s="83"/>
    </row>
    <row r="414" spans="1:7" ht="13.2">
      <c r="A414" s="83"/>
      <c r="B414" s="83"/>
      <c r="C414" s="83"/>
      <c r="D414" s="83"/>
      <c r="G414" s="83"/>
    </row>
    <row r="415" spans="1:7" ht="13.2">
      <c r="A415" s="83"/>
      <c r="B415" s="83"/>
      <c r="C415" s="83"/>
      <c r="D415" s="83"/>
      <c r="G415" s="83"/>
    </row>
    <row r="416" spans="1:7" ht="13.2">
      <c r="A416" s="83"/>
      <c r="B416" s="83"/>
      <c r="C416" s="83"/>
      <c r="D416" s="83"/>
      <c r="G416" s="83"/>
    </row>
    <row r="417" spans="1:7" ht="13.2">
      <c r="A417" s="83"/>
      <c r="B417" s="83"/>
      <c r="C417" s="83"/>
      <c r="D417" s="83"/>
      <c r="G417" s="83"/>
    </row>
    <row r="418" spans="1:7" ht="13.2">
      <c r="A418" s="83"/>
      <c r="B418" s="83"/>
      <c r="C418" s="83"/>
      <c r="D418" s="83"/>
      <c r="G418" s="83"/>
    </row>
    <row r="419" spans="1:7" ht="13.2">
      <c r="A419" s="83"/>
      <c r="B419" s="83"/>
      <c r="C419" s="83"/>
      <c r="D419" s="83"/>
      <c r="G419" s="83"/>
    </row>
    <row r="420" spans="1:7" ht="13.2">
      <c r="A420" s="83"/>
      <c r="B420" s="83"/>
      <c r="C420" s="83"/>
      <c r="D420" s="83"/>
      <c r="G420" s="83"/>
    </row>
    <row r="421" spans="1:7" ht="13.2">
      <c r="A421" s="83"/>
      <c r="B421" s="83"/>
      <c r="C421" s="83"/>
      <c r="D421" s="83"/>
      <c r="G421" s="83"/>
    </row>
    <row r="422" spans="1:7" ht="13.2">
      <c r="A422" s="83"/>
      <c r="B422" s="83"/>
      <c r="C422" s="83"/>
      <c r="D422" s="83"/>
      <c r="G422" s="83"/>
    </row>
    <row r="423" spans="1:7" ht="13.2">
      <c r="A423" s="83"/>
      <c r="B423" s="83"/>
      <c r="C423" s="83"/>
      <c r="D423" s="83"/>
      <c r="G423" s="83"/>
    </row>
    <row r="424" spans="1:7" ht="13.2">
      <c r="A424" s="83"/>
      <c r="B424" s="83"/>
      <c r="C424" s="83"/>
      <c r="D424" s="83"/>
      <c r="G424" s="83"/>
    </row>
    <row r="425" spans="1:7" ht="13.2">
      <c r="A425" s="83"/>
      <c r="B425" s="83"/>
      <c r="C425" s="83"/>
      <c r="D425" s="83"/>
      <c r="G425" s="83"/>
    </row>
    <row r="426" spans="1:7" ht="13.2">
      <c r="A426" s="83"/>
      <c r="B426" s="83"/>
      <c r="C426" s="83"/>
      <c r="D426" s="83"/>
      <c r="G426" s="83"/>
    </row>
    <row r="427" spans="1:7" ht="13.2">
      <c r="A427" s="83"/>
      <c r="B427" s="83"/>
      <c r="C427" s="83"/>
      <c r="D427" s="83"/>
      <c r="G427" s="83"/>
    </row>
    <row r="428" spans="1:7" ht="13.2">
      <c r="A428" s="83"/>
      <c r="B428" s="83"/>
      <c r="C428" s="83"/>
      <c r="D428" s="83"/>
      <c r="G428" s="83"/>
    </row>
    <row r="429" spans="1:7" ht="13.2">
      <c r="A429" s="83"/>
      <c r="B429" s="83"/>
      <c r="C429" s="83"/>
      <c r="D429" s="83"/>
      <c r="G429" s="83"/>
    </row>
    <row r="430" spans="1:7" ht="13.2">
      <c r="A430" s="83"/>
      <c r="B430" s="83"/>
      <c r="C430" s="83"/>
      <c r="D430" s="83"/>
      <c r="G430" s="83"/>
    </row>
    <row r="431" spans="1:7" ht="13.2">
      <c r="A431" s="83"/>
      <c r="B431" s="83"/>
      <c r="C431" s="83"/>
      <c r="D431" s="83"/>
      <c r="G431" s="83"/>
    </row>
    <row r="432" spans="1:7" ht="13.2">
      <c r="A432" s="83"/>
      <c r="B432" s="83"/>
      <c r="C432" s="83"/>
      <c r="D432" s="83"/>
      <c r="G432" s="83"/>
    </row>
    <row r="433" spans="1:7" ht="13.2">
      <c r="A433" s="83"/>
      <c r="B433" s="83"/>
      <c r="C433" s="83"/>
      <c r="D433" s="83"/>
      <c r="G433" s="83"/>
    </row>
    <row r="434" spans="1:7" ht="13.2">
      <c r="A434" s="83"/>
      <c r="B434" s="83"/>
      <c r="C434" s="83"/>
      <c r="D434" s="83"/>
      <c r="G434" s="83"/>
    </row>
    <row r="435" spans="1:7" ht="13.2">
      <c r="A435" s="83"/>
      <c r="B435" s="83"/>
      <c r="C435" s="83"/>
      <c r="D435" s="83"/>
      <c r="G435" s="83"/>
    </row>
    <row r="436" spans="1:7" ht="13.2">
      <c r="A436" s="83"/>
      <c r="B436" s="83"/>
      <c r="C436" s="83"/>
      <c r="D436" s="83"/>
      <c r="G436" s="83"/>
    </row>
    <row r="437" spans="1:7" ht="13.2">
      <c r="A437" s="83"/>
      <c r="B437" s="83"/>
      <c r="C437" s="83"/>
      <c r="D437" s="83"/>
      <c r="G437" s="83"/>
    </row>
    <row r="438" spans="1:7" ht="13.2">
      <c r="A438" s="83"/>
      <c r="B438" s="83"/>
      <c r="C438" s="83"/>
      <c r="D438" s="83"/>
      <c r="G438" s="83"/>
    </row>
    <row r="439" spans="1:7" ht="13.2">
      <c r="A439" s="83"/>
      <c r="B439" s="83"/>
      <c r="C439" s="83"/>
      <c r="D439" s="83"/>
      <c r="G439" s="83"/>
    </row>
    <row r="440" spans="1:7" ht="13.2">
      <c r="A440" s="83"/>
      <c r="B440" s="83"/>
      <c r="C440" s="83"/>
      <c r="D440" s="83"/>
      <c r="G440" s="83"/>
    </row>
    <row r="441" spans="1:7" ht="13.2">
      <c r="A441" s="83"/>
      <c r="B441" s="83"/>
      <c r="C441" s="83"/>
      <c r="D441" s="83"/>
      <c r="G441" s="83"/>
    </row>
    <row r="442" spans="1:7" ht="13.2">
      <c r="A442" s="83"/>
      <c r="B442" s="83"/>
      <c r="C442" s="83"/>
      <c r="D442" s="83"/>
      <c r="G442" s="83"/>
    </row>
    <row r="443" spans="1:7" ht="13.2">
      <c r="A443" s="83"/>
      <c r="B443" s="83"/>
      <c r="C443" s="83"/>
      <c r="D443" s="83"/>
      <c r="G443" s="83"/>
    </row>
    <row r="444" spans="1:7" ht="13.2">
      <c r="A444" s="83"/>
      <c r="B444" s="83"/>
      <c r="C444" s="83"/>
      <c r="D444" s="83"/>
      <c r="G444" s="83"/>
    </row>
    <row r="445" spans="1:7" ht="13.2">
      <c r="A445" s="83"/>
      <c r="B445" s="83"/>
      <c r="C445" s="83"/>
      <c r="D445" s="83"/>
      <c r="G445" s="83"/>
    </row>
    <row r="446" spans="1:7" ht="13.2">
      <c r="A446" s="83"/>
      <c r="B446" s="83"/>
      <c r="C446" s="83"/>
      <c r="D446" s="83"/>
      <c r="G446" s="83"/>
    </row>
    <row r="447" spans="1:7" ht="13.2">
      <c r="A447" s="83"/>
      <c r="B447" s="83"/>
      <c r="C447" s="83"/>
      <c r="D447" s="83"/>
      <c r="G447" s="83"/>
    </row>
    <row r="448" spans="1:7" ht="13.2">
      <c r="A448" s="83"/>
      <c r="B448" s="83"/>
      <c r="C448" s="83"/>
      <c r="D448" s="83"/>
      <c r="G448" s="83"/>
    </row>
    <row r="449" spans="1:7" ht="13.2">
      <c r="A449" s="83"/>
      <c r="B449" s="83"/>
      <c r="C449" s="83"/>
      <c r="D449" s="83"/>
      <c r="G449" s="83"/>
    </row>
    <row r="450" spans="1:7" ht="13.2">
      <c r="A450" s="83"/>
      <c r="B450" s="83"/>
      <c r="C450" s="83"/>
      <c r="D450" s="83"/>
      <c r="G450" s="83"/>
    </row>
    <row r="451" spans="1:7" ht="13.2">
      <c r="A451" s="83"/>
      <c r="B451" s="83"/>
      <c r="C451" s="83"/>
      <c r="D451" s="83"/>
      <c r="G451" s="83"/>
    </row>
    <row r="452" spans="1:7" ht="13.2">
      <c r="A452" s="83"/>
      <c r="B452" s="83"/>
      <c r="C452" s="83"/>
      <c r="D452" s="83"/>
      <c r="G452" s="83"/>
    </row>
    <row r="453" spans="1:7" ht="13.2">
      <c r="A453" s="83"/>
      <c r="B453" s="83"/>
      <c r="C453" s="83"/>
      <c r="D453" s="83"/>
      <c r="G453" s="83"/>
    </row>
    <row r="454" spans="1:7" ht="13.2">
      <c r="A454" s="83"/>
      <c r="B454" s="83"/>
      <c r="C454" s="83"/>
      <c r="D454" s="83"/>
      <c r="G454" s="83"/>
    </row>
    <row r="455" spans="1:7" ht="13.2">
      <c r="A455" s="83"/>
      <c r="B455" s="83"/>
      <c r="C455" s="83"/>
      <c r="D455" s="83"/>
      <c r="G455" s="83"/>
    </row>
    <row r="456" spans="1:7" ht="13.2">
      <c r="A456" s="83"/>
      <c r="B456" s="83"/>
      <c r="C456" s="83"/>
      <c r="D456" s="83"/>
      <c r="G456" s="83"/>
    </row>
    <row r="457" spans="1:7" ht="13.2">
      <c r="A457" s="83"/>
      <c r="B457" s="83"/>
      <c r="C457" s="83"/>
      <c r="D457" s="83"/>
      <c r="G457" s="83"/>
    </row>
    <row r="458" spans="1:7" ht="13.2">
      <c r="A458" s="83"/>
      <c r="B458" s="83"/>
      <c r="C458" s="83"/>
      <c r="D458" s="83"/>
      <c r="G458" s="83"/>
    </row>
    <row r="459" spans="1:7" ht="13.2">
      <c r="A459" s="83"/>
      <c r="B459" s="83"/>
      <c r="C459" s="83"/>
      <c r="D459" s="83"/>
      <c r="G459" s="83"/>
    </row>
    <row r="460" spans="1:7" ht="13.2">
      <c r="A460" s="83"/>
      <c r="B460" s="83"/>
      <c r="C460" s="83"/>
      <c r="D460" s="83"/>
      <c r="G460" s="83"/>
    </row>
    <row r="461" spans="1:7" ht="13.2">
      <c r="A461" s="83"/>
      <c r="B461" s="83"/>
      <c r="C461" s="83"/>
      <c r="D461" s="83"/>
      <c r="G461" s="83"/>
    </row>
    <row r="462" spans="1:7" ht="13.2">
      <c r="A462" s="83"/>
      <c r="B462" s="83"/>
      <c r="C462" s="83"/>
      <c r="D462" s="83"/>
      <c r="G462" s="83"/>
    </row>
    <row r="463" spans="1:7" ht="13.2">
      <c r="A463" s="83"/>
      <c r="B463" s="83"/>
      <c r="C463" s="83"/>
      <c r="D463" s="83"/>
      <c r="G463" s="83"/>
    </row>
    <row r="464" spans="1:7" ht="13.2">
      <c r="A464" s="83"/>
      <c r="B464" s="83"/>
      <c r="C464" s="83"/>
      <c r="D464" s="83"/>
      <c r="G464" s="83"/>
    </row>
    <row r="465" spans="1:7" ht="13.2">
      <c r="A465" s="83"/>
      <c r="B465" s="83"/>
      <c r="C465" s="83"/>
      <c r="D465" s="83"/>
      <c r="G465" s="83"/>
    </row>
    <row r="466" spans="1:7" ht="13.2">
      <c r="A466" s="83"/>
      <c r="B466" s="83"/>
      <c r="C466" s="83"/>
      <c r="D466" s="83"/>
      <c r="G466" s="83"/>
    </row>
    <row r="467" spans="1:7" ht="13.2">
      <c r="A467" s="83"/>
      <c r="B467" s="83"/>
      <c r="C467" s="83"/>
      <c r="D467" s="83"/>
      <c r="G467" s="83"/>
    </row>
    <row r="468" spans="1:7" ht="13.2">
      <c r="A468" s="83"/>
      <c r="B468" s="83"/>
      <c r="C468" s="83"/>
      <c r="D468" s="83"/>
      <c r="G468" s="83"/>
    </row>
    <row r="469" spans="1:7" ht="13.2">
      <c r="A469" s="83"/>
      <c r="B469" s="83"/>
      <c r="C469" s="83"/>
      <c r="D469" s="83"/>
      <c r="G469" s="83"/>
    </row>
    <row r="470" spans="1:7" ht="13.2">
      <c r="A470" s="83"/>
      <c r="B470" s="83"/>
      <c r="C470" s="83"/>
      <c r="D470" s="83"/>
      <c r="G470" s="83"/>
    </row>
    <row r="471" spans="1:7" ht="13.2">
      <c r="A471" s="83"/>
      <c r="B471" s="83"/>
      <c r="C471" s="83"/>
      <c r="D471" s="83"/>
      <c r="G471" s="83"/>
    </row>
    <row r="472" spans="1:7" ht="13.2">
      <c r="A472" s="83"/>
      <c r="B472" s="83"/>
      <c r="C472" s="83"/>
      <c r="D472" s="83"/>
      <c r="G472" s="83"/>
    </row>
    <row r="473" spans="1:7" ht="13.2">
      <c r="A473" s="83"/>
      <c r="B473" s="83"/>
      <c r="C473" s="83"/>
      <c r="D473" s="83"/>
      <c r="G473" s="83"/>
    </row>
    <row r="474" spans="1:7" ht="13.2">
      <c r="A474" s="83"/>
      <c r="B474" s="83"/>
      <c r="C474" s="83"/>
      <c r="D474" s="83"/>
      <c r="G474" s="83"/>
    </row>
    <row r="475" spans="1:7" ht="13.2">
      <c r="A475" s="83"/>
      <c r="B475" s="83"/>
      <c r="C475" s="83"/>
      <c r="D475" s="83"/>
      <c r="G475" s="83"/>
    </row>
    <row r="476" spans="1:7" ht="13.2">
      <c r="A476" s="83"/>
      <c r="B476" s="83"/>
      <c r="C476" s="83"/>
      <c r="D476" s="83"/>
      <c r="G476" s="83"/>
    </row>
    <row r="477" spans="1:7" ht="13.2">
      <c r="A477" s="83"/>
      <c r="B477" s="83"/>
      <c r="C477" s="83"/>
      <c r="D477" s="83"/>
      <c r="G477" s="83"/>
    </row>
    <row r="478" spans="1:7" ht="13.2">
      <c r="A478" s="83"/>
      <c r="B478" s="83"/>
      <c r="C478" s="83"/>
      <c r="D478" s="83"/>
      <c r="G478" s="83"/>
    </row>
    <row r="479" spans="1:7" ht="13.2">
      <c r="A479" s="83"/>
      <c r="B479" s="83"/>
      <c r="C479" s="83"/>
      <c r="D479" s="83"/>
      <c r="G479" s="83"/>
    </row>
    <row r="480" spans="1:7" ht="13.2">
      <c r="A480" s="83"/>
      <c r="B480" s="83"/>
      <c r="C480" s="83"/>
      <c r="D480" s="83"/>
      <c r="G480" s="83"/>
    </row>
    <row r="481" spans="1:7" ht="13.2">
      <c r="A481" s="83"/>
      <c r="B481" s="83"/>
      <c r="C481" s="83"/>
      <c r="D481" s="83"/>
      <c r="G481" s="83"/>
    </row>
    <row r="482" spans="1:7" ht="13.2">
      <c r="A482" s="83"/>
      <c r="B482" s="83"/>
      <c r="C482" s="83"/>
      <c r="D482" s="83"/>
      <c r="G482" s="83"/>
    </row>
    <row r="483" spans="1:7" ht="13.2">
      <c r="A483" s="83"/>
      <c r="B483" s="83"/>
      <c r="C483" s="83"/>
      <c r="D483" s="83"/>
      <c r="G483" s="83"/>
    </row>
    <row r="484" spans="1:7" ht="13.2">
      <c r="A484" s="83"/>
      <c r="B484" s="83"/>
      <c r="C484" s="83"/>
      <c r="D484" s="83"/>
      <c r="G484" s="83"/>
    </row>
    <row r="485" spans="1:7" ht="13.2">
      <c r="A485" s="83"/>
      <c r="B485" s="83"/>
      <c r="C485" s="83"/>
      <c r="D485" s="83"/>
      <c r="G485" s="83"/>
    </row>
    <row r="486" spans="1:7" ht="13.2">
      <c r="A486" s="83"/>
      <c r="B486" s="83"/>
      <c r="C486" s="83"/>
      <c r="D486" s="83"/>
      <c r="G486" s="83"/>
    </row>
    <row r="487" spans="1:7" ht="13.2">
      <c r="A487" s="83"/>
      <c r="B487" s="83"/>
      <c r="C487" s="83"/>
      <c r="D487" s="83"/>
      <c r="G487" s="83"/>
    </row>
    <row r="488" spans="1:7" ht="13.2">
      <c r="A488" s="83"/>
      <c r="B488" s="83"/>
      <c r="C488" s="83"/>
      <c r="D488" s="83"/>
      <c r="G488" s="83"/>
    </row>
    <row r="489" spans="1:7" ht="13.2">
      <c r="A489" s="83"/>
      <c r="B489" s="83"/>
      <c r="C489" s="83"/>
      <c r="D489" s="83"/>
      <c r="G489" s="83"/>
    </row>
    <row r="490" spans="1:7" ht="13.2">
      <c r="A490" s="83"/>
      <c r="B490" s="83"/>
      <c r="C490" s="83"/>
      <c r="D490" s="83"/>
      <c r="G490" s="83"/>
    </row>
    <row r="491" spans="1:7" ht="13.2">
      <c r="A491" s="83"/>
      <c r="B491" s="83"/>
      <c r="C491" s="83"/>
      <c r="D491" s="83"/>
      <c r="G491" s="83"/>
    </row>
    <row r="492" spans="1:7" ht="13.2">
      <c r="A492" s="83"/>
      <c r="B492" s="83"/>
      <c r="C492" s="83"/>
      <c r="D492" s="83"/>
      <c r="G492" s="83"/>
    </row>
    <row r="493" spans="1:7" ht="13.2">
      <c r="A493" s="83"/>
      <c r="B493" s="83"/>
      <c r="C493" s="83"/>
      <c r="D493" s="83"/>
      <c r="G493" s="83"/>
    </row>
    <row r="494" spans="1:7" ht="13.2">
      <c r="A494" s="83"/>
      <c r="B494" s="83"/>
      <c r="C494" s="83"/>
      <c r="D494" s="83"/>
      <c r="G494" s="83"/>
    </row>
    <row r="495" spans="1:7" ht="13.2">
      <c r="A495" s="83"/>
      <c r="B495" s="83"/>
      <c r="C495" s="83"/>
      <c r="D495" s="83"/>
      <c r="G495" s="83"/>
    </row>
    <row r="496" spans="1:7" ht="13.2">
      <c r="A496" s="83"/>
      <c r="B496" s="83"/>
      <c r="C496" s="83"/>
      <c r="D496" s="83"/>
      <c r="G496" s="83"/>
    </row>
    <row r="497" spans="1:7" ht="13.2">
      <c r="A497" s="83"/>
      <c r="B497" s="83"/>
      <c r="C497" s="83"/>
      <c r="D497" s="83"/>
      <c r="G497" s="83"/>
    </row>
    <row r="498" spans="1:7" ht="13.2">
      <c r="A498" s="83"/>
      <c r="B498" s="83"/>
      <c r="C498" s="83"/>
      <c r="D498" s="83"/>
      <c r="G498" s="83"/>
    </row>
    <row r="499" spans="1:7" ht="13.2">
      <c r="A499" s="83"/>
      <c r="B499" s="83"/>
      <c r="C499" s="83"/>
      <c r="D499" s="83"/>
      <c r="G499" s="83"/>
    </row>
    <row r="500" spans="1:7" ht="13.2">
      <c r="A500" s="83"/>
      <c r="B500" s="83"/>
      <c r="C500" s="83"/>
      <c r="D500" s="83"/>
      <c r="G500" s="83"/>
    </row>
    <row r="501" spans="1:7" ht="13.2">
      <c r="A501" s="83"/>
      <c r="B501" s="83"/>
      <c r="C501" s="83"/>
      <c r="D501" s="83"/>
      <c r="G501" s="83"/>
    </row>
    <row r="502" spans="1:7" ht="13.2">
      <c r="A502" s="83"/>
      <c r="B502" s="83"/>
      <c r="C502" s="83"/>
      <c r="D502" s="83"/>
      <c r="G502" s="83"/>
    </row>
    <row r="503" spans="1:7" ht="13.2">
      <c r="A503" s="83"/>
      <c r="B503" s="83"/>
      <c r="C503" s="83"/>
      <c r="D503" s="83"/>
      <c r="G503" s="83"/>
    </row>
    <row r="504" spans="1:7" ht="13.2">
      <c r="A504" s="83"/>
      <c r="B504" s="83"/>
      <c r="C504" s="83"/>
      <c r="D504" s="83"/>
      <c r="G504" s="83"/>
    </row>
    <row r="505" spans="1:7" ht="13.2">
      <c r="A505" s="83"/>
      <c r="B505" s="83"/>
      <c r="C505" s="83"/>
      <c r="D505" s="83"/>
      <c r="G505" s="83"/>
    </row>
    <row r="506" spans="1:7" ht="13.2">
      <c r="A506" s="83"/>
      <c r="B506" s="83"/>
      <c r="C506" s="83"/>
      <c r="D506" s="83"/>
      <c r="G506" s="83"/>
    </row>
    <row r="507" spans="1:7" ht="13.2">
      <c r="A507" s="83"/>
      <c r="B507" s="83"/>
      <c r="C507" s="83"/>
      <c r="D507" s="83"/>
      <c r="G507" s="83"/>
    </row>
    <row r="508" spans="1:7" ht="13.2">
      <c r="A508" s="83"/>
      <c r="B508" s="83"/>
      <c r="C508" s="83"/>
      <c r="D508" s="83"/>
      <c r="G508" s="83"/>
    </row>
    <row r="509" spans="1:7" ht="13.2">
      <c r="A509" s="83"/>
      <c r="B509" s="83"/>
      <c r="C509" s="83"/>
      <c r="D509" s="83"/>
      <c r="G509" s="83"/>
    </row>
    <row r="510" spans="1:7" ht="13.2">
      <c r="A510" s="83"/>
      <c r="B510" s="83"/>
      <c r="C510" s="83"/>
      <c r="D510" s="83"/>
      <c r="G510" s="83"/>
    </row>
    <row r="511" spans="1:7" ht="13.2">
      <c r="A511" s="83"/>
      <c r="B511" s="83"/>
      <c r="C511" s="83"/>
      <c r="D511" s="83"/>
      <c r="G511" s="83"/>
    </row>
    <row r="512" spans="1:7" ht="13.2">
      <c r="A512" s="83"/>
      <c r="B512" s="83"/>
      <c r="C512" s="83"/>
      <c r="D512" s="83"/>
      <c r="G512" s="83"/>
    </row>
    <row r="513" spans="1:7" ht="13.2">
      <c r="A513" s="83"/>
      <c r="B513" s="83"/>
      <c r="C513" s="83"/>
      <c r="D513" s="83"/>
      <c r="G513" s="83"/>
    </row>
    <row r="514" spans="1:7" ht="13.2">
      <c r="A514" s="83"/>
      <c r="B514" s="83"/>
      <c r="C514" s="83"/>
      <c r="D514" s="83"/>
      <c r="G514" s="83"/>
    </row>
    <row r="515" spans="1:7" ht="13.2">
      <c r="A515" s="83"/>
      <c r="B515" s="83"/>
      <c r="C515" s="83"/>
      <c r="D515" s="83"/>
      <c r="G515" s="83"/>
    </row>
    <row r="516" spans="1:7" ht="13.2">
      <c r="A516" s="83"/>
      <c r="B516" s="83"/>
      <c r="C516" s="83"/>
      <c r="D516" s="83"/>
      <c r="G516" s="83"/>
    </row>
    <row r="517" spans="1:7" ht="13.2">
      <c r="A517" s="83"/>
      <c r="B517" s="83"/>
      <c r="C517" s="83"/>
      <c r="D517" s="83"/>
      <c r="G517" s="83"/>
    </row>
    <row r="518" spans="1:7" ht="13.2">
      <c r="A518" s="83"/>
      <c r="B518" s="83"/>
      <c r="C518" s="83"/>
      <c r="D518" s="83"/>
      <c r="G518" s="83"/>
    </row>
    <row r="519" spans="1:7" ht="13.2">
      <c r="A519" s="83"/>
      <c r="B519" s="83"/>
      <c r="C519" s="83"/>
      <c r="D519" s="83"/>
      <c r="G519" s="83"/>
    </row>
    <row r="520" spans="1:7" ht="13.2">
      <c r="A520" s="83"/>
      <c r="B520" s="83"/>
      <c r="C520" s="83"/>
      <c r="D520" s="83"/>
      <c r="G520" s="83"/>
    </row>
    <row r="521" spans="1:7" ht="13.2">
      <c r="A521" s="83"/>
      <c r="B521" s="83"/>
      <c r="C521" s="83"/>
      <c r="D521" s="83"/>
      <c r="G521" s="83"/>
    </row>
    <row r="522" spans="1:7" ht="13.2">
      <c r="A522" s="83"/>
      <c r="B522" s="83"/>
      <c r="C522" s="83"/>
      <c r="D522" s="83"/>
      <c r="G522" s="83"/>
    </row>
    <row r="523" spans="1:7" ht="13.2">
      <c r="A523" s="83"/>
      <c r="B523" s="83"/>
      <c r="C523" s="83"/>
      <c r="D523" s="83"/>
      <c r="G523" s="83"/>
    </row>
    <row r="524" spans="1:7" ht="13.2">
      <c r="A524" s="83"/>
      <c r="B524" s="83"/>
      <c r="C524" s="83"/>
      <c r="D524" s="83"/>
      <c r="G524" s="83"/>
    </row>
    <row r="525" spans="1:7" ht="13.2">
      <c r="A525" s="83"/>
      <c r="B525" s="83"/>
      <c r="C525" s="83"/>
      <c r="D525" s="83"/>
      <c r="G525" s="83"/>
    </row>
    <row r="526" spans="1:7" ht="13.2">
      <c r="A526" s="83"/>
      <c r="B526" s="83"/>
      <c r="C526" s="83"/>
      <c r="D526" s="83"/>
      <c r="G526" s="83"/>
    </row>
    <row r="527" spans="1:7" ht="13.2">
      <c r="A527" s="83"/>
      <c r="B527" s="83"/>
      <c r="C527" s="83"/>
      <c r="D527" s="83"/>
      <c r="G527" s="83"/>
    </row>
    <row r="528" spans="1:7" ht="13.2">
      <c r="A528" s="83"/>
      <c r="B528" s="83"/>
      <c r="C528" s="83"/>
      <c r="D528" s="83"/>
      <c r="G528" s="83"/>
    </row>
    <row r="529" spans="1:7" ht="13.2">
      <c r="A529" s="83"/>
      <c r="B529" s="83"/>
      <c r="C529" s="83"/>
      <c r="D529" s="83"/>
      <c r="G529" s="83"/>
    </row>
    <row r="530" spans="1:7" ht="13.2">
      <c r="A530" s="83"/>
      <c r="B530" s="83"/>
      <c r="C530" s="83"/>
      <c r="D530" s="83"/>
      <c r="G530" s="83"/>
    </row>
    <row r="531" spans="1:7" ht="13.2">
      <c r="A531" s="83"/>
      <c r="B531" s="83"/>
      <c r="C531" s="83"/>
      <c r="D531" s="83"/>
      <c r="G531" s="83"/>
    </row>
    <row r="532" spans="1:7" ht="13.2">
      <c r="A532" s="83"/>
      <c r="B532" s="83"/>
      <c r="C532" s="83"/>
      <c r="D532" s="83"/>
      <c r="G532" s="83"/>
    </row>
    <row r="533" spans="1:7" ht="13.2">
      <c r="A533" s="83"/>
      <c r="B533" s="83"/>
      <c r="C533" s="83"/>
      <c r="D533" s="83"/>
      <c r="G533" s="83"/>
    </row>
    <row r="534" spans="1:7" ht="13.2">
      <c r="A534" s="83"/>
      <c r="B534" s="83"/>
      <c r="C534" s="83"/>
      <c r="D534" s="83"/>
      <c r="G534" s="83"/>
    </row>
    <row r="535" spans="1:7" ht="13.2">
      <c r="A535" s="83"/>
      <c r="B535" s="83"/>
      <c r="C535" s="83"/>
      <c r="D535" s="83"/>
      <c r="G535" s="83"/>
    </row>
    <row r="536" spans="1:7" ht="13.2">
      <c r="A536" s="83"/>
      <c r="B536" s="83"/>
      <c r="C536" s="83"/>
      <c r="D536" s="83"/>
      <c r="G536" s="83"/>
    </row>
    <row r="537" spans="1:7" ht="13.2">
      <c r="A537" s="83"/>
      <c r="B537" s="83"/>
      <c r="C537" s="83"/>
      <c r="D537" s="83"/>
      <c r="G537" s="83"/>
    </row>
    <row r="538" spans="1:7" ht="13.2">
      <c r="A538" s="83"/>
      <c r="B538" s="83"/>
      <c r="C538" s="83"/>
      <c r="D538" s="83"/>
      <c r="G538" s="83"/>
    </row>
    <row r="539" spans="1:7" ht="13.2">
      <c r="A539" s="83"/>
      <c r="B539" s="83"/>
      <c r="C539" s="83"/>
      <c r="D539" s="83"/>
      <c r="G539" s="83"/>
    </row>
    <row r="540" spans="1:7" ht="13.2">
      <c r="A540" s="83"/>
      <c r="B540" s="83"/>
      <c r="C540" s="83"/>
      <c r="D540" s="83"/>
      <c r="G540" s="83"/>
    </row>
    <row r="541" spans="1:7" ht="13.2">
      <c r="A541" s="83"/>
      <c r="B541" s="83"/>
      <c r="C541" s="83"/>
      <c r="D541" s="83"/>
      <c r="G541" s="83"/>
    </row>
    <row r="542" spans="1:7" ht="13.2">
      <c r="A542" s="83"/>
      <c r="B542" s="83"/>
      <c r="C542" s="83"/>
      <c r="D542" s="83"/>
      <c r="G542" s="83"/>
    </row>
    <row r="543" spans="1:7" ht="13.2">
      <c r="A543" s="83"/>
      <c r="B543" s="83"/>
      <c r="C543" s="83"/>
      <c r="D543" s="83"/>
      <c r="G543" s="83"/>
    </row>
    <row r="544" spans="1:7" ht="13.2">
      <c r="A544" s="83"/>
      <c r="B544" s="83"/>
      <c r="C544" s="83"/>
      <c r="D544" s="83"/>
      <c r="G544" s="83"/>
    </row>
    <row r="545" spans="1:7" ht="13.2">
      <c r="A545" s="83"/>
      <c r="B545" s="83"/>
      <c r="C545" s="83"/>
      <c r="D545" s="83"/>
      <c r="G545" s="83"/>
    </row>
    <row r="546" spans="1:7" ht="13.2">
      <c r="A546" s="83"/>
      <c r="B546" s="83"/>
      <c r="C546" s="83"/>
      <c r="D546" s="83"/>
      <c r="G546" s="83"/>
    </row>
    <row r="547" spans="1:7" ht="13.2">
      <c r="A547" s="83"/>
      <c r="B547" s="83"/>
      <c r="C547" s="83"/>
      <c r="D547" s="83"/>
      <c r="G547" s="83"/>
    </row>
    <row r="548" spans="1:7" ht="13.2">
      <c r="A548" s="83"/>
      <c r="B548" s="83"/>
      <c r="C548" s="83"/>
      <c r="D548" s="83"/>
      <c r="G548" s="83"/>
    </row>
    <row r="549" spans="1:7" ht="13.2">
      <c r="A549" s="83"/>
      <c r="B549" s="83"/>
      <c r="C549" s="83"/>
      <c r="D549" s="83"/>
      <c r="G549" s="83"/>
    </row>
    <row r="550" spans="1:7" ht="13.2">
      <c r="A550" s="83"/>
      <c r="B550" s="83"/>
      <c r="C550" s="83"/>
      <c r="D550" s="83"/>
      <c r="G550" s="83"/>
    </row>
    <row r="551" spans="1:7" ht="13.2">
      <c r="A551" s="83"/>
      <c r="B551" s="83"/>
      <c r="C551" s="83"/>
      <c r="D551" s="83"/>
      <c r="G551" s="83"/>
    </row>
    <row r="552" spans="1:7" ht="13.2">
      <c r="A552" s="83"/>
      <c r="B552" s="83"/>
      <c r="C552" s="83"/>
      <c r="D552" s="83"/>
      <c r="G552" s="83"/>
    </row>
    <row r="553" spans="1:7" ht="13.2">
      <c r="A553" s="83"/>
      <c r="B553" s="83"/>
      <c r="C553" s="83"/>
      <c r="D553" s="83"/>
      <c r="G553" s="83"/>
    </row>
    <row r="554" spans="1:7" ht="13.2">
      <c r="A554" s="83"/>
      <c r="B554" s="83"/>
      <c r="C554" s="83"/>
      <c r="D554" s="83"/>
      <c r="G554" s="83"/>
    </row>
    <row r="555" spans="1:7" ht="13.2">
      <c r="A555" s="83"/>
      <c r="B555" s="83"/>
      <c r="C555" s="83"/>
      <c r="D555" s="83"/>
      <c r="G555" s="83"/>
    </row>
    <row r="556" spans="1:7" ht="13.2">
      <c r="A556" s="83"/>
      <c r="B556" s="83"/>
      <c r="C556" s="83"/>
      <c r="D556" s="83"/>
      <c r="G556" s="83"/>
    </row>
    <row r="557" spans="1:7" ht="13.2">
      <c r="A557" s="83"/>
      <c r="B557" s="83"/>
      <c r="C557" s="83"/>
      <c r="D557" s="83"/>
      <c r="G557" s="83"/>
    </row>
    <row r="558" spans="1:7" ht="13.2">
      <c r="A558" s="83"/>
      <c r="B558" s="83"/>
      <c r="C558" s="83"/>
      <c r="D558" s="83"/>
      <c r="G558" s="83"/>
    </row>
    <row r="559" spans="1:7" ht="13.2">
      <c r="A559" s="83"/>
      <c r="B559" s="83"/>
      <c r="C559" s="83"/>
      <c r="D559" s="83"/>
      <c r="G559" s="83"/>
    </row>
    <row r="560" spans="1:7" ht="13.2">
      <c r="A560" s="83"/>
      <c r="B560" s="83"/>
      <c r="C560" s="83"/>
      <c r="D560" s="83"/>
      <c r="G560" s="83"/>
    </row>
    <row r="561" spans="1:7" ht="13.2">
      <c r="A561" s="83"/>
      <c r="B561" s="83"/>
      <c r="C561" s="83"/>
      <c r="D561" s="83"/>
      <c r="G561" s="83"/>
    </row>
    <row r="562" spans="1:7" ht="13.2">
      <c r="A562" s="83"/>
      <c r="B562" s="83"/>
      <c r="C562" s="83"/>
      <c r="D562" s="83"/>
      <c r="G562" s="83"/>
    </row>
    <row r="563" spans="1:7" ht="13.2">
      <c r="A563" s="83"/>
      <c r="B563" s="83"/>
      <c r="C563" s="83"/>
      <c r="D563" s="83"/>
      <c r="G563" s="83"/>
    </row>
    <row r="564" spans="1:7" ht="13.2">
      <c r="A564" s="83"/>
      <c r="B564" s="83"/>
      <c r="C564" s="83"/>
      <c r="D564" s="83"/>
      <c r="G564" s="83"/>
    </row>
    <row r="565" spans="1:7" ht="13.2">
      <c r="A565" s="83"/>
      <c r="B565" s="83"/>
      <c r="C565" s="83"/>
      <c r="D565" s="83"/>
      <c r="G565" s="83"/>
    </row>
    <row r="566" spans="1:7" ht="13.2">
      <c r="A566" s="83"/>
      <c r="B566" s="83"/>
      <c r="C566" s="83"/>
      <c r="D566" s="83"/>
      <c r="G566" s="83"/>
    </row>
    <row r="567" spans="1:7" ht="13.2">
      <c r="A567" s="83"/>
      <c r="B567" s="83"/>
      <c r="C567" s="83"/>
      <c r="D567" s="83"/>
      <c r="G567" s="83"/>
    </row>
    <row r="568" spans="1:7" ht="13.2">
      <c r="A568" s="83"/>
      <c r="B568" s="83"/>
      <c r="C568" s="83"/>
      <c r="D568" s="83"/>
      <c r="G568" s="83"/>
    </row>
    <row r="569" spans="1:7" ht="13.2">
      <c r="A569" s="83"/>
      <c r="B569" s="83"/>
      <c r="C569" s="83"/>
      <c r="D569" s="83"/>
      <c r="G569" s="83"/>
    </row>
    <row r="570" spans="1:7" ht="13.2">
      <c r="A570" s="83"/>
      <c r="B570" s="83"/>
      <c r="C570" s="83"/>
      <c r="D570" s="83"/>
      <c r="G570" s="83"/>
    </row>
    <row r="571" spans="1:7" ht="13.2">
      <c r="A571" s="83"/>
      <c r="B571" s="83"/>
      <c r="C571" s="83"/>
      <c r="D571" s="83"/>
      <c r="G571" s="83"/>
    </row>
    <row r="572" spans="1:7" ht="13.2">
      <c r="A572" s="83"/>
      <c r="B572" s="83"/>
      <c r="C572" s="83"/>
      <c r="D572" s="83"/>
      <c r="G572" s="83"/>
    </row>
    <row r="573" spans="1:7" ht="13.2">
      <c r="A573" s="83"/>
      <c r="B573" s="83"/>
      <c r="C573" s="83"/>
      <c r="D573" s="83"/>
      <c r="G573" s="83"/>
    </row>
    <row r="574" spans="1:7" ht="13.2">
      <c r="A574" s="83"/>
      <c r="B574" s="83"/>
      <c r="C574" s="83"/>
      <c r="D574" s="83"/>
      <c r="G574" s="83"/>
    </row>
    <row r="575" spans="1:7" ht="13.2">
      <c r="A575" s="83"/>
      <c r="B575" s="83"/>
      <c r="C575" s="83"/>
      <c r="D575" s="83"/>
      <c r="G575" s="83"/>
    </row>
    <row r="576" spans="1:7" ht="13.2">
      <c r="A576" s="83"/>
      <c r="B576" s="83"/>
      <c r="C576" s="83"/>
      <c r="D576" s="83"/>
      <c r="G576" s="83"/>
    </row>
    <row r="577" spans="1:7" ht="13.2">
      <c r="A577" s="83"/>
      <c r="B577" s="83"/>
      <c r="C577" s="83"/>
      <c r="D577" s="83"/>
      <c r="G577" s="83"/>
    </row>
    <row r="578" spans="1:7" ht="13.2">
      <c r="A578" s="83"/>
      <c r="B578" s="83"/>
      <c r="C578" s="83"/>
      <c r="D578" s="83"/>
      <c r="G578" s="83"/>
    </row>
    <row r="579" spans="1:7" ht="13.2">
      <c r="A579" s="83"/>
      <c r="B579" s="83"/>
      <c r="C579" s="83"/>
      <c r="D579" s="83"/>
      <c r="G579" s="83"/>
    </row>
    <row r="580" spans="1:7" ht="13.2">
      <c r="A580" s="83"/>
      <c r="B580" s="83"/>
      <c r="C580" s="83"/>
      <c r="D580" s="83"/>
      <c r="G580" s="83"/>
    </row>
    <row r="581" spans="1:7" ht="13.2">
      <c r="A581" s="83"/>
      <c r="B581" s="83"/>
      <c r="C581" s="83"/>
      <c r="D581" s="83"/>
      <c r="G581" s="83"/>
    </row>
    <row r="582" spans="1:7" ht="13.2">
      <c r="A582" s="83"/>
      <c r="B582" s="83"/>
      <c r="C582" s="83"/>
      <c r="D582" s="83"/>
      <c r="G582" s="83"/>
    </row>
    <row r="583" spans="1:7" ht="13.2">
      <c r="A583" s="83"/>
      <c r="B583" s="83"/>
      <c r="C583" s="83"/>
      <c r="D583" s="83"/>
      <c r="G583" s="83"/>
    </row>
    <row r="584" spans="1:7" ht="13.2">
      <c r="A584" s="83"/>
      <c r="B584" s="83"/>
      <c r="C584" s="83"/>
      <c r="D584" s="83"/>
      <c r="G584" s="83"/>
    </row>
    <row r="585" spans="1:7" ht="13.2">
      <c r="A585" s="83"/>
      <c r="B585" s="83"/>
      <c r="C585" s="83"/>
      <c r="D585" s="83"/>
      <c r="G585" s="83"/>
    </row>
    <row r="586" spans="1:7" ht="13.2">
      <c r="A586" s="83"/>
      <c r="B586" s="83"/>
      <c r="C586" s="83"/>
      <c r="D586" s="83"/>
      <c r="G586" s="83"/>
    </row>
    <row r="587" spans="1:7" ht="13.2">
      <c r="A587" s="83"/>
      <c r="B587" s="83"/>
      <c r="C587" s="83"/>
      <c r="D587" s="83"/>
      <c r="G587" s="83"/>
    </row>
    <row r="588" spans="1:7" ht="13.2">
      <c r="A588" s="83"/>
      <c r="B588" s="83"/>
      <c r="C588" s="83"/>
      <c r="D588" s="83"/>
      <c r="G588" s="83"/>
    </row>
    <row r="589" spans="1:7" ht="13.2">
      <c r="A589" s="83"/>
      <c r="B589" s="83"/>
      <c r="C589" s="83"/>
      <c r="D589" s="83"/>
      <c r="G589" s="83"/>
    </row>
    <row r="590" spans="1:7" ht="13.2">
      <c r="A590" s="83"/>
      <c r="B590" s="83"/>
      <c r="C590" s="83"/>
      <c r="D590" s="83"/>
      <c r="G590" s="83"/>
    </row>
    <row r="591" spans="1:7" ht="13.2">
      <c r="A591" s="83"/>
      <c r="B591" s="83"/>
      <c r="C591" s="83"/>
      <c r="D591" s="83"/>
      <c r="G591" s="83"/>
    </row>
    <row r="592" spans="1:7" ht="13.2">
      <c r="A592" s="83"/>
      <c r="B592" s="83"/>
      <c r="C592" s="83"/>
      <c r="D592" s="83"/>
      <c r="G592" s="83"/>
    </row>
    <row r="593" spans="1:7" ht="13.2">
      <c r="A593" s="83"/>
      <c r="B593" s="83"/>
      <c r="C593" s="83"/>
      <c r="D593" s="83"/>
      <c r="G593" s="83"/>
    </row>
    <row r="594" spans="1:7" ht="13.2">
      <c r="A594" s="83"/>
      <c r="B594" s="83"/>
      <c r="C594" s="83"/>
      <c r="D594" s="83"/>
      <c r="G594" s="83"/>
    </row>
    <row r="595" spans="1:7" ht="13.2">
      <c r="A595" s="83"/>
      <c r="B595" s="83"/>
      <c r="C595" s="83"/>
      <c r="D595" s="83"/>
      <c r="G595" s="83"/>
    </row>
    <row r="596" spans="1:7" ht="13.2">
      <c r="A596" s="83"/>
      <c r="B596" s="83"/>
      <c r="C596" s="83"/>
      <c r="D596" s="83"/>
      <c r="G596" s="83"/>
    </row>
    <row r="597" spans="1:7" ht="13.2">
      <c r="A597" s="83"/>
      <c r="B597" s="83"/>
      <c r="C597" s="83"/>
      <c r="D597" s="83"/>
      <c r="G597" s="83"/>
    </row>
    <row r="598" spans="1:7" ht="13.2">
      <c r="A598" s="83"/>
      <c r="B598" s="83"/>
      <c r="C598" s="83"/>
      <c r="D598" s="83"/>
      <c r="G598" s="83"/>
    </row>
    <row r="599" spans="1:7" ht="13.2">
      <c r="A599" s="83"/>
      <c r="B599" s="83"/>
      <c r="C599" s="83"/>
      <c r="D599" s="83"/>
      <c r="G599" s="83"/>
    </row>
    <row r="600" spans="1:7" ht="13.2">
      <c r="A600" s="83"/>
      <c r="B600" s="83"/>
      <c r="C600" s="83"/>
      <c r="D600" s="83"/>
      <c r="G600" s="83"/>
    </row>
    <row r="601" spans="1:7" ht="13.2">
      <c r="A601" s="83"/>
      <c r="B601" s="83"/>
      <c r="C601" s="83"/>
      <c r="D601" s="83"/>
      <c r="G601" s="83"/>
    </row>
    <row r="602" spans="1:7" ht="13.2">
      <c r="A602" s="83"/>
      <c r="B602" s="83"/>
      <c r="C602" s="83"/>
      <c r="D602" s="83"/>
      <c r="G602" s="83"/>
    </row>
    <row r="603" spans="1:7" ht="13.2">
      <c r="A603" s="83"/>
      <c r="B603" s="83"/>
      <c r="C603" s="83"/>
      <c r="D603" s="83"/>
      <c r="G603" s="83"/>
    </row>
    <row r="604" spans="1:7" ht="13.2">
      <c r="A604" s="83"/>
      <c r="B604" s="83"/>
      <c r="C604" s="83"/>
      <c r="D604" s="83"/>
      <c r="G604" s="83"/>
    </row>
    <row r="605" spans="1:7" ht="13.2">
      <c r="A605" s="83"/>
      <c r="B605" s="83"/>
      <c r="C605" s="83"/>
      <c r="D605" s="83"/>
      <c r="G605" s="83"/>
    </row>
    <row r="606" spans="1:7" ht="13.2">
      <c r="A606" s="83"/>
      <c r="B606" s="83"/>
      <c r="C606" s="83"/>
      <c r="D606" s="83"/>
      <c r="G606" s="83"/>
    </row>
    <row r="607" spans="1:7" ht="13.2">
      <c r="A607" s="83"/>
      <c r="B607" s="83"/>
      <c r="C607" s="83"/>
      <c r="D607" s="83"/>
      <c r="G607" s="83"/>
    </row>
    <row r="608" spans="1:7" ht="13.2">
      <c r="A608" s="83"/>
      <c r="B608" s="83"/>
      <c r="C608" s="83"/>
      <c r="D608" s="83"/>
      <c r="G608" s="83"/>
    </row>
    <row r="609" spans="1:7" ht="13.2">
      <c r="A609" s="83"/>
      <c r="B609" s="83"/>
      <c r="C609" s="83"/>
      <c r="D609" s="83"/>
      <c r="G609" s="83"/>
    </row>
    <row r="610" spans="1:7" ht="13.2">
      <c r="A610" s="83"/>
      <c r="B610" s="83"/>
      <c r="C610" s="83"/>
      <c r="D610" s="83"/>
      <c r="G610" s="83"/>
    </row>
    <row r="611" spans="1:7" ht="13.2">
      <c r="A611" s="83"/>
      <c r="B611" s="83"/>
      <c r="C611" s="83"/>
      <c r="D611" s="83"/>
      <c r="G611" s="83"/>
    </row>
    <row r="612" spans="1:7" ht="13.2">
      <c r="A612" s="83"/>
      <c r="B612" s="83"/>
      <c r="C612" s="83"/>
      <c r="D612" s="83"/>
      <c r="G612" s="83"/>
    </row>
    <row r="613" spans="1:7" ht="13.2">
      <c r="A613" s="83"/>
      <c r="B613" s="83"/>
      <c r="C613" s="83"/>
      <c r="D613" s="83"/>
      <c r="G613" s="83"/>
    </row>
    <row r="614" spans="1:7" ht="13.2">
      <c r="A614" s="83"/>
      <c r="B614" s="83"/>
      <c r="C614" s="83"/>
      <c r="D614" s="83"/>
      <c r="G614" s="83"/>
    </row>
    <row r="615" spans="1:7" ht="13.2">
      <c r="A615" s="83"/>
      <c r="B615" s="83"/>
      <c r="C615" s="83"/>
      <c r="D615" s="83"/>
      <c r="G615" s="83"/>
    </row>
    <row r="616" spans="1:7" ht="13.2">
      <c r="A616" s="83"/>
      <c r="B616" s="83"/>
      <c r="C616" s="83"/>
      <c r="D616" s="83"/>
      <c r="G616" s="83"/>
    </row>
    <row r="617" spans="1:7" ht="13.2">
      <c r="A617" s="83"/>
      <c r="B617" s="83"/>
      <c r="C617" s="83"/>
      <c r="D617" s="83"/>
      <c r="G617" s="83"/>
    </row>
    <row r="618" spans="1:7" ht="13.2">
      <c r="A618" s="83"/>
      <c r="B618" s="83"/>
      <c r="C618" s="83"/>
      <c r="D618" s="83"/>
      <c r="G618" s="83"/>
    </row>
    <row r="619" spans="1:7" ht="13.2">
      <c r="A619" s="83"/>
      <c r="B619" s="83"/>
      <c r="C619" s="83"/>
      <c r="D619" s="83"/>
      <c r="G619" s="83"/>
    </row>
    <row r="620" spans="1:7" ht="13.2">
      <c r="A620" s="83"/>
      <c r="B620" s="83"/>
      <c r="C620" s="83"/>
      <c r="D620" s="83"/>
      <c r="G620" s="83"/>
    </row>
    <row r="621" spans="1:7" ht="13.2">
      <c r="A621" s="83"/>
      <c r="B621" s="83"/>
      <c r="C621" s="83"/>
      <c r="D621" s="83"/>
      <c r="G621" s="83"/>
    </row>
    <row r="622" spans="1:7" ht="13.2">
      <c r="A622" s="83"/>
      <c r="B622" s="83"/>
      <c r="C622" s="83"/>
      <c r="D622" s="83"/>
      <c r="G622" s="83"/>
    </row>
    <row r="623" spans="1:7" ht="13.2">
      <c r="A623" s="83"/>
      <c r="B623" s="83"/>
      <c r="C623" s="83"/>
      <c r="D623" s="83"/>
      <c r="G623" s="83"/>
    </row>
    <row r="624" spans="1:7" ht="13.2">
      <c r="A624" s="83"/>
      <c r="B624" s="83"/>
      <c r="C624" s="83"/>
      <c r="D624" s="83"/>
      <c r="G624" s="83"/>
    </row>
    <row r="625" spans="1:7" ht="13.2">
      <c r="A625" s="83"/>
      <c r="B625" s="83"/>
      <c r="C625" s="83"/>
      <c r="D625" s="83"/>
      <c r="G625" s="83"/>
    </row>
    <row r="626" spans="1:7" ht="13.2">
      <c r="A626" s="83"/>
      <c r="B626" s="83"/>
      <c r="C626" s="83"/>
      <c r="D626" s="83"/>
      <c r="G626" s="83"/>
    </row>
    <row r="627" spans="1:7" ht="13.2">
      <c r="A627" s="83"/>
      <c r="B627" s="83"/>
      <c r="C627" s="83"/>
      <c r="D627" s="83"/>
      <c r="G627" s="83"/>
    </row>
    <row r="628" spans="1:7" ht="13.2">
      <c r="A628" s="83"/>
      <c r="B628" s="83"/>
      <c r="C628" s="83"/>
      <c r="D628" s="83"/>
      <c r="G628" s="83"/>
    </row>
    <row r="629" spans="1:7" ht="13.2">
      <c r="A629" s="83"/>
      <c r="B629" s="83"/>
      <c r="C629" s="83"/>
      <c r="D629" s="83"/>
      <c r="G629" s="83"/>
    </row>
    <row r="630" spans="1:7" ht="13.2">
      <c r="A630" s="83"/>
      <c r="B630" s="83"/>
      <c r="C630" s="83"/>
      <c r="D630" s="83"/>
      <c r="G630" s="83"/>
    </row>
    <row r="631" spans="1:7" ht="13.2">
      <c r="A631" s="83"/>
      <c r="B631" s="83"/>
      <c r="C631" s="83"/>
      <c r="D631" s="83"/>
      <c r="G631" s="83"/>
    </row>
    <row r="632" spans="1:7" ht="13.2">
      <c r="A632" s="83"/>
      <c r="B632" s="83"/>
      <c r="C632" s="83"/>
      <c r="D632" s="83"/>
      <c r="G632" s="83"/>
    </row>
    <row r="633" spans="1:7" ht="13.2">
      <c r="A633" s="83"/>
      <c r="B633" s="83"/>
      <c r="C633" s="83"/>
      <c r="D633" s="83"/>
      <c r="G633" s="83"/>
    </row>
    <row r="634" spans="1:7" ht="13.2">
      <c r="A634" s="83"/>
      <c r="B634" s="83"/>
      <c r="C634" s="83"/>
      <c r="D634" s="83"/>
      <c r="G634" s="83"/>
    </row>
    <row r="635" spans="1:7" ht="13.2">
      <c r="A635" s="83"/>
      <c r="B635" s="83"/>
      <c r="C635" s="83"/>
      <c r="D635" s="83"/>
      <c r="G635" s="83"/>
    </row>
    <row r="636" spans="1:7" ht="13.2">
      <c r="A636" s="83"/>
      <c r="B636" s="83"/>
      <c r="C636" s="83"/>
      <c r="D636" s="83"/>
      <c r="G636" s="83"/>
    </row>
    <row r="637" spans="1:7" ht="13.2">
      <c r="A637" s="83"/>
      <c r="B637" s="83"/>
      <c r="C637" s="83"/>
      <c r="D637" s="83"/>
      <c r="G637" s="83"/>
    </row>
    <row r="638" spans="1:7" ht="13.2">
      <c r="A638" s="83"/>
      <c r="B638" s="83"/>
      <c r="C638" s="83"/>
      <c r="D638" s="83"/>
      <c r="G638" s="83"/>
    </row>
    <row r="639" spans="1:7" ht="13.2">
      <c r="A639" s="83"/>
      <c r="B639" s="83"/>
      <c r="C639" s="83"/>
      <c r="D639" s="83"/>
      <c r="G639" s="83"/>
    </row>
    <row r="640" spans="1:7" ht="13.2">
      <c r="A640" s="83"/>
      <c r="B640" s="83"/>
      <c r="C640" s="83"/>
      <c r="D640" s="83"/>
      <c r="G640" s="83"/>
    </row>
    <row r="641" spans="1:7" ht="13.2">
      <c r="A641" s="83"/>
      <c r="B641" s="83"/>
      <c r="C641" s="83"/>
      <c r="D641" s="83"/>
      <c r="G641" s="83"/>
    </row>
    <row r="642" spans="1:7" ht="13.2">
      <c r="A642" s="83"/>
      <c r="B642" s="83"/>
      <c r="C642" s="83"/>
      <c r="D642" s="83"/>
      <c r="G642" s="83"/>
    </row>
    <row r="643" spans="1:7" ht="13.2">
      <c r="A643" s="83"/>
      <c r="B643" s="83"/>
      <c r="C643" s="83"/>
      <c r="D643" s="83"/>
      <c r="G643" s="83"/>
    </row>
    <row r="644" spans="1:7" ht="13.2">
      <c r="A644" s="83"/>
      <c r="B644" s="83"/>
      <c r="C644" s="83"/>
      <c r="D644" s="83"/>
      <c r="G644" s="83"/>
    </row>
    <row r="645" spans="1:7" ht="13.2">
      <c r="A645" s="83"/>
      <c r="B645" s="83"/>
      <c r="C645" s="83"/>
      <c r="D645" s="83"/>
      <c r="G645" s="83"/>
    </row>
    <row r="646" spans="1:7" ht="13.2">
      <c r="A646" s="83"/>
      <c r="B646" s="83"/>
      <c r="C646" s="83"/>
      <c r="D646" s="83"/>
      <c r="G646" s="83"/>
    </row>
    <row r="647" spans="1:7" ht="13.2">
      <c r="A647" s="83"/>
      <c r="B647" s="83"/>
      <c r="C647" s="83"/>
      <c r="D647" s="83"/>
      <c r="G647" s="83"/>
    </row>
    <row r="648" spans="1:7" ht="13.2">
      <c r="A648" s="83"/>
      <c r="B648" s="83"/>
      <c r="C648" s="83"/>
      <c r="D648" s="83"/>
      <c r="G648" s="83"/>
    </row>
    <row r="649" spans="1:7" ht="13.2">
      <c r="A649" s="83"/>
      <c r="B649" s="83"/>
      <c r="C649" s="83"/>
      <c r="D649" s="83"/>
      <c r="G649" s="83"/>
    </row>
    <row r="650" spans="1:7" ht="13.2">
      <c r="A650" s="83"/>
      <c r="B650" s="83"/>
      <c r="C650" s="83"/>
      <c r="D650" s="83"/>
      <c r="G650" s="83"/>
    </row>
    <row r="651" spans="1:7" ht="13.2">
      <c r="A651" s="83"/>
      <c r="B651" s="83"/>
      <c r="C651" s="83"/>
      <c r="D651" s="83"/>
      <c r="G651" s="83"/>
    </row>
    <row r="652" spans="1:7" ht="13.2">
      <c r="A652" s="83"/>
      <c r="B652" s="83"/>
      <c r="C652" s="83"/>
      <c r="D652" s="83"/>
      <c r="G652" s="83"/>
    </row>
    <row r="653" spans="1:7" ht="13.2">
      <c r="A653" s="83"/>
      <c r="B653" s="83"/>
      <c r="C653" s="83"/>
      <c r="D653" s="83"/>
      <c r="G653" s="83"/>
    </row>
    <row r="654" spans="1:7" ht="13.2">
      <c r="A654" s="83"/>
      <c r="B654" s="83"/>
      <c r="C654" s="83"/>
      <c r="D654" s="83"/>
      <c r="G654" s="83"/>
    </row>
    <row r="655" spans="1:7" ht="13.2">
      <c r="A655" s="83"/>
      <c r="B655" s="83"/>
      <c r="C655" s="83"/>
      <c r="D655" s="83"/>
      <c r="G655" s="83"/>
    </row>
    <row r="656" spans="1:7" ht="13.2">
      <c r="A656" s="83"/>
      <c r="B656" s="83"/>
      <c r="C656" s="83"/>
      <c r="D656" s="83"/>
      <c r="G656" s="83"/>
    </row>
    <row r="657" spans="1:7" ht="13.2">
      <c r="A657" s="83"/>
      <c r="B657" s="83"/>
      <c r="C657" s="83"/>
      <c r="D657" s="83"/>
      <c r="G657" s="83"/>
    </row>
    <row r="658" spans="1:7" ht="13.2">
      <c r="A658" s="83"/>
      <c r="B658" s="83"/>
      <c r="C658" s="83"/>
      <c r="D658" s="83"/>
      <c r="G658" s="83"/>
    </row>
    <row r="659" spans="1:7" ht="13.2">
      <c r="A659" s="83"/>
      <c r="B659" s="83"/>
      <c r="C659" s="83"/>
      <c r="D659" s="83"/>
      <c r="G659" s="83"/>
    </row>
    <row r="660" spans="1:7" ht="13.2">
      <c r="A660" s="83"/>
      <c r="B660" s="83"/>
      <c r="C660" s="83"/>
      <c r="D660" s="83"/>
      <c r="G660" s="83"/>
    </row>
    <row r="661" spans="1:7" ht="13.2">
      <c r="A661" s="83"/>
      <c r="B661" s="83"/>
      <c r="C661" s="83"/>
      <c r="D661" s="83"/>
      <c r="G661" s="83"/>
    </row>
    <row r="662" spans="1:7" ht="13.2">
      <c r="A662" s="83"/>
      <c r="B662" s="83"/>
      <c r="C662" s="83"/>
      <c r="D662" s="83"/>
      <c r="G662" s="83"/>
    </row>
    <row r="663" spans="1:7" ht="13.2">
      <c r="A663" s="83"/>
      <c r="B663" s="83"/>
      <c r="C663" s="83"/>
      <c r="D663" s="83"/>
      <c r="G663" s="83"/>
    </row>
    <row r="664" spans="1:7" ht="13.2">
      <c r="A664" s="83"/>
      <c r="B664" s="83"/>
      <c r="C664" s="83"/>
      <c r="D664" s="83"/>
      <c r="G664" s="83"/>
    </row>
    <row r="665" spans="1:7" ht="13.2">
      <c r="A665" s="83"/>
      <c r="B665" s="83"/>
      <c r="C665" s="83"/>
      <c r="D665" s="83"/>
      <c r="G665" s="83"/>
    </row>
    <row r="666" spans="1:7" ht="13.2">
      <c r="A666" s="83"/>
      <c r="B666" s="83"/>
      <c r="C666" s="83"/>
      <c r="D666" s="83"/>
      <c r="G666" s="83"/>
    </row>
    <row r="667" spans="1:7" ht="13.2">
      <c r="A667" s="83"/>
      <c r="B667" s="83"/>
      <c r="C667" s="83"/>
      <c r="D667" s="83"/>
      <c r="G667" s="83"/>
    </row>
    <row r="668" spans="1:7" ht="13.2">
      <c r="A668" s="83"/>
      <c r="B668" s="83"/>
      <c r="C668" s="83"/>
      <c r="D668" s="83"/>
      <c r="G668" s="83"/>
    </row>
    <row r="669" spans="1:7" ht="13.2">
      <c r="A669" s="83"/>
      <c r="B669" s="83"/>
      <c r="C669" s="83"/>
      <c r="D669" s="83"/>
      <c r="G669" s="83"/>
    </row>
    <row r="670" spans="1:7" ht="13.2">
      <c r="A670" s="83"/>
      <c r="B670" s="83"/>
      <c r="C670" s="83"/>
      <c r="D670" s="83"/>
      <c r="G670" s="83"/>
    </row>
    <row r="671" spans="1:7" ht="13.2">
      <c r="A671" s="83"/>
      <c r="B671" s="83"/>
      <c r="C671" s="83"/>
      <c r="D671" s="83"/>
      <c r="G671" s="83"/>
    </row>
    <row r="672" spans="1:7" ht="13.2">
      <c r="A672" s="83"/>
      <c r="B672" s="83"/>
      <c r="C672" s="83"/>
      <c r="D672" s="83"/>
      <c r="G672" s="83"/>
    </row>
    <row r="673" spans="1:7" ht="13.2">
      <c r="A673" s="83"/>
      <c r="B673" s="83"/>
      <c r="C673" s="83"/>
      <c r="D673" s="83"/>
      <c r="G673" s="83"/>
    </row>
    <row r="674" spans="1:7" ht="13.2">
      <c r="A674" s="83"/>
      <c r="B674" s="83"/>
      <c r="C674" s="83"/>
      <c r="D674" s="83"/>
      <c r="G674" s="83"/>
    </row>
    <row r="675" spans="1:7" ht="13.2">
      <c r="A675" s="83"/>
      <c r="B675" s="83"/>
      <c r="C675" s="83"/>
      <c r="D675" s="83"/>
      <c r="G675" s="83"/>
    </row>
    <row r="676" spans="1:7" ht="13.2">
      <c r="A676" s="83"/>
      <c r="B676" s="83"/>
      <c r="C676" s="83"/>
      <c r="D676" s="83"/>
      <c r="G676" s="83"/>
    </row>
    <row r="677" spans="1:7" ht="13.2">
      <c r="A677" s="83"/>
      <c r="B677" s="83"/>
      <c r="C677" s="83"/>
      <c r="D677" s="83"/>
      <c r="G677" s="83"/>
    </row>
    <row r="678" spans="1:7" ht="13.2">
      <c r="A678" s="83"/>
      <c r="B678" s="83"/>
      <c r="C678" s="83"/>
      <c r="D678" s="83"/>
      <c r="G678" s="83"/>
    </row>
    <row r="679" spans="1:7" ht="13.2">
      <c r="A679" s="83"/>
      <c r="B679" s="83"/>
      <c r="C679" s="83"/>
      <c r="D679" s="83"/>
      <c r="G679" s="83"/>
    </row>
    <row r="680" spans="1:7" ht="13.2">
      <c r="A680" s="83"/>
      <c r="B680" s="83"/>
      <c r="C680" s="83"/>
      <c r="D680" s="83"/>
      <c r="G680" s="83"/>
    </row>
    <row r="681" spans="1:7" ht="13.2">
      <c r="A681" s="83"/>
      <c r="B681" s="83"/>
      <c r="C681" s="83"/>
      <c r="D681" s="83"/>
      <c r="G681" s="83"/>
    </row>
    <row r="682" spans="1:7" ht="13.2">
      <c r="A682" s="83"/>
      <c r="B682" s="83"/>
      <c r="C682" s="83"/>
      <c r="D682" s="83"/>
      <c r="G682" s="83"/>
    </row>
    <row r="683" spans="1:7" ht="13.2">
      <c r="A683" s="83"/>
      <c r="B683" s="83"/>
      <c r="C683" s="83"/>
      <c r="D683" s="83"/>
      <c r="G683" s="83"/>
    </row>
    <row r="684" spans="1:7" ht="13.2">
      <c r="A684" s="83"/>
      <c r="B684" s="83"/>
      <c r="C684" s="83"/>
      <c r="D684" s="83"/>
      <c r="G684" s="83"/>
    </row>
    <row r="685" spans="1:7" ht="13.2">
      <c r="A685" s="83"/>
      <c r="B685" s="83"/>
      <c r="C685" s="83"/>
      <c r="D685" s="83"/>
      <c r="G685" s="83"/>
    </row>
    <row r="686" spans="1:7" ht="13.2">
      <c r="A686" s="83"/>
      <c r="B686" s="83"/>
      <c r="C686" s="83"/>
      <c r="D686" s="83"/>
      <c r="G686" s="83"/>
    </row>
    <row r="687" spans="1:7" ht="13.2">
      <c r="A687" s="83"/>
      <c r="B687" s="83"/>
      <c r="C687" s="83"/>
      <c r="D687" s="83"/>
      <c r="G687" s="83"/>
    </row>
    <row r="688" spans="1:7" ht="13.2">
      <c r="A688" s="83"/>
      <c r="B688" s="83"/>
      <c r="C688" s="83"/>
      <c r="D688" s="83"/>
      <c r="G688" s="83"/>
    </row>
    <row r="689" spans="1:7" ht="13.2">
      <c r="A689" s="83"/>
      <c r="B689" s="83"/>
      <c r="C689" s="83"/>
      <c r="D689" s="83"/>
      <c r="G689" s="83"/>
    </row>
    <row r="690" spans="1:7" ht="13.2">
      <c r="A690" s="83"/>
      <c r="B690" s="83"/>
      <c r="C690" s="83"/>
      <c r="D690" s="83"/>
      <c r="G690" s="83"/>
    </row>
    <row r="691" spans="1:7" ht="13.2">
      <c r="A691" s="83"/>
      <c r="B691" s="83"/>
      <c r="C691" s="83"/>
      <c r="D691" s="83"/>
      <c r="G691" s="83"/>
    </row>
    <row r="692" spans="1:7" ht="13.2">
      <c r="A692" s="83"/>
      <c r="B692" s="83"/>
      <c r="C692" s="83"/>
      <c r="D692" s="83"/>
      <c r="G692" s="83"/>
    </row>
    <row r="693" spans="1:7" ht="13.2">
      <c r="A693" s="83"/>
      <c r="B693" s="83"/>
      <c r="C693" s="83"/>
      <c r="D693" s="83"/>
      <c r="G693" s="83"/>
    </row>
    <row r="694" spans="1:7" ht="13.2">
      <c r="A694" s="83"/>
      <c r="B694" s="83"/>
      <c r="C694" s="83"/>
      <c r="D694" s="83"/>
      <c r="G694" s="83"/>
    </row>
    <row r="695" spans="1:7" ht="13.2">
      <c r="A695" s="83"/>
      <c r="B695" s="83"/>
      <c r="C695" s="83"/>
      <c r="D695" s="83"/>
      <c r="G695" s="83"/>
    </row>
    <row r="696" spans="1:7" ht="13.2">
      <c r="A696" s="83"/>
      <c r="B696" s="83"/>
      <c r="C696" s="83"/>
      <c r="D696" s="83"/>
      <c r="G696" s="83"/>
    </row>
    <row r="697" spans="1:7" ht="13.2">
      <c r="A697" s="83"/>
      <c r="B697" s="83"/>
      <c r="C697" s="83"/>
      <c r="D697" s="83"/>
      <c r="G697" s="83"/>
    </row>
    <row r="698" spans="1:7" ht="13.2">
      <c r="A698" s="83"/>
      <c r="B698" s="83"/>
      <c r="C698" s="83"/>
      <c r="D698" s="83"/>
      <c r="G698" s="83"/>
    </row>
    <row r="699" spans="1:7" ht="13.2">
      <c r="A699" s="83"/>
      <c r="B699" s="83"/>
      <c r="C699" s="83"/>
      <c r="D699" s="83"/>
      <c r="G699" s="83"/>
    </row>
    <row r="700" spans="1:7" ht="13.2">
      <c r="A700" s="83"/>
      <c r="B700" s="83"/>
      <c r="C700" s="83"/>
      <c r="D700" s="83"/>
      <c r="G700" s="83"/>
    </row>
    <row r="701" spans="1:7" ht="13.2">
      <c r="A701" s="83"/>
      <c r="B701" s="83"/>
      <c r="C701" s="83"/>
      <c r="D701" s="83"/>
      <c r="G701" s="83"/>
    </row>
    <row r="702" spans="1:7" ht="13.2">
      <c r="A702" s="83"/>
      <c r="B702" s="83"/>
      <c r="C702" s="83"/>
      <c r="D702" s="83"/>
      <c r="G702" s="83"/>
    </row>
    <row r="703" spans="1:7" ht="13.2">
      <c r="A703" s="83"/>
      <c r="B703" s="83"/>
      <c r="C703" s="83"/>
      <c r="D703" s="83"/>
      <c r="G703" s="83"/>
    </row>
    <row r="704" spans="1:7" ht="13.2">
      <c r="A704" s="83"/>
      <c r="B704" s="83"/>
      <c r="C704" s="83"/>
      <c r="D704" s="83"/>
      <c r="G704" s="83"/>
    </row>
    <row r="705" spans="1:7" ht="13.2">
      <c r="A705" s="83"/>
      <c r="B705" s="83"/>
      <c r="C705" s="83"/>
      <c r="D705" s="83"/>
      <c r="G705" s="83"/>
    </row>
    <row r="706" spans="1:7" ht="13.2">
      <c r="A706" s="83"/>
      <c r="B706" s="83"/>
      <c r="C706" s="83"/>
      <c r="D706" s="83"/>
      <c r="G706" s="83"/>
    </row>
    <row r="707" spans="1:7" ht="13.2">
      <c r="A707" s="83"/>
      <c r="B707" s="83"/>
      <c r="C707" s="83"/>
      <c r="D707" s="83"/>
      <c r="G707" s="83"/>
    </row>
    <row r="708" spans="1:7" ht="13.2">
      <c r="A708" s="83"/>
      <c r="B708" s="83"/>
      <c r="C708" s="83"/>
      <c r="D708" s="83"/>
      <c r="G708" s="83"/>
    </row>
    <row r="709" spans="1:7" ht="13.2">
      <c r="A709" s="83"/>
      <c r="B709" s="83"/>
      <c r="C709" s="83"/>
      <c r="D709" s="83"/>
      <c r="G709" s="83"/>
    </row>
    <row r="710" spans="1:7" ht="13.2">
      <c r="A710" s="83"/>
      <c r="B710" s="83"/>
      <c r="C710" s="83"/>
      <c r="D710" s="83"/>
      <c r="G710" s="83"/>
    </row>
    <row r="711" spans="1:7" ht="13.2">
      <c r="A711" s="83"/>
      <c r="B711" s="83"/>
      <c r="C711" s="83"/>
      <c r="D711" s="83"/>
      <c r="G711" s="83"/>
    </row>
    <row r="712" spans="1:7" ht="13.2">
      <c r="A712" s="83"/>
      <c r="B712" s="83"/>
      <c r="C712" s="83"/>
      <c r="D712" s="83"/>
      <c r="G712" s="83"/>
    </row>
    <row r="713" spans="1:7" ht="13.2">
      <c r="A713" s="83"/>
      <c r="B713" s="83"/>
      <c r="C713" s="83"/>
      <c r="D713" s="83"/>
      <c r="G713" s="83"/>
    </row>
    <row r="714" spans="1:7" ht="13.2">
      <c r="A714" s="83"/>
      <c r="B714" s="83"/>
      <c r="C714" s="83"/>
      <c r="D714" s="83"/>
      <c r="G714" s="83"/>
    </row>
    <row r="715" spans="1:7" ht="13.2">
      <c r="A715" s="83"/>
      <c r="B715" s="83"/>
      <c r="C715" s="83"/>
      <c r="D715" s="83"/>
      <c r="G715" s="83"/>
    </row>
    <row r="716" spans="1:7" ht="13.2">
      <c r="A716" s="83"/>
      <c r="B716" s="83"/>
      <c r="C716" s="83"/>
      <c r="D716" s="83"/>
      <c r="G716" s="83"/>
    </row>
    <row r="717" spans="1:7" ht="13.2">
      <c r="A717" s="83"/>
      <c r="B717" s="83"/>
      <c r="C717" s="83"/>
      <c r="D717" s="83"/>
      <c r="G717" s="83"/>
    </row>
    <row r="718" spans="1:7" ht="13.2">
      <c r="A718" s="83"/>
      <c r="B718" s="83"/>
      <c r="C718" s="83"/>
      <c r="D718" s="83"/>
      <c r="G718" s="83"/>
    </row>
    <row r="719" spans="1:7" ht="13.2">
      <c r="A719" s="83"/>
      <c r="B719" s="83"/>
      <c r="C719" s="83"/>
      <c r="D719" s="83"/>
      <c r="G719" s="83"/>
    </row>
    <row r="720" spans="1:7" ht="13.2">
      <c r="A720" s="83"/>
      <c r="B720" s="83"/>
      <c r="C720" s="83"/>
      <c r="D720" s="83"/>
      <c r="G720" s="83"/>
    </row>
    <row r="721" spans="1:7" ht="13.2">
      <c r="A721" s="83"/>
      <c r="B721" s="83"/>
      <c r="C721" s="83"/>
      <c r="D721" s="83"/>
      <c r="G721" s="83"/>
    </row>
    <row r="722" spans="1:7" ht="13.2">
      <c r="A722" s="83"/>
      <c r="B722" s="83"/>
      <c r="C722" s="83"/>
      <c r="D722" s="83"/>
      <c r="G722" s="83"/>
    </row>
    <row r="723" spans="1:7" ht="13.2">
      <c r="A723" s="83"/>
      <c r="B723" s="83"/>
      <c r="C723" s="83"/>
      <c r="D723" s="83"/>
      <c r="G723" s="83"/>
    </row>
    <row r="724" spans="1:7" ht="13.2">
      <c r="A724" s="83"/>
      <c r="B724" s="83"/>
      <c r="C724" s="83"/>
      <c r="D724" s="83"/>
      <c r="G724" s="83"/>
    </row>
    <row r="725" spans="1:7" ht="13.2">
      <c r="A725" s="83"/>
      <c r="B725" s="83"/>
      <c r="C725" s="83"/>
      <c r="D725" s="83"/>
      <c r="G725" s="83"/>
    </row>
    <row r="726" spans="1:7" ht="13.2">
      <c r="A726" s="83"/>
      <c r="B726" s="83"/>
      <c r="C726" s="83"/>
      <c r="D726" s="83"/>
      <c r="G726" s="83"/>
    </row>
    <row r="727" spans="1:7" ht="13.2">
      <c r="A727" s="83"/>
      <c r="B727" s="83"/>
      <c r="C727" s="83"/>
      <c r="D727" s="83"/>
      <c r="G727" s="83"/>
    </row>
    <row r="728" spans="1:7" ht="13.2">
      <c r="A728" s="83"/>
      <c r="B728" s="83"/>
      <c r="C728" s="83"/>
      <c r="D728" s="83"/>
      <c r="G728" s="83"/>
    </row>
    <row r="729" spans="1:7" ht="13.2">
      <c r="A729" s="83"/>
      <c r="B729" s="83"/>
      <c r="C729" s="83"/>
      <c r="D729" s="83"/>
      <c r="G729" s="83"/>
    </row>
    <row r="730" spans="1:7" ht="13.2">
      <c r="A730" s="83"/>
      <c r="B730" s="83"/>
      <c r="C730" s="83"/>
      <c r="D730" s="83"/>
      <c r="G730" s="83"/>
    </row>
    <row r="731" spans="1:7" ht="13.2">
      <c r="A731" s="83"/>
      <c r="B731" s="83"/>
      <c r="C731" s="83"/>
      <c r="D731" s="83"/>
      <c r="G731" s="83"/>
    </row>
    <row r="732" spans="1:7" ht="13.2">
      <c r="A732" s="83"/>
      <c r="B732" s="83"/>
      <c r="C732" s="83"/>
      <c r="D732" s="83"/>
      <c r="G732" s="83"/>
    </row>
    <row r="733" spans="1:7" ht="13.2">
      <c r="A733" s="83"/>
      <c r="B733" s="83"/>
      <c r="C733" s="83"/>
      <c r="D733" s="83"/>
      <c r="G733" s="83"/>
    </row>
    <row r="734" spans="1:7" ht="13.2">
      <c r="A734" s="83"/>
      <c r="B734" s="83"/>
      <c r="C734" s="83"/>
      <c r="D734" s="83"/>
      <c r="G734" s="83"/>
    </row>
    <row r="735" spans="1:7" ht="13.2">
      <c r="A735" s="83"/>
      <c r="B735" s="83"/>
      <c r="C735" s="83"/>
      <c r="D735" s="83"/>
      <c r="G735" s="83"/>
    </row>
    <row r="736" spans="1:7" ht="13.2">
      <c r="A736" s="83"/>
      <c r="B736" s="83"/>
      <c r="C736" s="83"/>
      <c r="D736" s="83"/>
      <c r="G736" s="83"/>
    </row>
    <row r="737" spans="1:7" ht="13.2">
      <c r="A737" s="83"/>
      <c r="B737" s="83"/>
      <c r="C737" s="83"/>
      <c r="D737" s="83"/>
      <c r="G737" s="83"/>
    </row>
    <row r="738" spans="1:7" ht="13.2">
      <c r="A738" s="83"/>
      <c r="B738" s="83"/>
      <c r="C738" s="83"/>
      <c r="D738" s="83"/>
      <c r="G738" s="83"/>
    </row>
    <row r="739" spans="1:7" ht="13.2">
      <c r="A739" s="83"/>
      <c r="B739" s="83"/>
      <c r="C739" s="83"/>
      <c r="D739" s="83"/>
      <c r="G739" s="83"/>
    </row>
    <row r="740" spans="1:7" ht="13.2">
      <c r="A740" s="83"/>
      <c r="B740" s="83"/>
      <c r="C740" s="83"/>
      <c r="D740" s="83"/>
      <c r="G740" s="83"/>
    </row>
    <row r="741" spans="1:7" ht="13.2">
      <c r="A741" s="83"/>
      <c r="B741" s="83"/>
      <c r="C741" s="83"/>
      <c r="D741" s="83"/>
      <c r="G741" s="83"/>
    </row>
    <row r="742" spans="1:7" ht="13.2">
      <c r="A742" s="83"/>
      <c r="B742" s="83"/>
      <c r="C742" s="83"/>
      <c r="D742" s="83"/>
      <c r="G742" s="83"/>
    </row>
    <row r="743" spans="1:7" ht="13.2">
      <c r="A743" s="83"/>
      <c r="B743" s="83"/>
      <c r="C743" s="83"/>
      <c r="D743" s="83"/>
      <c r="G743" s="83"/>
    </row>
    <row r="744" spans="1:7" ht="13.2">
      <c r="A744" s="83"/>
      <c r="B744" s="83"/>
      <c r="C744" s="83"/>
      <c r="D744" s="83"/>
      <c r="G744" s="83"/>
    </row>
    <row r="745" spans="1:7" ht="13.2">
      <c r="A745" s="83"/>
      <c r="B745" s="83"/>
      <c r="C745" s="83"/>
      <c r="D745" s="83"/>
      <c r="G745" s="83"/>
    </row>
    <row r="746" spans="1:7" ht="13.2">
      <c r="A746" s="83"/>
      <c r="B746" s="83"/>
      <c r="C746" s="83"/>
      <c r="D746" s="83"/>
      <c r="G746" s="83"/>
    </row>
    <row r="747" spans="1:7" ht="13.2">
      <c r="A747" s="83"/>
      <c r="B747" s="83"/>
      <c r="C747" s="83"/>
      <c r="D747" s="83"/>
      <c r="G747" s="83"/>
    </row>
    <row r="748" spans="1:7" ht="13.2">
      <c r="A748" s="83"/>
      <c r="B748" s="83"/>
      <c r="C748" s="83"/>
      <c r="D748" s="83"/>
      <c r="G748" s="83"/>
    </row>
    <row r="749" spans="1:7" ht="13.2">
      <c r="A749" s="83"/>
      <c r="B749" s="83"/>
      <c r="C749" s="83"/>
      <c r="D749" s="83"/>
      <c r="G749" s="83"/>
    </row>
    <row r="750" spans="1:7" ht="13.2">
      <c r="A750" s="83"/>
      <c r="B750" s="83"/>
      <c r="C750" s="83"/>
      <c r="D750" s="83"/>
      <c r="G750" s="83"/>
    </row>
    <row r="751" spans="1:7" ht="13.2">
      <c r="A751" s="83"/>
      <c r="B751" s="83"/>
      <c r="C751" s="83"/>
      <c r="D751" s="83"/>
      <c r="G751" s="83"/>
    </row>
    <row r="752" spans="1:7" ht="13.2">
      <c r="A752" s="83"/>
      <c r="B752" s="83"/>
      <c r="C752" s="83"/>
      <c r="D752" s="83"/>
      <c r="G752" s="83"/>
    </row>
    <row r="753" spans="1:7" ht="13.2">
      <c r="A753" s="83"/>
      <c r="B753" s="83"/>
      <c r="C753" s="83"/>
      <c r="D753" s="83"/>
      <c r="G753" s="83"/>
    </row>
    <row r="754" spans="1:7" ht="13.2">
      <c r="A754" s="83"/>
      <c r="B754" s="83"/>
      <c r="C754" s="83"/>
      <c r="D754" s="83"/>
      <c r="G754" s="83"/>
    </row>
    <row r="755" spans="1:7" ht="13.2">
      <c r="A755" s="83"/>
      <c r="B755" s="83"/>
      <c r="C755" s="83"/>
      <c r="D755" s="83"/>
      <c r="G755" s="83"/>
    </row>
    <row r="756" spans="1:7" ht="13.2">
      <c r="A756" s="83"/>
      <c r="B756" s="83"/>
      <c r="C756" s="83"/>
      <c r="D756" s="83"/>
      <c r="G756" s="83"/>
    </row>
    <row r="757" spans="1:7" ht="13.2">
      <c r="A757" s="83"/>
      <c r="B757" s="83"/>
      <c r="C757" s="83"/>
      <c r="D757" s="83"/>
      <c r="G757" s="83"/>
    </row>
    <row r="758" spans="1:7" ht="13.2">
      <c r="A758" s="83"/>
      <c r="B758" s="83"/>
      <c r="C758" s="83"/>
      <c r="D758" s="83"/>
      <c r="G758" s="83"/>
    </row>
    <row r="759" spans="1:7" ht="13.2">
      <c r="A759" s="83"/>
      <c r="B759" s="83"/>
      <c r="C759" s="83"/>
      <c r="D759" s="83"/>
      <c r="G759" s="83"/>
    </row>
    <row r="760" spans="1:7" ht="13.2">
      <c r="A760" s="83"/>
      <c r="B760" s="83"/>
      <c r="C760" s="83"/>
      <c r="D760" s="83"/>
      <c r="G760" s="83"/>
    </row>
    <row r="761" spans="1:7" ht="13.2">
      <c r="A761" s="83"/>
      <c r="B761" s="83"/>
      <c r="C761" s="83"/>
      <c r="D761" s="83"/>
      <c r="G761" s="83"/>
    </row>
    <row r="762" spans="1:7" ht="13.2">
      <c r="A762" s="83"/>
      <c r="B762" s="83"/>
      <c r="C762" s="83"/>
      <c r="D762" s="83"/>
      <c r="G762" s="83"/>
    </row>
    <row r="763" spans="1:7" ht="13.2">
      <c r="A763" s="83"/>
      <c r="B763" s="83"/>
      <c r="C763" s="83"/>
      <c r="D763" s="83"/>
      <c r="G763" s="83"/>
    </row>
    <row r="764" spans="1:7" ht="13.2">
      <c r="A764" s="83"/>
      <c r="B764" s="83"/>
      <c r="C764" s="83"/>
      <c r="D764" s="83"/>
      <c r="G764" s="83"/>
    </row>
    <row r="765" spans="1:7" ht="13.2">
      <c r="A765" s="83"/>
      <c r="B765" s="83"/>
      <c r="C765" s="83"/>
      <c r="D765" s="83"/>
      <c r="G765" s="83"/>
    </row>
    <row r="766" spans="1:7" ht="13.2">
      <c r="A766" s="83"/>
      <c r="B766" s="83"/>
      <c r="C766" s="83"/>
      <c r="D766" s="83"/>
      <c r="G766" s="83"/>
    </row>
    <row r="767" spans="1:7" ht="13.2">
      <c r="A767" s="83"/>
      <c r="B767" s="83"/>
      <c r="C767" s="83"/>
      <c r="D767" s="83"/>
      <c r="G767" s="83"/>
    </row>
    <row r="768" spans="1:7" ht="13.2">
      <c r="A768" s="83"/>
      <c r="B768" s="83"/>
      <c r="C768" s="83"/>
      <c r="D768" s="83"/>
      <c r="G768" s="83"/>
    </row>
    <row r="769" spans="1:7" ht="13.2">
      <c r="A769" s="83"/>
      <c r="B769" s="83"/>
      <c r="C769" s="83"/>
      <c r="D769" s="83"/>
      <c r="G769" s="83"/>
    </row>
    <row r="770" spans="1:7" ht="13.2">
      <c r="A770" s="83"/>
      <c r="B770" s="83"/>
      <c r="C770" s="83"/>
      <c r="D770" s="83"/>
      <c r="G770" s="83"/>
    </row>
    <row r="771" spans="1:7" ht="13.2">
      <c r="A771" s="83"/>
      <c r="B771" s="83"/>
      <c r="C771" s="83"/>
      <c r="D771" s="83"/>
      <c r="G771" s="83"/>
    </row>
    <row r="772" spans="1:7" ht="13.2">
      <c r="A772" s="83"/>
      <c r="B772" s="83"/>
      <c r="C772" s="83"/>
      <c r="D772" s="83"/>
      <c r="G772" s="83"/>
    </row>
    <row r="773" spans="1:7" ht="13.2">
      <c r="A773" s="83"/>
      <c r="B773" s="83"/>
      <c r="C773" s="83"/>
      <c r="D773" s="83"/>
      <c r="G773" s="83"/>
    </row>
    <row r="774" spans="1:7" ht="13.2">
      <c r="A774" s="83"/>
      <c r="B774" s="83"/>
      <c r="C774" s="83"/>
      <c r="D774" s="83"/>
      <c r="G774" s="83"/>
    </row>
    <row r="775" spans="1:7" ht="13.2">
      <c r="A775" s="83"/>
      <c r="B775" s="83"/>
      <c r="C775" s="83"/>
      <c r="D775" s="83"/>
      <c r="G775" s="83"/>
    </row>
    <row r="776" spans="1:7" ht="13.2">
      <c r="A776" s="83"/>
      <c r="B776" s="83"/>
      <c r="C776" s="83"/>
      <c r="D776" s="83"/>
      <c r="G776" s="83"/>
    </row>
    <row r="777" spans="1:7" ht="13.2">
      <c r="A777" s="83"/>
      <c r="B777" s="83"/>
      <c r="C777" s="83"/>
      <c r="D777" s="83"/>
      <c r="G777" s="83"/>
    </row>
    <row r="778" spans="1:7" ht="13.2">
      <c r="A778" s="83"/>
      <c r="B778" s="83"/>
      <c r="C778" s="83"/>
      <c r="D778" s="83"/>
      <c r="G778" s="83"/>
    </row>
    <row r="779" spans="1:7" ht="13.2">
      <c r="A779" s="83"/>
      <c r="B779" s="83"/>
      <c r="C779" s="83"/>
      <c r="D779" s="83"/>
      <c r="G779" s="83"/>
    </row>
    <row r="780" spans="1:7" ht="13.2">
      <c r="A780" s="83"/>
      <c r="B780" s="83"/>
      <c r="C780" s="83"/>
      <c r="D780" s="83"/>
      <c r="G780" s="83"/>
    </row>
    <row r="781" spans="1:7" ht="13.2">
      <c r="A781" s="83"/>
      <c r="B781" s="83"/>
      <c r="C781" s="83"/>
      <c r="D781" s="83"/>
      <c r="G781" s="83"/>
    </row>
    <row r="782" spans="1:7" ht="13.2">
      <c r="A782" s="83"/>
      <c r="B782" s="83"/>
      <c r="C782" s="83"/>
      <c r="D782" s="83"/>
      <c r="G782" s="83"/>
    </row>
    <row r="783" spans="1:7" ht="13.2">
      <c r="A783" s="83"/>
      <c r="B783" s="83"/>
      <c r="C783" s="83"/>
      <c r="D783" s="83"/>
      <c r="G783" s="83"/>
    </row>
    <row r="784" spans="1:7" ht="13.2">
      <c r="A784" s="83"/>
      <c r="B784" s="83"/>
      <c r="C784" s="83"/>
      <c r="D784" s="83"/>
      <c r="G784" s="83"/>
    </row>
    <row r="785" spans="1:7" ht="13.2">
      <c r="A785" s="83"/>
      <c r="B785" s="83"/>
      <c r="C785" s="83"/>
      <c r="D785" s="83"/>
      <c r="G785" s="83"/>
    </row>
    <row r="786" spans="1:7" ht="13.2">
      <c r="A786" s="83"/>
      <c r="B786" s="83"/>
      <c r="C786" s="83"/>
      <c r="D786" s="83"/>
      <c r="G786" s="83"/>
    </row>
    <row r="787" spans="1:7" ht="13.2">
      <c r="A787" s="83"/>
      <c r="B787" s="83"/>
      <c r="C787" s="83"/>
      <c r="D787" s="83"/>
      <c r="G787" s="83"/>
    </row>
    <row r="788" spans="1:7" ht="13.2">
      <c r="A788" s="83"/>
      <c r="B788" s="83"/>
      <c r="C788" s="83"/>
      <c r="D788" s="83"/>
      <c r="G788" s="83"/>
    </row>
    <row r="789" spans="1:7" ht="13.2">
      <c r="A789" s="83"/>
      <c r="B789" s="83"/>
      <c r="C789" s="83"/>
      <c r="D789" s="83"/>
      <c r="G789" s="83"/>
    </row>
    <row r="790" spans="1:7" ht="13.2">
      <c r="A790" s="83"/>
      <c r="B790" s="83"/>
      <c r="C790" s="83"/>
      <c r="D790" s="83"/>
      <c r="G790" s="83"/>
    </row>
    <row r="791" spans="1:7" ht="13.2">
      <c r="A791" s="83"/>
      <c r="B791" s="83"/>
      <c r="C791" s="83"/>
      <c r="D791" s="83"/>
      <c r="G791" s="83"/>
    </row>
    <row r="792" spans="1:7" ht="13.2">
      <c r="A792" s="83"/>
      <c r="B792" s="83"/>
      <c r="C792" s="83"/>
      <c r="D792" s="83"/>
      <c r="G792" s="83"/>
    </row>
    <row r="793" spans="1:7" ht="13.2">
      <c r="A793" s="83"/>
      <c r="B793" s="83"/>
      <c r="C793" s="83"/>
      <c r="D793" s="83"/>
      <c r="G793" s="83"/>
    </row>
    <row r="794" spans="1:7" ht="13.2">
      <c r="A794" s="83"/>
      <c r="B794" s="83"/>
      <c r="C794" s="83"/>
      <c r="D794" s="83"/>
      <c r="G794" s="83"/>
    </row>
    <row r="795" spans="1:7" ht="13.2">
      <c r="A795" s="83"/>
      <c r="B795" s="83"/>
      <c r="C795" s="83"/>
      <c r="D795" s="83"/>
      <c r="G795" s="83"/>
    </row>
    <row r="796" spans="1:7" ht="13.2">
      <c r="A796" s="83"/>
      <c r="B796" s="83"/>
      <c r="C796" s="83"/>
      <c r="D796" s="83"/>
      <c r="G796" s="83"/>
    </row>
    <row r="797" spans="1:7" ht="13.2">
      <c r="A797" s="83"/>
      <c r="B797" s="83"/>
      <c r="C797" s="83"/>
      <c r="D797" s="83"/>
      <c r="G797" s="83"/>
    </row>
    <row r="798" spans="1:7" ht="13.2">
      <c r="A798" s="83"/>
      <c r="B798" s="83"/>
      <c r="C798" s="83"/>
      <c r="D798" s="83"/>
      <c r="G798" s="83"/>
    </row>
    <row r="799" spans="1:7" ht="13.2">
      <c r="A799" s="83"/>
      <c r="B799" s="83"/>
      <c r="C799" s="83"/>
      <c r="D799" s="83"/>
      <c r="G799" s="83"/>
    </row>
    <row r="800" spans="1:7" ht="13.2">
      <c r="A800" s="83"/>
      <c r="B800" s="83"/>
      <c r="C800" s="83"/>
      <c r="D800" s="83"/>
      <c r="G800" s="83"/>
    </row>
    <row r="801" spans="1:7" ht="13.2">
      <c r="A801" s="83"/>
      <c r="B801" s="83"/>
      <c r="C801" s="83"/>
      <c r="D801" s="83"/>
      <c r="G801" s="83"/>
    </row>
    <row r="802" spans="1:7" ht="13.2">
      <c r="A802" s="83"/>
      <c r="B802" s="83"/>
      <c r="C802" s="83"/>
      <c r="D802" s="83"/>
      <c r="G802" s="83"/>
    </row>
    <row r="803" spans="1:7" ht="13.2">
      <c r="A803" s="83"/>
      <c r="B803" s="83"/>
      <c r="C803" s="83"/>
      <c r="D803" s="83"/>
      <c r="G803" s="83"/>
    </row>
    <row r="804" spans="1:7" ht="13.2">
      <c r="A804" s="83"/>
      <c r="B804" s="83"/>
      <c r="C804" s="83"/>
      <c r="D804" s="83"/>
      <c r="G804" s="83"/>
    </row>
    <row r="805" spans="1:7" ht="13.2">
      <c r="A805" s="83"/>
      <c r="B805" s="83"/>
      <c r="C805" s="83"/>
      <c r="D805" s="83"/>
      <c r="G805" s="83"/>
    </row>
    <row r="806" spans="1:7" ht="13.2">
      <c r="A806" s="83"/>
      <c r="B806" s="83"/>
      <c r="C806" s="83"/>
      <c r="D806" s="83"/>
      <c r="G806" s="83"/>
    </row>
    <row r="807" spans="1:7" ht="13.2">
      <c r="A807" s="83"/>
      <c r="B807" s="83"/>
      <c r="C807" s="83"/>
      <c r="D807" s="83"/>
      <c r="G807" s="83"/>
    </row>
    <row r="808" spans="1:7" ht="13.2">
      <c r="A808" s="83"/>
      <c r="B808" s="83"/>
      <c r="C808" s="83"/>
      <c r="D808" s="83"/>
      <c r="G808" s="83"/>
    </row>
    <row r="809" spans="1:7" ht="13.2">
      <c r="A809" s="83"/>
      <c r="B809" s="83"/>
      <c r="C809" s="83"/>
      <c r="D809" s="83"/>
      <c r="G809" s="83"/>
    </row>
    <row r="810" spans="1:7" ht="13.2">
      <c r="A810" s="83"/>
      <c r="B810" s="83"/>
      <c r="C810" s="83"/>
      <c r="D810" s="83"/>
      <c r="G810" s="83"/>
    </row>
    <row r="811" spans="1:7" ht="13.2">
      <c r="A811" s="83"/>
      <c r="B811" s="83"/>
      <c r="C811" s="83"/>
      <c r="D811" s="83"/>
      <c r="G811" s="83"/>
    </row>
    <row r="812" spans="1:7" ht="13.2">
      <c r="A812" s="83"/>
      <c r="B812" s="83"/>
      <c r="C812" s="83"/>
      <c r="D812" s="83"/>
      <c r="G812" s="83"/>
    </row>
    <row r="813" spans="1:7" ht="13.2">
      <c r="A813" s="83"/>
      <c r="B813" s="83"/>
      <c r="C813" s="83"/>
      <c r="D813" s="83"/>
      <c r="G813" s="83"/>
    </row>
    <row r="814" spans="1:7" ht="13.2">
      <c r="A814" s="83"/>
      <c r="B814" s="83"/>
      <c r="C814" s="83"/>
      <c r="D814" s="83"/>
      <c r="G814" s="83"/>
    </row>
    <row r="815" spans="1:7" ht="13.2">
      <c r="A815" s="83"/>
      <c r="B815" s="83"/>
      <c r="C815" s="83"/>
      <c r="D815" s="83"/>
      <c r="G815" s="83"/>
    </row>
    <row r="816" spans="1:7" ht="13.2">
      <c r="A816" s="83"/>
      <c r="B816" s="83"/>
      <c r="C816" s="83"/>
      <c r="D816" s="83"/>
      <c r="G816" s="83"/>
    </row>
    <row r="817" spans="1:7" ht="13.2">
      <c r="A817" s="83"/>
      <c r="B817" s="83"/>
      <c r="C817" s="83"/>
      <c r="D817" s="83"/>
      <c r="G817" s="83"/>
    </row>
    <row r="818" spans="1:7" ht="13.2">
      <c r="A818" s="83"/>
      <c r="B818" s="83"/>
      <c r="C818" s="83"/>
      <c r="D818" s="83"/>
      <c r="G818" s="83"/>
    </row>
    <row r="819" spans="1:7" ht="13.2">
      <c r="A819" s="83"/>
      <c r="B819" s="83"/>
      <c r="C819" s="83"/>
      <c r="D819" s="83"/>
      <c r="G819" s="83"/>
    </row>
    <row r="820" spans="1:7" ht="13.2">
      <c r="A820" s="83"/>
      <c r="B820" s="83"/>
      <c r="C820" s="83"/>
      <c r="D820" s="83"/>
      <c r="G820" s="83"/>
    </row>
    <row r="821" spans="1:7" ht="13.2">
      <c r="A821" s="83"/>
      <c r="B821" s="83"/>
      <c r="C821" s="83"/>
      <c r="D821" s="83"/>
      <c r="G821" s="83"/>
    </row>
    <row r="822" spans="1:7" ht="13.2">
      <c r="A822" s="83"/>
      <c r="B822" s="83"/>
      <c r="C822" s="83"/>
      <c r="D822" s="83"/>
      <c r="G822" s="83"/>
    </row>
    <row r="823" spans="1:7" ht="13.2">
      <c r="A823" s="83"/>
      <c r="B823" s="83"/>
      <c r="C823" s="83"/>
      <c r="D823" s="83"/>
      <c r="G823" s="83"/>
    </row>
    <row r="824" spans="1:7" ht="13.2">
      <c r="A824" s="83"/>
      <c r="B824" s="83"/>
      <c r="C824" s="83"/>
      <c r="D824" s="83"/>
      <c r="G824" s="83"/>
    </row>
    <row r="825" spans="1:7" ht="13.2">
      <c r="A825" s="83"/>
      <c r="B825" s="83"/>
      <c r="C825" s="83"/>
      <c r="D825" s="83"/>
      <c r="G825" s="83"/>
    </row>
    <row r="826" spans="1:7" ht="13.2">
      <c r="A826" s="83"/>
      <c r="B826" s="83"/>
      <c r="C826" s="83"/>
      <c r="D826" s="83"/>
      <c r="G826" s="83"/>
    </row>
    <row r="827" spans="1:7" ht="13.2">
      <c r="A827" s="83"/>
      <c r="B827" s="83"/>
      <c r="C827" s="83"/>
      <c r="D827" s="83"/>
      <c r="G827" s="83"/>
    </row>
    <row r="828" spans="1:7" ht="13.2">
      <c r="A828" s="83"/>
      <c r="B828" s="83"/>
      <c r="C828" s="83"/>
      <c r="D828" s="83"/>
      <c r="G828" s="83"/>
    </row>
    <row r="829" spans="1:7" ht="13.2">
      <c r="A829" s="83"/>
      <c r="B829" s="83"/>
      <c r="C829" s="83"/>
      <c r="D829" s="83"/>
      <c r="G829" s="83"/>
    </row>
    <row r="830" spans="1:7" ht="13.2">
      <c r="A830" s="83"/>
      <c r="B830" s="83"/>
      <c r="C830" s="83"/>
      <c r="D830" s="83"/>
      <c r="G830" s="83"/>
    </row>
    <row r="831" spans="1:7" ht="13.2">
      <c r="A831" s="83"/>
      <c r="B831" s="83"/>
      <c r="C831" s="83"/>
      <c r="D831" s="83"/>
      <c r="G831" s="83"/>
    </row>
    <row r="832" spans="1:7" ht="13.2">
      <c r="A832" s="83"/>
      <c r="B832" s="83"/>
      <c r="C832" s="83"/>
      <c r="D832" s="83"/>
      <c r="G832" s="83"/>
    </row>
    <row r="833" spans="1:7" ht="13.2">
      <c r="A833" s="83"/>
      <c r="B833" s="83"/>
      <c r="C833" s="83"/>
      <c r="D833" s="83"/>
      <c r="G833" s="83"/>
    </row>
    <row r="834" spans="1:7" ht="13.2">
      <c r="A834" s="83"/>
      <c r="B834" s="83"/>
      <c r="C834" s="83"/>
      <c r="D834" s="83"/>
      <c r="G834" s="83"/>
    </row>
    <row r="835" spans="1:7" ht="13.2">
      <c r="A835" s="83"/>
      <c r="B835" s="83"/>
      <c r="C835" s="83"/>
      <c r="D835" s="83"/>
      <c r="G835" s="83"/>
    </row>
    <row r="836" spans="1:7" ht="13.2">
      <c r="A836" s="83"/>
      <c r="B836" s="83"/>
      <c r="C836" s="83"/>
      <c r="D836" s="83"/>
      <c r="G836" s="83"/>
    </row>
    <row r="837" spans="1:7" ht="13.2">
      <c r="A837" s="83"/>
      <c r="B837" s="83"/>
      <c r="C837" s="83"/>
      <c r="D837" s="83"/>
      <c r="G837" s="83"/>
    </row>
    <row r="838" spans="1:7" ht="13.2">
      <c r="A838" s="83"/>
      <c r="B838" s="83"/>
      <c r="C838" s="83"/>
      <c r="D838" s="83"/>
      <c r="G838" s="83"/>
    </row>
    <row r="839" spans="1:7" ht="13.2">
      <c r="A839" s="83"/>
      <c r="B839" s="83"/>
      <c r="C839" s="83"/>
      <c r="D839" s="83"/>
      <c r="G839" s="83"/>
    </row>
    <row r="840" spans="1:7" ht="13.2">
      <c r="A840" s="83"/>
      <c r="B840" s="83"/>
      <c r="C840" s="83"/>
      <c r="D840" s="83"/>
      <c r="G840" s="83"/>
    </row>
    <row r="841" spans="1:7" ht="13.2">
      <c r="A841" s="83"/>
      <c r="B841" s="83"/>
      <c r="C841" s="83"/>
      <c r="D841" s="83"/>
      <c r="G841" s="83"/>
    </row>
    <row r="842" spans="1:7" ht="13.2">
      <c r="A842" s="83"/>
      <c r="B842" s="83"/>
      <c r="C842" s="83"/>
      <c r="D842" s="83"/>
      <c r="G842" s="83"/>
    </row>
    <row r="843" spans="1:7" ht="13.2">
      <c r="A843" s="83"/>
      <c r="B843" s="83"/>
      <c r="C843" s="83"/>
      <c r="D843" s="83"/>
      <c r="G843" s="83"/>
    </row>
    <row r="844" spans="1:7" ht="13.2">
      <c r="A844" s="83"/>
      <c r="B844" s="83"/>
      <c r="C844" s="83"/>
      <c r="D844" s="83"/>
      <c r="G844" s="83"/>
    </row>
    <row r="845" spans="1:7" ht="13.2">
      <c r="A845" s="83"/>
      <c r="B845" s="83"/>
      <c r="C845" s="83"/>
      <c r="D845" s="83"/>
      <c r="G845" s="83"/>
    </row>
    <row r="846" spans="1:7" ht="13.2">
      <c r="A846" s="83"/>
      <c r="B846" s="83"/>
      <c r="C846" s="83"/>
      <c r="D846" s="83"/>
      <c r="G846" s="83"/>
    </row>
    <row r="847" spans="1:7" ht="13.2">
      <c r="A847" s="83"/>
      <c r="B847" s="83"/>
      <c r="C847" s="83"/>
      <c r="D847" s="83"/>
      <c r="G847" s="83"/>
    </row>
    <row r="848" spans="1:7" ht="13.2">
      <c r="A848" s="83"/>
      <c r="B848" s="83"/>
      <c r="C848" s="83"/>
      <c r="D848" s="83"/>
      <c r="G848" s="83"/>
    </row>
    <row r="849" spans="1:7" ht="13.2">
      <c r="A849" s="83"/>
      <c r="B849" s="83"/>
      <c r="C849" s="83"/>
      <c r="D849" s="83"/>
      <c r="G849" s="83"/>
    </row>
    <row r="850" spans="1:7" ht="13.2">
      <c r="A850" s="83"/>
      <c r="B850" s="83"/>
      <c r="C850" s="83"/>
      <c r="D850" s="83"/>
      <c r="G850" s="83"/>
    </row>
    <row r="851" spans="1:7" ht="13.2">
      <c r="A851" s="83"/>
      <c r="B851" s="83"/>
      <c r="C851" s="83"/>
      <c r="D851" s="83"/>
      <c r="G851" s="83"/>
    </row>
    <row r="852" spans="1:7" ht="13.2">
      <c r="A852" s="83"/>
      <c r="B852" s="83"/>
      <c r="C852" s="83"/>
      <c r="D852" s="83"/>
      <c r="G852" s="83"/>
    </row>
    <row r="853" spans="1:7" ht="13.2">
      <c r="A853" s="83"/>
      <c r="B853" s="83"/>
      <c r="C853" s="83"/>
      <c r="D853" s="83"/>
      <c r="G853" s="83"/>
    </row>
    <row r="854" spans="1:7" ht="13.2">
      <c r="A854" s="83"/>
      <c r="B854" s="83"/>
      <c r="C854" s="83"/>
      <c r="D854" s="83"/>
      <c r="G854" s="83"/>
    </row>
    <row r="855" spans="1:7" ht="13.2">
      <c r="A855" s="83"/>
      <c r="B855" s="83"/>
      <c r="C855" s="83"/>
      <c r="D855" s="83"/>
      <c r="G855" s="83"/>
    </row>
    <row r="856" spans="1:7" ht="13.2">
      <c r="A856" s="83"/>
      <c r="B856" s="83"/>
      <c r="C856" s="83"/>
      <c r="D856" s="83"/>
      <c r="G856" s="83"/>
    </row>
    <row r="857" spans="1:7" ht="13.2">
      <c r="A857" s="83"/>
      <c r="B857" s="83"/>
      <c r="C857" s="83"/>
      <c r="D857" s="83"/>
      <c r="G857" s="83"/>
    </row>
    <row r="858" spans="1:7" ht="13.2">
      <c r="A858" s="83"/>
      <c r="B858" s="83"/>
      <c r="C858" s="83"/>
      <c r="D858" s="83"/>
      <c r="G858" s="83"/>
    </row>
    <row r="859" spans="1:7" ht="13.2">
      <c r="A859" s="83"/>
      <c r="B859" s="83"/>
      <c r="C859" s="83"/>
      <c r="D859" s="83"/>
      <c r="G859" s="83"/>
    </row>
    <row r="860" spans="1:7" ht="13.2">
      <c r="A860" s="83"/>
      <c r="B860" s="83"/>
      <c r="C860" s="83"/>
      <c r="D860" s="83"/>
      <c r="G860" s="83"/>
    </row>
    <row r="861" spans="1:7" ht="13.2">
      <c r="A861" s="83"/>
      <c r="B861" s="83"/>
      <c r="C861" s="83"/>
      <c r="D861" s="83"/>
      <c r="G861" s="83"/>
    </row>
    <row r="862" spans="1:7" ht="13.2">
      <c r="A862" s="83"/>
      <c r="B862" s="83"/>
      <c r="C862" s="83"/>
      <c r="D862" s="83"/>
      <c r="G862" s="83"/>
    </row>
    <row r="863" spans="1:7" ht="13.2">
      <c r="A863" s="83"/>
      <c r="B863" s="83"/>
      <c r="C863" s="83"/>
      <c r="D863" s="83"/>
      <c r="G863" s="83"/>
    </row>
    <row r="864" spans="1:7" ht="13.2">
      <c r="A864" s="83"/>
      <c r="B864" s="83"/>
      <c r="C864" s="83"/>
      <c r="D864" s="83"/>
      <c r="G864" s="83"/>
    </row>
    <row r="865" spans="1:7" ht="13.2">
      <c r="A865" s="83"/>
      <c r="B865" s="83"/>
      <c r="C865" s="83"/>
      <c r="D865" s="83"/>
      <c r="G865" s="83"/>
    </row>
    <row r="866" spans="1:7" ht="13.2">
      <c r="A866" s="83"/>
      <c r="B866" s="83"/>
      <c r="C866" s="83"/>
      <c r="D866" s="83"/>
      <c r="G866" s="83"/>
    </row>
    <row r="867" spans="1:7" ht="13.2">
      <c r="A867" s="83"/>
      <c r="B867" s="83"/>
      <c r="C867" s="83"/>
      <c r="D867" s="83"/>
      <c r="G867" s="83"/>
    </row>
    <row r="868" spans="1:7" ht="13.2">
      <c r="A868" s="83"/>
      <c r="B868" s="83"/>
      <c r="C868" s="83"/>
      <c r="D868" s="83"/>
      <c r="G868" s="83"/>
    </row>
    <row r="869" spans="1:7" ht="13.2">
      <c r="A869" s="83"/>
      <c r="B869" s="83"/>
      <c r="C869" s="83"/>
      <c r="D869" s="83"/>
      <c r="G869" s="83"/>
    </row>
    <row r="870" spans="1:7" ht="13.2">
      <c r="A870" s="83"/>
      <c r="B870" s="83"/>
      <c r="C870" s="83"/>
      <c r="D870" s="83"/>
      <c r="G870" s="83"/>
    </row>
    <row r="871" spans="1:7" ht="13.2">
      <c r="A871" s="83"/>
      <c r="B871" s="83"/>
      <c r="C871" s="83"/>
      <c r="D871" s="83"/>
      <c r="G871" s="83"/>
    </row>
    <row r="872" spans="1:7" ht="13.2">
      <c r="A872" s="83"/>
      <c r="B872" s="83"/>
      <c r="C872" s="83"/>
      <c r="D872" s="83"/>
      <c r="G872" s="83"/>
    </row>
    <row r="873" spans="1:7" ht="13.2">
      <c r="A873" s="83"/>
      <c r="B873" s="83"/>
      <c r="C873" s="83"/>
      <c r="D873" s="83"/>
      <c r="G873" s="83"/>
    </row>
    <row r="874" spans="1:7" ht="13.2">
      <c r="A874" s="83"/>
      <c r="B874" s="83"/>
      <c r="C874" s="83"/>
      <c r="D874" s="83"/>
      <c r="G874" s="83"/>
    </row>
    <row r="875" spans="1:7" ht="13.2">
      <c r="A875" s="83"/>
      <c r="B875" s="83"/>
      <c r="C875" s="83"/>
      <c r="D875" s="83"/>
      <c r="G875" s="83"/>
    </row>
    <row r="876" spans="1:7" ht="13.2">
      <c r="A876" s="83"/>
      <c r="B876" s="83"/>
      <c r="C876" s="83"/>
      <c r="D876" s="83"/>
      <c r="G876" s="83"/>
    </row>
    <row r="877" spans="1:7" ht="13.2">
      <c r="A877" s="83"/>
      <c r="B877" s="83"/>
      <c r="C877" s="83"/>
      <c r="D877" s="83"/>
      <c r="G877" s="83"/>
    </row>
    <row r="878" spans="1:7" ht="13.2">
      <c r="A878" s="83"/>
      <c r="B878" s="83"/>
      <c r="C878" s="83"/>
      <c r="D878" s="83"/>
      <c r="G878" s="83"/>
    </row>
    <row r="879" spans="1:7" ht="13.2">
      <c r="A879" s="83"/>
      <c r="B879" s="83"/>
      <c r="C879" s="83"/>
      <c r="D879" s="83"/>
      <c r="G879" s="83"/>
    </row>
    <row r="880" spans="1:7" ht="13.2">
      <c r="A880" s="83"/>
      <c r="B880" s="83"/>
      <c r="C880" s="83"/>
      <c r="D880" s="83"/>
      <c r="G880" s="83"/>
    </row>
    <row r="881" spans="1:7" ht="13.2">
      <c r="A881" s="83"/>
      <c r="B881" s="83"/>
      <c r="C881" s="83"/>
      <c r="D881" s="83"/>
      <c r="G881" s="83"/>
    </row>
    <row r="882" spans="1:7" ht="13.2">
      <c r="A882" s="83"/>
      <c r="B882" s="83"/>
      <c r="C882" s="83"/>
      <c r="D882" s="83"/>
      <c r="G882" s="83"/>
    </row>
    <row r="883" spans="1:7" ht="13.2">
      <c r="A883" s="83"/>
      <c r="B883" s="83"/>
      <c r="C883" s="83"/>
      <c r="D883" s="83"/>
      <c r="G883" s="83"/>
    </row>
    <row r="884" spans="1:7" ht="13.2">
      <c r="A884" s="83"/>
      <c r="B884" s="83"/>
      <c r="C884" s="83"/>
      <c r="D884" s="83"/>
      <c r="G884" s="83"/>
    </row>
    <row r="885" spans="1:7" ht="13.2">
      <c r="A885" s="83"/>
      <c r="B885" s="83"/>
      <c r="C885" s="83"/>
      <c r="D885" s="83"/>
      <c r="G885" s="83"/>
    </row>
    <row r="886" spans="1:7" ht="13.2">
      <c r="A886" s="83"/>
      <c r="B886" s="83"/>
      <c r="C886" s="83"/>
      <c r="D886" s="83"/>
      <c r="G886" s="83"/>
    </row>
    <row r="887" spans="1:7" ht="13.2">
      <c r="A887" s="83"/>
      <c r="B887" s="83"/>
      <c r="C887" s="83"/>
      <c r="D887" s="83"/>
      <c r="G887" s="83"/>
    </row>
    <row r="888" spans="1:7" ht="13.2">
      <c r="A888" s="83"/>
      <c r="B888" s="83"/>
      <c r="C888" s="83"/>
      <c r="D888" s="83"/>
      <c r="G888" s="83"/>
    </row>
    <row r="889" spans="1:7" ht="13.2">
      <c r="A889" s="83"/>
      <c r="B889" s="83"/>
      <c r="C889" s="83"/>
      <c r="D889" s="83"/>
      <c r="G889" s="83"/>
    </row>
    <row r="890" spans="1:7" ht="13.2">
      <c r="A890" s="83"/>
      <c r="B890" s="83"/>
      <c r="C890" s="83"/>
      <c r="D890" s="83"/>
      <c r="G890" s="83"/>
    </row>
    <row r="891" spans="1:7" ht="13.2">
      <c r="A891" s="83"/>
      <c r="B891" s="83"/>
      <c r="C891" s="83"/>
      <c r="D891" s="83"/>
      <c r="G891" s="83"/>
    </row>
    <row r="892" spans="1:7" ht="13.2">
      <c r="A892" s="83"/>
      <c r="B892" s="83"/>
      <c r="C892" s="83"/>
      <c r="D892" s="83"/>
      <c r="G892" s="83"/>
    </row>
    <row r="893" spans="1:7" ht="13.2">
      <c r="A893" s="83"/>
      <c r="B893" s="83"/>
      <c r="C893" s="83"/>
      <c r="D893" s="83"/>
      <c r="G893" s="83"/>
    </row>
    <row r="894" spans="1:7" ht="13.2">
      <c r="A894" s="83"/>
      <c r="B894" s="83"/>
      <c r="C894" s="83"/>
      <c r="D894" s="83"/>
      <c r="G894" s="83"/>
    </row>
    <row r="895" spans="1:7" ht="13.2">
      <c r="A895" s="83"/>
      <c r="B895" s="83"/>
      <c r="C895" s="83"/>
      <c r="D895" s="83"/>
      <c r="G895" s="83"/>
    </row>
    <row r="896" spans="1:7" ht="13.2">
      <c r="A896" s="83"/>
      <c r="B896" s="83"/>
      <c r="C896" s="83"/>
      <c r="D896" s="83"/>
      <c r="G896" s="83"/>
    </row>
    <row r="897" spans="1:7" ht="13.2">
      <c r="A897" s="83"/>
      <c r="B897" s="83"/>
      <c r="C897" s="83"/>
      <c r="D897" s="83"/>
      <c r="G897" s="83"/>
    </row>
    <row r="898" spans="1:7" ht="13.2">
      <c r="A898" s="83"/>
      <c r="B898" s="83"/>
      <c r="C898" s="83"/>
      <c r="D898" s="83"/>
      <c r="G898" s="83"/>
    </row>
    <row r="899" spans="1:7" ht="13.2">
      <c r="A899" s="83"/>
      <c r="B899" s="83"/>
      <c r="C899" s="83"/>
      <c r="D899" s="83"/>
      <c r="G899" s="83"/>
    </row>
    <row r="900" spans="1:7" ht="13.2">
      <c r="A900" s="83"/>
      <c r="B900" s="83"/>
      <c r="C900" s="83"/>
      <c r="D900" s="83"/>
      <c r="G900" s="83"/>
    </row>
    <row r="901" spans="1:7" ht="13.2">
      <c r="A901" s="83"/>
      <c r="B901" s="83"/>
      <c r="C901" s="83"/>
      <c r="D901" s="83"/>
      <c r="G901" s="83"/>
    </row>
    <row r="902" spans="1:7" ht="13.2">
      <c r="A902" s="83"/>
      <c r="B902" s="83"/>
      <c r="C902" s="83"/>
      <c r="D902" s="83"/>
      <c r="G902" s="83"/>
    </row>
    <row r="903" spans="1:7" ht="13.2">
      <c r="A903" s="83"/>
      <c r="B903" s="83"/>
      <c r="C903" s="83"/>
      <c r="D903" s="83"/>
      <c r="G903" s="83"/>
    </row>
    <row r="904" spans="1:7" ht="13.2">
      <c r="A904" s="83"/>
      <c r="B904" s="83"/>
      <c r="C904" s="83"/>
      <c r="D904" s="83"/>
      <c r="G904" s="83"/>
    </row>
    <row r="905" spans="1:7" ht="13.2">
      <c r="A905" s="83"/>
      <c r="B905" s="83"/>
      <c r="C905" s="83"/>
      <c r="D905" s="83"/>
      <c r="G905" s="83"/>
    </row>
    <row r="906" spans="1:7" ht="13.2">
      <c r="A906" s="83"/>
      <c r="B906" s="83"/>
      <c r="C906" s="83"/>
      <c r="D906" s="83"/>
      <c r="G906" s="83"/>
    </row>
    <row r="907" spans="1:7" ht="13.2">
      <c r="A907" s="83"/>
      <c r="B907" s="83"/>
      <c r="C907" s="83"/>
      <c r="D907" s="83"/>
      <c r="G907" s="83"/>
    </row>
    <row r="908" spans="1:7" ht="13.2">
      <c r="A908" s="83"/>
      <c r="B908" s="83"/>
      <c r="C908" s="83"/>
      <c r="D908" s="83"/>
      <c r="G908" s="83"/>
    </row>
    <row r="909" spans="1:7" ht="13.2">
      <c r="A909" s="83"/>
      <c r="B909" s="83"/>
      <c r="C909" s="83"/>
      <c r="D909" s="83"/>
      <c r="G909" s="83"/>
    </row>
    <row r="910" spans="1:7" ht="13.2">
      <c r="A910" s="83"/>
      <c r="B910" s="83"/>
      <c r="C910" s="83"/>
      <c r="D910" s="83"/>
      <c r="G910" s="83"/>
    </row>
    <row r="911" spans="1:7" ht="13.2">
      <c r="A911" s="83"/>
      <c r="B911" s="83"/>
      <c r="C911" s="83"/>
      <c r="D911" s="83"/>
      <c r="G911" s="83"/>
    </row>
    <row r="912" spans="1:7" ht="13.2">
      <c r="A912" s="83"/>
      <c r="B912" s="83"/>
      <c r="C912" s="83"/>
      <c r="D912" s="83"/>
      <c r="G912" s="83"/>
    </row>
    <row r="913" spans="1:7" ht="13.2">
      <c r="A913" s="83"/>
      <c r="B913" s="83"/>
      <c r="C913" s="83"/>
      <c r="D913" s="83"/>
      <c r="G913" s="83"/>
    </row>
    <row r="914" spans="1:7" ht="13.2">
      <c r="A914" s="83"/>
      <c r="B914" s="83"/>
      <c r="C914" s="83"/>
      <c r="D914" s="83"/>
      <c r="G914" s="83"/>
    </row>
    <row r="915" spans="1:7" ht="13.2">
      <c r="A915" s="83"/>
      <c r="B915" s="83"/>
      <c r="C915" s="83"/>
      <c r="D915" s="83"/>
      <c r="G915" s="83"/>
    </row>
    <row r="916" spans="1:7" ht="13.2">
      <c r="A916" s="83"/>
      <c r="B916" s="83"/>
      <c r="C916" s="83"/>
      <c r="D916" s="83"/>
      <c r="G916" s="83"/>
    </row>
    <row r="917" spans="1:7" ht="13.2">
      <c r="A917" s="83"/>
      <c r="B917" s="83"/>
      <c r="C917" s="83"/>
      <c r="D917" s="83"/>
      <c r="G917" s="83"/>
    </row>
    <row r="918" spans="1:7" ht="13.2">
      <c r="A918" s="83"/>
      <c r="B918" s="83"/>
      <c r="C918" s="83"/>
      <c r="D918" s="83"/>
      <c r="G918" s="83"/>
    </row>
    <row r="919" spans="1:7" ht="13.2">
      <c r="A919" s="83"/>
      <c r="B919" s="83"/>
      <c r="C919" s="83"/>
      <c r="D919" s="83"/>
      <c r="G919" s="83"/>
    </row>
    <row r="920" spans="1:7" ht="13.2">
      <c r="A920" s="83"/>
      <c r="B920" s="83"/>
      <c r="C920" s="83"/>
      <c r="D920" s="83"/>
      <c r="G920" s="83"/>
    </row>
    <row r="921" spans="1:7" ht="13.2">
      <c r="A921" s="83"/>
      <c r="B921" s="83"/>
      <c r="C921" s="83"/>
      <c r="D921" s="83"/>
      <c r="G921" s="83"/>
    </row>
    <row r="922" spans="1:7" ht="13.2">
      <c r="A922" s="83"/>
      <c r="B922" s="83"/>
      <c r="C922" s="83"/>
      <c r="D922" s="83"/>
      <c r="G922" s="83"/>
    </row>
    <row r="923" spans="1:7" ht="13.2">
      <c r="A923" s="83"/>
      <c r="B923" s="83"/>
      <c r="C923" s="83"/>
      <c r="D923" s="83"/>
      <c r="G923" s="83"/>
    </row>
    <row r="924" spans="1:7" ht="13.2">
      <c r="A924" s="83"/>
      <c r="B924" s="83"/>
      <c r="C924" s="83"/>
      <c r="D924" s="83"/>
      <c r="G924" s="83"/>
    </row>
    <row r="925" spans="1:7" ht="13.2">
      <c r="A925" s="83"/>
      <c r="B925" s="83"/>
      <c r="C925" s="83"/>
      <c r="D925" s="83"/>
      <c r="G925" s="83"/>
    </row>
    <row r="926" spans="1:7" ht="13.2">
      <c r="A926" s="83"/>
      <c r="B926" s="83"/>
      <c r="C926" s="83"/>
      <c r="D926" s="83"/>
      <c r="G926" s="83"/>
    </row>
    <row r="927" spans="1:7" ht="13.2">
      <c r="A927" s="83"/>
      <c r="B927" s="83"/>
      <c r="C927" s="83"/>
      <c r="D927" s="83"/>
      <c r="G927" s="83"/>
    </row>
    <row r="928" spans="1:7" ht="13.2">
      <c r="A928" s="83"/>
      <c r="B928" s="83"/>
      <c r="C928" s="83"/>
      <c r="D928" s="83"/>
      <c r="G928" s="83"/>
    </row>
    <row r="929" spans="1:7" ht="13.2">
      <c r="A929" s="83"/>
      <c r="B929" s="83"/>
      <c r="C929" s="83"/>
      <c r="D929" s="83"/>
      <c r="G929" s="83"/>
    </row>
    <row r="930" spans="1:7" ht="13.2">
      <c r="A930" s="83"/>
      <c r="B930" s="83"/>
      <c r="C930" s="83"/>
      <c r="D930" s="83"/>
      <c r="G930" s="83"/>
    </row>
    <row r="931" spans="1:7" ht="13.2">
      <c r="A931" s="83"/>
      <c r="B931" s="83"/>
      <c r="C931" s="83"/>
      <c r="D931" s="83"/>
      <c r="G931" s="83"/>
    </row>
    <row r="932" spans="1:7" ht="13.2">
      <c r="A932" s="83"/>
      <c r="B932" s="83"/>
      <c r="C932" s="83"/>
      <c r="D932" s="83"/>
      <c r="G932" s="83"/>
    </row>
    <row r="933" spans="1:7" ht="13.2">
      <c r="A933" s="83"/>
      <c r="B933" s="83"/>
      <c r="C933" s="83"/>
      <c r="D933" s="83"/>
      <c r="G933" s="83"/>
    </row>
    <row r="934" spans="1:7" ht="13.2">
      <c r="A934" s="83"/>
      <c r="B934" s="83"/>
      <c r="C934" s="83"/>
      <c r="D934" s="83"/>
      <c r="G934" s="83"/>
    </row>
    <row r="935" spans="1:7" ht="13.2">
      <c r="A935" s="83"/>
      <c r="B935" s="83"/>
      <c r="C935" s="83"/>
      <c r="D935" s="83"/>
      <c r="G935" s="83"/>
    </row>
    <row r="936" spans="1:7" ht="13.2">
      <c r="A936" s="83"/>
      <c r="B936" s="83"/>
      <c r="C936" s="83"/>
      <c r="D936" s="83"/>
      <c r="G936" s="83"/>
    </row>
    <row r="937" spans="1:7" ht="13.2">
      <c r="A937" s="83"/>
      <c r="B937" s="83"/>
      <c r="C937" s="83"/>
      <c r="D937" s="83"/>
      <c r="G937" s="83"/>
    </row>
    <row r="938" spans="1:7" ht="13.2">
      <c r="A938" s="83"/>
      <c r="B938" s="83"/>
      <c r="C938" s="83"/>
      <c r="D938" s="83"/>
      <c r="G938" s="83"/>
    </row>
    <row r="939" spans="1:7" ht="13.2">
      <c r="A939" s="83"/>
      <c r="B939" s="83"/>
      <c r="C939" s="83"/>
      <c r="D939" s="83"/>
      <c r="G939" s="83"/>
    </row>
    <row r="940" spans="1:7" ht="13.2">
      <c r="A940" s="83"/>
      <c r="B940" s="83"/>
      <c r="C940" s="83"/>
      <c r="D940" s="83"/>
      <c r="G940" s="83"/>
    </row>
    <row r="941" spans="1:7" ht="13.2">
      <c r="A941" s="83"/>
      <c r="B941" s="83"/>
      <c r="C941" s="83"/>
      <c r="D941" s="83"/>
      <c r="G941" s="83"/>
    </row>
    <row r="942" spans="1:7" ht="13.2">
      <c r="A942" s="83"/>
      <c r="B942" s="83"/>
      <c r="C942" s="83"/>
      <c r="D942" s="83"/>
      <c r="G942" s="83"/>
    </row>
    <row r="943" spans="1:7" ht="13.2">
      <c r="A943" s="83"/>
      <c r="B943" s="83"/>
      <c r="C943" s="83"/>
      <c r="D943" s="83"/>
      <c r="G943" s="83"/>
    </row>
    <row r="944" spans="1:7" ht="13.2">
      <c r="A944" s="83"/>
      <c r="B944" s="83"/>
      <c r="C944" s="83"/>
      <c r="D944" s="83"/>
      <c r="G944" s="83"/>
    </row>
    <row r="945" spans="1:7" ht="13.2">
      <c r="A945" s="83"/>
      <c r="B945" s="83"/>
      <c r="C945" s="83"/>
      <c r="D945" s="83"/>
      <c r="G945" s="83"/>
    </row>
    <row r="946" spans="1:7" ht="13.2">
      <c r="A946" s="83"/>
      <c r="B946" s="83"/>
      <c r="C946" s="83"/>
      <c r="D946" s="83"/>
      <c r="G946" s="83"/>
    </row>
    <row r="947" spans="1:7" ht="13.2">
      <c r="A947" s="83"/>
      <c r="B947" s="83"/>
      <c r="C947" s="83"/>
      <c r="D947" s="83"/>
      <c r="G947" s="83"/>
    </row>
    <row r="948" spans="1:7" ht="13.2">
      <c r="A948" s="83"/>
      <c r="B948" s="83"/>
      <c r="C948" s="83"/>
      <c r="D948" s="83"/>
      <c r="G948" s="83"/>
    </row>
    <row r="949" spans="1:7" ht="13.2">
      <c r="A949" s="83"/>
      <c r="B949" s="83"/>
      <c r="C949" s="83"/>
      <c r="D949" s="83"/>
      <c r="G949" s="83"/>
    </row>
    <row r="950" spans="1:7" ht="13.2">
      <c r="A950" s="83"/>
      <c r="B950" s="83"/>
      <c r="C950" s="83"/>
      <c r="D950" s="83"/>
      <c r="G950" s="83"/>
    </row>
    <row r="951" spans="1:7" ht="13.2">
      <c r="A951" s="83"/>
      <c r="B951" s="83"/>
      <c r="C951" s="83"/>
      <c r="D951" s="83"/>
      <c r="G951" s="83"/>
    </row>
    <row r="952" spans="1:7" ht="13.2">
      <c r="A952" s="83"/>
      <c r="B952" s="83"/>
      <c r="C952" s="83"/>
      <c r="D952" s="83"/>
      <c r="G952" s="83"/>
    </row>
    <row r="953" spans="1:7" ht="13.2">
      <c r="A953" s="83"/>
      <c r="B953" s="83"/>
      <c r="C953" s="83"/>
      <c r="D953" s="83"/>
      <c r="G953" s="83"/>
    </row>
    <row r="954" spans="1:7" ht="13.2">
      <c r="A954" s="83"/>
      <c r="B954" s="83"/>
      <c r="C954" s="83"/>
      <c r="D954" s="83"/>
      <c r="G954" s="83"/>
    </row>
    <row r="955" spans="1:7" ht="13.2">
      <c r="A955" s="83"/>
      <c r="B955" s="83"/>
      <c r="C955" s="83"/>
      <c r="D955" s="83"/>
      <c r="G955" s="83"/>
    </row>
    <row r="956" spans="1:7" ht="13.2">
      <c r="A956" s="83"/>
      <c r="B956" s="83"/>
      <c r="C956" s="83"/>
      <c r="D956" s="83"/>
      <c r="G956" s="83"/>
    </row>
    <row r="957" spans="1:7" ht="13.2">
      <c r="A957" s="83"/>
      <c r="B957" s="83"/>
      <c r="C957" s="83"/>
      <c r="D957" s="83"/>
      <c r="G957" s="83"/>
    </row>
    <row r="958" spans="1:7" ht="13.2">
      <c r="A958" s="83"/>
      <c r="B958" s="83"/>
      <c r="C958" s="83"/>
      <c r="D958" s="83"/>
      <c r="G958" s="83"/>
    </row>
    <row r="959" spans="1:7" ht="13.2">
      <c r="A959" s="83"/>
      <c r="B959" s="83"/>
      <c r="C959" s="83"/>
      <c r="D959" s="83"/>
      <c r="G959" s="83"/>
    </row>
    <row r="960" spans="1:7" ht="13.2">
      <c r="A960" s="83"/>
      <c r="B960" s="83"/>
      <c r="C960" s="83"/>
      <c r="D960" s="83"/>
      <c r="G960" s="83"/>
    </row>
    <row r="961" spans="1:7" ht="13.2">
      <c r="A961" s="83"/>
      <c r="B961" s="83"/>
      <c r="C961" s="83"/>
      <c r="D961" s="83"/>
      <c r="G961" s="83"/>
    </row>
    <row r="962" spans="1:7" ht="13.2">
      <c r="A962" s="83"/>
      <c r="B962" s="83"/>
      <c r="C962" s="83"/>
      <c r="D962" s="83"/>
      <c r="G962" s="83"/>
    </row>
    <row r="963" spans="1:7" ht="13.2">
      <c r="A963" s="83"/>
      <c r="B963" s="83"/>
      <c r="C963" s="83"/>
      <c r="D963" s="83"/>
      <c r="G963" s="83"/>
    </row>
    <row r="964" spans="1:7" ht="13.2">
      <c r="A964" s="83"/>
      <c r="B964" s="83"/>
      <c r="C964" s="83"/>
      <c r="D964" s="83"/>
      <c r="G964" s="83"/>
    </row>
    <row r="965" spans="1:7" ht="13.2">
      <c r="A965" s="83"/>
      <c r="B965" s="83"/>
      <c r="C965" s="83"/>
      <c r="D965" s="83"/>
      <c r="G965" s="83"/>
    </row>
    <row r="966" spans="1:7" ht="13.2">
      <c r="A966" s="83"/>
      <c r="B966" s="83"/>
      <c r="C966" s="83"/>
      <c r="D966" s="83"/>
      <c r="G966" s="83"/>
    </row>
    <row r="967" spans="1:7" ht="13.2">
      <c r="A967" s="83"/>
      <c r="B967" s="83"/>
      <c r="C967" s="83"/>
      <c r="D967" s="83"/>
      <c r="G967" s="83"/>
    </row>
    <row r="968" spans="1:7" ht="13.2">
      <c r="A968" s="83"/>
      <c r="B968" s="83"/>
      <c r="C968" s="83"/>
      <c r="D968" s="83"/>
      <c r="G968" s="83"/>
    </row>
    <row r="969" spans="1:7" ht="13.2">
      <c r="A969" s="83"/>
      <c r="B969" s="83"/>
      <c r="C969" s="83"/>
      <c r="D969" s="83"/>
      <c r="G969" s="83"/>
    </row>
    <row r="970" spans="1:7" ht="13.2">
      <c r="A970" s="83"/>
      <c r="B970" s="83"/>
      <c r="C970" s="83"/>
      <c r="D970" s="83"/>
      <c r="G970" s="83"/>
    </row>
    <row r="971" spans="1:7" ht="13.2">
      <c r="A971" s="83"/>
      <c r="B971" s="83"/>
      <c r="C971" s="83"/>
      <c r="D971" s="83"/>
      <c r="G971" s="83"/>
    </row>
    <row r="972" spans="1:7" ht="13.2">
      <c r="A972" s="83"/>
      <c r="B972" s="83"/>
      <c r="C972" s="83"/>
      <c r="D972" s="83"/>
      <c r="G972" s="83"/>
    </row>
    <row r="973" spans="1:7" ht="13.2">
      <c r="A973" s="83"/>
      <c r="B973" s="83"/>
      <c r="C973" s="83"/>
      <c r="D973" s="83"/>
      <c r="G973" s="83"/>
    </row>
    <row r="974" spans="1:7" ht="13.2">
      <c r="A974" s="83"/>
      <c r="B974" s="83"/>
      <c r="C974" s="83"/>
      <c r="D974" s="83"/>
      <c r="G974" s="83"/>
    </row>
    <row r="975" spans="1:7" ht="13.2">
      <c r="A975" s="83"/>
      <c r="B975" s="83"/>
      <c r="C975" s="83"/>
      <c r="D975" s="83"/>
      <c r="G975" s="83"/>
    </row>
    <row r="976" spans="1:7" ht="13.2">
      <c r="A976" s="83"/>
      <c r="B976" s="83"/>
      <c r="C976" s="83"/>
      <c r="D976" s="83"/>
      <c r="G976" s="83"/>
    </row>
    <row r="977" spans="1:7" ht="13.2">
      <c r="A977" s="83"/>
      <c r="B977" s="83"/>
      <c r="C977" s="83"/>
      <c r="D977" s="83"/>
      <c r="G977" s="83"/>
    </row>
    <row r="978" spans="1:7" ht="13.2">
      <c r="A978" s="83"/>
      <c r="B978" s="83"/>
      <c r="C978" s="83"/>
      <c r="D978" s="83"/>
      <c r="G978" s="83"/>
    </row>
    <row r="979" spans="1:7" ht="13.2">
      <c r="A979" s="83"/>
      <c r="B979" s="83"/>
      <c r="C979" s="83"/>
      <c r="D979" s="83"/>
      <c r="G979" s="83"/>
    </row>
    <row r="980" spans="1:7" ht="13.2">
      <c r="A980" s="83"/>
      <c r="B980" s="83"/>
      <c r="C980" s="83"/>
      <c r="D980" s="83"/>
      <c r="G980" s="83"/>
    </row>
    <row r="981" spans="1:7" ht="13.2">
      <c r="A981" s="83"/>
      <c r="B981" s="83"/>
      <c r="C981" s="83"/>
      <c r="D981" s="83"/>
      <c r="G981" s="83"/>
    </row>
    <row r="982" spans="1:7" ht="13.2">
      <c r="A982" s="83"/>
      <c r="B982" s="83"/>
      <c r="C982" s="83"/>
      <c r="D982" s="83"/>
      <c r="G982" s="83"/>
    </row>
    <row r="983" spans="1:7" ht="13.2">
      <c r="A983" s="83"/>
      <c r="B983" s="83"/>
      <c r="C983" s="83"/>
      <c r="D983" s="83"/>
      <c r="G983" s="83"/>
    </row>
    <row r="984" spans="1:7" ht="13.2">
      <c r="A984" s="83"/>
      <c r="B984" s="83"/>
      <c r="C984" s="83"/>
      <c r="D984" s="83"/>
      <c r="G984" s="83"/>
    </row>
    <row r="985" spans="1:7" ht="13.2">
      <c r="A985" s="83"/>
      <c r="B985" s="83"/>
      <c r="C985" s="83"/>
      <c r="D985" s="83"/>
      <c r="G985" s="83"/>
    </row>
    <row r="986" spans="1:7" ht="13.2">
      <c r="A986" s="83"/>
      <c r="B986" s="83"/>
      <c r="C986" s="83"/>
      <c r="D986" s="83"/>
      <c r="G986" s="83"/>
    </row>
    <row r="987" spans="1:7" ht="13.2">
      <c r="A987" s="83"/>
      <c r="B987" s="83"/>
      <c r="C987" s="83"/>
      <c r="D987" s="83"/>
      <c r="G987" s="83"/>
    </row>
    <row r="988" spans="1:7" ht="13.2">
      <c r="A988" s="83"/>
      <c r="B988" s="83"/>
      <c r="C988" s="83"/>
      <c r="D988" s="83"/>
      <c r="G988" s="83"/>
    </row>
    <row r="989" spans="1:7" ht="13.2">
      <c r="A989" s="83"/>
      <c r="B989" s="83"/>
      <c r="C989" s="83"/>
      <c r="D989" s="83"/>
      <c r="G989" s="83"/>
    </row>
    <row r="990" spans="1:7" ht="13.2">
      <c r="A990" s="83"/>
      <c r="B990" s="83"/>
      <c r="C990" s="83"/>
      <c r="D990" s="83"/>
      <c r="G990" s="83"/>
    </row>
    <row r="991" spans="1:7" ht="13.2">
      <c r="A991" s="83"/>
      <c r="B991" s="83"/>
      <c r="C991" s="83"/>
      <c r="D991" s="83"/>
      <c r="G991" s="83"/>
    </row>
    <row r="992" spans="1:7" ht="13.2">
      <c r="A992" s="83"/>
      <c r="B992" s="83"/>
      <c r="C992" s="83"/>
      <c r="D992" s="83"/>
      <c r="G992" s="83"/>
    </row>
    <row r="993" spans="1:7" ht="13.2">
      <c r="A993" s="83"/>
      <c r="B993" s="83"/>
      <c r="C993" s="83"/>
      <c r="D993" s="83"/>
      <c r="G993" s="83"/>
    </row>
    <row r="994" spans="1:7" ht="13.2">
      <c r="A994" s="83"/>
      <c r="B994" s="83"/>
      <c r="C994" s="83"/>
      <c r="D994" s="83"/>
      <c r="G994" s="83"/>
    </row>
    <row r="995" spans="1:7" ht="13.2">
      <c r="A995" s="83"/>
      <c r="B995" s="83"/>
      <c r="C995" s="83"/>
      <c r="D995" s="83"/>
      <c r="G995" s="83"/>
    </row>
    <row r="996" spans="1:7" ht="13.2">
      <c r="A996" s="83"/>
      <c r="B996" s="83"/>
      <c r="C996" s="83"/>
      <c r="D996" s="83"/>
      <c r="G996" s="83"/>
    </row>
    <row r="997" spans="1:7" ht="13.2">
      <c r="A997" s="83"/>
      <c r="B997" s="83"/>
      <c r="C997" s="83"/>
      <c r="D997" s="83"/>
      <c r="G997" s="83"/>
    </row>
    <row r="998" spans="1:7" ht="13.2">
      <c r="A998" s="83"/>
      <c r="B998" s="83"/>
      <c r="C998" s="83"/>
      <c r="D998" s="83"/>
      <c r="G998" s="83"/>
    </row>
    <row r="999" spans="1:7" ht="13.2">
      <c r="A999" s="83"/>
      <c r="B999" s="83"/>
      <c r="C999" s="83"/>
      <c r="D999" s="83"/>
      <c r="G999" s="83"/>
    </row>
    <row r="1000" spans="1:7" ht="13.2">
      <c r="A1000" s="83"/>
      <c r="B1000" s="83"/>
      <c r="C1000" s="83"/>
      <c r="D1000" s="83"/>
      <c r="G1000" s="83"/>
    </row>
  </sheetData>
  <autoFilter ref="A1:Y199" xr:uid="{00000000-0009-0000-0000-000006000000}">
    <filterColumn colId="3">
      <customFilters>
        <customFilter operator="notEqual" val=" "/>
      </customFilters>
    </filterColumn>
  </autoFilter>
  <customSheetViews>
    <customSheetView guid="{F8A80BD0-400C-4134-83E8-E47FF7FF017B}" filter="1" showAutoFilter="1">
      <pageMargins left="0.7" right="0.7" top="0.75" bottom="0.75" header="0.3" footer="0.3"/>
      <autoFilter ref="A1:Y199" xr:uid="{00000000-0000-0000-0000-000000000000}">
        <filterColumn colId="5">
          <filters>
            <filter val="#N/A"/>
            <filter val="10"/>
            <filter val="102"/>
            <filter val="108"/>
            <filter val="11"/>
            <filter val="110"/>
            <filter val="111"/>
            <filter val="112"/>
            <filter val="113"/>
            <filter val="12"/>
            <filter val="124"/>
            <filter val="13"/>
            <filter val="134"/>
            <filter val="136"/>
            <filter val="137"/>
            <filter val="138"/>
            <filter val="139"/>
            <filter val="14"/>
            <filter val="140"/>
            <filter val="141"/>
            <filter val="142"/>
            <filter val="143"/>
            <filter val="144"/>
            <filter val="145"/>
            <filter val="151"/>
            <filter val="152"/>
            <filter val="153"/>
            <filter val="154"/>
            <filter val="155"/>
            <filter val="156"/>
            <filter val="157"/>
            <filter val="158"/>
            <filter val="159"/>
            <filter val="160"/>
            <filter val="161"/>
            <filter val="163"/>
            <filter val="164"/>
            <filter val="165"/>
            <filter val="187"/>
            <filter val="188"/>
            <filter val="189"/>
            <filter val="25"/>
            <filter val="276"/>
            <filter val="277"/>
            <filter val="278"/>
            <filter val="279"/>
            <filter val="280"/>
            <filter val="281"/>
            <filter val="282"/>
            <filter val="283"/>
            <filter val="284"/>
            <filter val="285"/>
            <filter val="286"/>
            <filter val="287"/>
            <filter val="288"/>
            <filter val="289"/>
            <filter val="290"/>
            <filter val="291"/>
            <filter val="32"/>
            <filter val="33"/>
            <filter val="48"/>
            <filter val="5"/>
            <filter val="75"/>
            <filter val="76"/>
            <filter val="85"/>
            <filter val="86"/>
            <filter val="87"/>
          </filters>
        </filterColumn>
      </autoFilter>
    </customSheetView>
  </customSheetViews>
  <mergeCells count="201">
    <mergeCell ref="D189:E189"/>
    <mergeCell ref="D188:E188"/>
    <mergeCell ref="D195:E195"/>
    <mergeCell ref="D190:E190"/>
    <mergeCell ref="D191:E191"/>
    <mergeCell ref="D193:E193"/>
    <mergeCell ref="D192:E192"/>
    <mergeCell ref="D194:E194"/>
    <mergeCell ref="D143:E143"/>
    <mergeCell ref="D144:E144"/>
    <mergeCell ref="D145:E145"/>
    <mergeCell ref="D146:E146"/>
    <mergeCell ref="D147:E147"/>
    <mergeCell ref="D148:E148"/>
    <mergeCell ref="D150:E150"/>
    <mergeCell ref="D149:E149"/>
    <mergeCell ref="D151:E151"/>
    <mergeCell ref="D152:E152"/>
    <mergeCell ref="D186:E186"/>
    <mergeCell ref="D187:E187"/>
    <mergeCell ref="D140:E140"/>
    <mergeCell ref="D139:E139"/>
    <mergeCell ref="D141:E141"/>
    <mergeCell ref="D138:E138"/>
    <mergeCell ref="D182:E182"/>
    <mergeCell ref="D185:E185"/>
    <mergeCell ref="D178:E178"/>
    <mergeCell ref="D179:E179"/>
    <mergeCell ref="D184:E184"/>
    <mergeCell ref="D183:E183"/>
    <mergeCell ref="D162:E162"/>
    <mergeCell ref="D163:E163"/>
    <mergeCell ref="D169:E169"/>
    <mergeCell ref="D165:E165"/>
    <mergeCell ref="D164:E164"/>
    <mergeCell ref="D159:E159"/>
    <mergeCell ref="D160:E160"/>
    <mergeCell ref="D161:E161"/>
    <mergeCell ref="D166:E166"/>
    <mergeCell ref="D153:E153"/>
    <mergeCell ref="D154:E154"/>
    <mergeCell ref="B107:C107"/>
    <mergeCell ref="D101:E101"/>
    <mergeCell ref="D100:E100"/>
    <mergeCell ref="D196:E196"/>
    <mergeCell ref="D197:E197"/>
    <mergeCell ref="D198:E198"/>
    <mergeCell ref="D199:E199"/>
    <mergeCell ref="D167:E167"/>
    <mergeCell ref="D168:E168"/>
    <mergeCell ref="D156:E156"/>
    <mergeCell ref="D155:E155"/>
    <mergeCell ref="D170:E170"/>
    <mergeCell ref="D171:E171"/>
    <mergeCell ref="D181:E181"/>
    <mergeCell ref="D180:E180"/>
    <mergeCell ref="D176:E176"/>
    <mergeCell ref="D175:E175"/>
    <mergeCell ref="D174:E174"/>
    <mergeCell ref="D157:E157"/>
    <mergeCell ref="D158:E158"/>
    <mergeCell ref="C172:E172"/>
    <mergeCell ref="C173:E173"/>
    <mergeCell ref="D177:E177"/>
    <mergeCell ref="D142:E142"/>
    <mergeCell ref="D108:E108"/>
    <mergeCell ref="D109:E109"/>
    <mergeCell ref="D112:E112"/>
    <mergeCell ref="D113:E113"/>
    <mergeCell ref="D114:E114"/>
    <mergeCell ref="D118:E118"/>
    <mergeCell ref="D117:E117"/>
    <mergeCell ref="D115:E115"/>
    <mergeCell ref="D95:E95"/>
    <mergeCell ref="D99:E99"/>
    <mergeCell ref="D96:E96"/>
    <mergeCell ref="D98:E98"/>
    <mergeCell ref="D97:E97"/>
    <mergeCell ref="D103:E103"/>
    <mergeCell ref="D102:E102"/>
    <mergeCell ref="B128:C128"/>
    <mergeCell ref="D127:E127"/>
    <mergeCell ref="D120:E120"/>
    <mergeCell ref="D137:E137"/>
    <mergeCell ref="D134:E134"/>
    <mergeCell ref="D116:E116"/>
    <mergeCell ref="D126:E126"/>
    <mergeCell ref="B125:C125"/>
    <mergeCell ref="D132:E132"/>
    <mergeCell ref="D131:E131"/>
    <mergeCell ref="B122:C122"/>
    <mergeCell ref="B121:C121"/>
    <mergeCell ref="B123:C123"/>
    <mergeCell ref="B124:C124"/>
    <mergeCell ref="D130:E130"/>
    <mergeCell ref="D133:E133"/>
    <mergeCell ref="D73:E73"/>
    <mergeCell ref="D74:E74"/>
    <mergeCell ref="D69:E69"/>
    <mergeCell ref="D70:E70"/>
    <mergeCell ref="D72:E72"/>
    <mergeCell ref="D71:E71"/>
    <mergeCell ref="D135:E135"/>
    <mergeCell ref="D136:E136"/>
    <mergeCell ref="D119:E119"/>
    <mergeCell ref="D129:E129"/>
    <mergeCell ref="C86:E86"/>
    <mergeCell ref="C87:E87"/>
    <mergeCell ref="C88:E88"/>
    <mergeCell ref="C89:E89"/>
    <mergeCell ref="C90:E90"/>
    <mergeCell ref="D91:E91"/>
    <mergeCell ref="D92:E92"/>
    <mergeCell ref="D104:E104"/>
    <mergeCell ref="D106:E106"/>
    <mergeCell ref="D105:E105"/>
    <mergeCell ref="D94:E94"/>
    <mergeCell ref="D93:E93"/>
    <mergeCell ref="D110:E110"/>
    <mergeCell ref="D111:E111"/>
    <mergeCell ref="D19:E19"/>
    <mergeCell ref="D23:E23"/>
    <mergeCell ref="D24:E24"/>
    <mergeCell ref="C30:E30"/>
    <mergeCell ref="C29:E29"/>
    <mergeCell ref="B5:C5"/>
    <mergeCell ref="D21:E21"/>
    <mergeCell ref="D25:E25"/>
    <mergeCell ref="D26:E26"/>
    <mergeCell ref="D42:E42"/>
    <mergeCell ref="D40:E40"/>
    <mergeCell ref="D39:E39"/>
    <mergeCell ref="B3:C3"/>
    <mergeCell ref="C2:E2"/>
    <mergeCell ref="D5:E5"/>
    <mergeCell ref="D9:E9"/>
    <mergeCell ref="D12:E12"/>
    <mergeCell ref="D11:E11"/>
    <mergeCell ref="D17:E17"/>
    <mergeCell ref="D16:E16"/>
    <mergeCell ref="D20:E20"/>
    <mergeCell ref="D3:E3"/>
    <mergeCell ref="D13:E13"/>
    <mergeCell ref="D10:E10"/>
    <mergeCell ref="B6:C6"/>
    <mergeCell ref="D6:E6"/>
    <mergeCell ref="B4:C4"/>
    <mergeCell ref="D4:E4"/>
    <mergeCell ref="D7:E7"/>
    <mergeCell ref="D8:E8"/>
    <mergeCell ref="D15:E15"/>
    <mergeCell ref="D14:E14"/>
    <mergeCell ref="D18:E18"/>
    <mergeCell ref="D36:E36"/>
    <mergeCell ref="D27:E27"/>
    <mergeCell ref="D28:E28"/>
    <mergeCell ref="D34:E34"/>
    <mergeCell ref="D35:E35"/>
    <mergeCell ref="D32:E32"/>
    <mergeCell ref="D31:E31"/>
    <mergeCell ref="D33:E33"/>
    <mergeCell ref="D84:E84"/>
    <mergeCell ref="D83:E83"/>
    <mergeCell ref="D77:E77"/>
    <mergeCell ref="D78:E78"/>
    <mergeCell ref="D76:E76"/>
    <mergeCell ref="D82:E82"/>
    <mergeCell ref="D44:E44"/>
    <mergeCell ref="D43:E43"/>
    <mergeCell ref="D38:E38"/>
    <mergeCell ref="D37:E37"/>
    <mergeCell ref="D46:E46"/>
    <mergeCell ref="D45:E45"/>
    <mergeCell ref="D61:E61"/>
    <mergeCell ref="D62:E62"/>
    <mergeCell ref="D60:E60"/>
    <mergeCell ref="D41:E41"/>
    <mergeCell ref="D85:E85"/>
    <mergeCell ref="D80:E80"/>
    <mergeCell ref="D81:E81"/>
    <mergeCell ref="D79:E79"/>
    <mergeCell ref="D55:E55"/>
    <mergeCell ref="D52:E52"/>
    <mergeCell ref="D47:E47"/>
    <mergeCell ref="D48:E48"/>
    <mergeCell ref="D49:E49"/>
    <mergeCell ref="D59:E59"/>
    <mergeCell ref="D58:E58"/>
    <mergeCell ref="D56:E56"/>
    <mergeCell ref="D57:E57"/>
    <mergeCell ref="D53:E53"/>
    <mergeCell ref="D54:E54"/>
    <mergeCell ref="D50:E50"/>
    <mergeCell ref="D51:E51"/>
    <mergeCell ref="D64:E64"/>
    <mergeCell ref="D65:E65"/>
    <mergeCell ref="D66:E66"/>
    <mergeCell ref="D67:E67"/>
    <mergeCell ref="D63:E63"/>
    <mergeCell ref="D68:E68"/>
    <mergeCell ref="D75:E7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7ED76-A59F-440E-AC49-75CE589AA4D7}">
  <dimension ref="A1:E199"/>
  <sheetViews>
    <sheetView topLeftCell="D1" zoomScale="98" zoomScaleNormal="98" workbookViewId="0">
      <selection activeCell="D146" sqref="A1:E199"/>
    </sheetView>
  </sheetViews>
  <sheetFormatPr defaultRowHeight="13.2"/>
  <cols>
    <col min="1" max="1" width="17.6640625" customWidth="1"/>
    <col min="2" max="2" width="17.33203125" bestFit="1" customWidth="1"/>
    <col min="4" max="5" width="107.5546875" bestFit="1" customWidth="1"/>
  </cols>
  <sheetData>
    <row r="1" spans="1:5">
      <c r="A1" s="191"/>
      <c r="B1" s="191" t="s">
        <v>64</v>
      </c>
      <c r="C1" s="191" t="s">
        <v>65</v>
      </c>
      <c r="D1" s="191" t="s">
        <v>66</v>
      </c>
      <c r="E1" s="191" t="s">
        <v>1665</v>
      </c>
    </row>
    <row r="2" spans="1:5">
      <c r="A2" s="191">
        <v>1</v>
      </c>
      <c r="B2" s="191" t="s">
        <v>96</v>
      </c>
      <c r="C2" s="191"/>
      <c r="D2" s="191" t="s">
        <v>97</v>
      </c>
      <c r="E2" s="191" t="s">
        <v>97</v>
      </c>
    </row>
    <row r="3" spans="1:5">
      <c r="A3" s="191">
        <v>2</v>
      </c>
      <c r="B3" s="191" t="s">
        <v>113</v>
      </c>
      <c r="C3" s="191"/>
      <c r="D3" s="191" t="s">
        <v>114</v>
      </c>
      <c r="E3" s="191" t="s">
        <v>114</v>
      </c>
    </row>
    <row r="4" spans="1:5">
      <c r="A4" s="191">
        <v>3</v>
      </c>
      <c r="B4" s="191" t="s">
        <v>140</v>
      </c>
      <c r="C4" s="191"/>
      <c r="D4" s="191" t="s">
        <v>141</v>
      </c>
      <c r="E4" s="191" t="s">
        <v>141</v>
      </c>
    </row>
    <row r="5" spans="1:5">
      <c r="A5" s="191">
        <v>4</v>
      </c>
      <c r="B5" s="191" t="s">
        <v>181</v>
      </c>
      <c r="C5" s="191"/>
      <c r="D5" s="191" t="s">
        <v>182</v>
      </c>
      <c r="E5" s="191" t="s">
        <v>182</v>
      </c>
    </row>
    <row r="6" spans="1:5">
      <c r="A6" s="191">
        <v>5</v>
      </c>
      <c r="B6" s="191" t="s">
        <v>191</v>
      </c>
      <c r="C6" s="191"/>
      <c r="D6" s="191" t="s">
        <v>192</v>
      </c>
      <c r="E6" s="191" t="s">
        <v>192</v>
      </c>
    </row>
    <row r="7" spans="1:5">
      <c r="A7" s="191">
        <v>6</v>
      </c>
      <c r="B7" s="191" t="s">
        <v>129</v>
      </c>
      <c r="C7" s="191"/>
      <c r="D7" s="191" t="s">
        <v>130</v>
      </c>
      <c r="E7" s="191" t="s">
        <v>130</v>
      </c>
    </row>
    <row r="8" spans="1:5">
      <c r="A8" s="191">
        <v>7</v>
      </c>
      <c r="B8" s="191" t="s">
        <v>132</v>
      </c>
      <c r="C8" s="191"/>
      <c r="D8" s="191" t="s">
        <v>133</v>
      </c>
      <c r="E8" s="191" t="s">
        <v>133</v>
      </c>
    </row>
    <row r="9" spans="1:5">
      <c r="A9" s="191">
        <v>8</v>
      </c>
      <c r="B9" s="191" t="s">
        <v>135</v>
      </c>
      <c r="C9" s="191"/>
      <c r="D9" s="191" t="s">
        <v>134</v>
      </c>
      <c r="E9" s="191" t="s">
        <v>134</v>
      </c>
    </row>
    <row r="10" spans="1:5">
      <c r="A10" s="191">
        <v>9</v>
      </c>
      <c r="B10" s="191" t="s">
        <v>218</v>
      </c>
      <c r="C10" s="191"/>
      <c r="D10" s="191" t="s">
        <v>217</v>
      </c>
      <c r="E10" s="191" t="s">
        <v>217</v>
      </c>
    </row>
    <row r="11" spans="1:5">
      <c r="A11" s="191">
        <v>10</v>
      </c>
      <c r="B11" s="191" t="s">
        <v>220</v>
      </c>
      <c r="C11" s="191"/>
      <c r="D11" s="191" t="s">
        <v>219</v>
      </c>
      <c r="E11" s="191" t="s">
        <v>219</v>
      </c>
    </row>
    <row r="12" spans="1:5">
      <c r="A12" s="191">
        <v>11</v>
      </c>
      <c r="B12" s="191" t="s">
        <v>453</v>
      </c>
      <c r="C12" s="191"/>
      <c r="D12" s="191" t="s">
        <v>454</v>
      </c>
      <c r="E12" s="191" t="s">
        <v>454</v>
      </c>
    </row>
    <row r="13" spans="1:5">
      <c r="A13" s="191">
        <v>12</v>
      </c>
      <c r="B13" s="191" t="s">
        <v>103</v>
      </c>
      <c r="C13" s="191"/>
      <c r="D13" s="191" t="s">
        <v>104</v>
      </c>
      <c r="E13" s="191" t="s">
        <v>104</v>
      </c>
    </row>
    <row r="14" spans="1:5">
      <c r="A14" s="191">
        <v>13</v>
      </c>
      <c r="B14" s="191" t="s">
        <v>240</v>
      </c>
      <c r="C14" s="191"/>
      <c r="D14" s="191" t="s">
        <v>239</v>
      </c>
      <c r="E14" s="191" t="s">
        <v>239</v>
      </c>
    </row>
    <row r="15" spans="1:5">
      <c r="A15" s="191">
        <v>14</v>
      </c>
      <c r="B15" s="191" t="s">
        <v>242</v>
      </c>
      <c r="C15" s="191"/>
      <c r="D15" s="191" t="s">
        <v>241</v>
      </c>
      <c r="E15" s="191" t="s">
        <v>241</v>
      </c>
    </row>
    <row r="16" spans="1:5">
      <c r="A16" s="191">
        <v>15</v>
      </c>
      <c r="B16" s="191" t="s">
        <v>137</v>
      </c>
      <c r="C16" s="191"/>
      <c r="D16" s="191" t="s">
        <v>138</v>
      </c>
      <c r="E16" s="191" t="s">
        <v>138</v>
      </c>
    </row>
    <row r="17" spans="1:5">
      <c r="A17" s="191">
        <v>16</v>
      </c>
      <c r="B17" s="191" t="s">
        <v>78</v>
      </c>
      <c r="C17" s="191"/>
      <c r="D17" s="191" t="s">
        <v>84</v>
      </c>
      <c r="E17" s="191" t="s">
        <v>84</v>
      </c>
    </row>
    <row r="18" spans="1:5">
      <c r="A18" s="191">
        <v>17</v>
      </c>
      <c r="B18" s="191" t="s">
        <v>546</v>
      </c>
      <c r="C18" s="191" t="s">
        <v>526</v>
      </c>
      <c r="D18" s="191" t="s">
        <v>547</v>
      </c>
      <c r="E18" s="191"/>
    </row>
    <row r="19" spans="1:5">
      <c r="A19" s="191">
        <v>18</v>
      </c>
      <c r="B19" s="191" t="s">
        <v>298</v>
      </c>
      <c r="C19" s="191" t="s">
        <v>270</v>
      </c>
      <c r="D19" s="191" t="s">
        <v>299</v>
      </c>
      <c r="E19" s="191" t="s">
        <v>299</v>
      </c>
    </row>
    <row r="20" spans="1:5">
      <c r="A20" s="191">
        <v>19</v>
      </c>
      <c r="B20" s="191" t="s">
        <v>735</v>
      </c>
      <c r="C20" s="191" t="s">
        <v>719</v>
      </c>
      <c r="D20" s="191" t="s">
        <v>736</v>
      </c>
      <c r="E20" s="191" t="s">
        <v>737</v>
      </c>
    </row>
    <row r="21" spans="1:5">
      <c r="A21" s="191">
        <v>20</v>
      </c>
      <c r="B21" s="191" t="s">
        <v>718</v>
      </c>
      <c r="C21" s="191" t="s">
        <v>719</v>
      </c>
      <c r="D21" s="191" t="s">
        <v>720</v>
      </c>
      <c r="E21" s="191" t="s">
        <v>720</v>
      </c>
    </row>
    <row r="22" spans="1:5">
      <c r="A22" s="191">
        <v>21</v>
      </c>
      <c r="B22" s="191" t="s">
        <v>739</v>
      </c>
      <c r="C22" s="191" t="s">
        <v>719</v>
      </c>
      <c r="D22" s="191" t="s">
        <v>740</v>
      </c>
      <c r="E22" s="191" t="s">
        <v>741</v>
      </c>
    </row>
    <row r="23" spans="1:5">
      <c r="A23" s="191">
        <v>22</v>
      </c>
      <c r="B23" s="191" t="s">
        <v>743</v>
      </c>
      <c r="C23" s="191" t="s">
        <v>719</v>
      </c>
      <c r="D23" s="191" t="s">
        <v>744</v>
      </c>
      <c r="E23" s="191" t="s">
        <v>745</v>
      </c>
    </row>
    <row r="24" spans="1:5">
      <c r="A24" s="191">
        <v>23</v>
      </c>
      <c r="B24" s="191" t="s">
        <v>747</v>
      </c>
      <c r="C24" s="191" t="s">
        <v>719</v>
      </c>
      <c r="D24" s="191" t="s">
        <v>748</v>
      </c>
      <c r="E24" s="191" t="s">
        <v>749</v>
      </c>
    </row>
    <row r="25" spans="1:5">
      <c r="A25" s="191">
        <v>24</v>
      </c>
      <c r="B25" s="191" t="s">
        <v>751</v>
      </c>
      <c r="C25" s="191" t="s">
        <v>719</v>
      </c>
      <c r="D25" s="191" t="s">
        <v>752</v>
      </c>
      <c r="E25" s="191" t="s">
        <v>753</v>
      </c>
    </row>
    <row r="26" spans="1:5">
      <c r="A26" s="191">
        <v>25</v>
      </c>
      <c r="B26" s="191" t="s">
        <v>1343</v>
      </c>
      <c r="C26" s="191" t="s">
        <v>427</v>
      </c>
      <c r="D26" s="191" t="s">
        <v>1344</v>
      </c>
      <c r="E26" s="191" t="s">
        <v>1344</v>
      </c>
    </row>
    <row r="27" spans="1:5">
      <c r="A27" s="191">
        <v>26</v>
      </c>
      <c r="B27" s="191" t="s">
        <v>458</v>
      </c>
      <c r="C27" s="191" t="s">
        <v>427</v>
      </c>
      <c r="D27" s="191" t="s">
        <v>457</v>
      </c>
      <c r="E27" s="191" t="s">
        <v>457</v>
      </c>
    </row>
    <row r="28" spans="1:5">
      <c r="A28" s="191">
        <v>27</v>
      </c>
      <c r="B28" s="191" t="s">
        <v>460</v>
      </c>
      <c r="C28" s="191" t="s">
        <v>427</v>
      </c>
      <c r="D28" s="191" t="s">
        <v>459</v>
      </c>
      <c r="E28" s="191" t="s">
        <v>459</v>
      </c>
    </row>
    <row r="29" spans="1:5">
      <c r="A29" s="191">
        <v>28</v>
      </c>
      <c r="B29" s="191" t="s">
        <v>462</v>
      </c>
      <c r="C29" s="191" t="s">
        <v>427</v>
      </c>
      <c r="D29" s="191" t="s">
        <v>461</v>
      </c>
      <c r="E29" s="191" t="s">
        <v>461</v>
      </c>
    </row>
    <row r="30" spans="1:5">
      <c r="A30" s="191">
        <v>29</v>
      </c>
      <c r="B30" s="191" t="s">
        <v>464</v>
      </c>
      <c r="C30" s="191" t="s">
        <v>427</v>
      </c>
      <c r="D30" s="191" t="s">
        <v>465</v>
      </c>
      <c r="E30" s="191" t="s">
        <v>465</v>
      </c>
    </row>
    <row r="31" spans="1:5">
      <c r="A31" s="191">
        <v>30</v>
      </c>
      <c r="B31" s="191" t="s">
        <v>467</v>
      </c>
      <c r="C31" s="191" t="s">
        <v>427</v>
      </c>
      <c r="D31" s="191" t="s">
        <v>468</v>
      </c>
      <c r="E31" s="191" t="s">
        <v>468</v>
      </c>
    </row>
    <row r="32" spans="1:5">
      <c r="A32" s="191">
        <v>31</v>
      </c>
      <c r="B32" s="191" t="s">
        <v>470</v>
      </c>
      <c r="C32" s="191" t="s">
        <v>427</v>
      </c>
      <c r="D32" s="191" t="s">
        <v>471</v>
      </c>
      <c r="E32" s="191" t="s">
        <v>471</v>
      </c>
    </row>
    <row r="33" spans="1:5">
      <c r="A33" s="191">
        <v>32</v>
      </c>
      <c r="B33" s="191" t="s">
        <v>676</v>
      </c>
      <c r="C33" s="191" t="s">
        <v>674</v>
      </c>
      <c r="D33" s="191" t="s">
        <v>1332</v>
      </c>
      <c r="E33" s="191" t="s">
        <v>1332</v>
      </c>
    </row>
    <row r="34" spans="1:5">
      <c r="A34" s="191">
        <v>33</v>
      </c>
      <c r="B34" s="191" t="s">
        <v>679</v>
      </c>
      <c r="C34" s="191" t="s">
        <v>674</v>
      </c>
      <c r="D34" s="191" t="s">
        <v>1335</v>
      </c>
      <c r="E34" s="191" t="s">
        <v>1335</v>
      </c>
    </row>
    <row r="35" spans="1:5">
      <c r="A35" s="191">
        <v>34</v>
      </c>
      <c r="B35" s="191" t="s">
        <v>681</v>
      </c>
      <c r="C35" s="191" t="s">
        <v>674</v>
      </c>
      <c r="D35" s="191" t="s">
        <v>1338</v>
      </c>
      <c r="E35" s="191" t="s">
        <v>1338</v>
      </c>
    </row>
    <row r="36" spans="1:5">
      <c r="A36" s="191">
        <v>35</v>
      </c>
      <c r="B36" s="191" t="s">
        <v>372</v>
      </c>
      <c r="C36" s="191" t="s">
        <v>327</v>
      </c>
      <c r="D36" s="191" t="s">
        <v>373</v>
      </c>
      <c r="E36" s="191" t="s">
        <v>373</v>
      </c>
    </row>
    <row r="37" spans="1:5">
      <c r="A37" s="191">
        <v>36</v>
      </c>
      <c r="B37" s="191" t="s">
        <v>326</v>
      </c>
      <c r="C37" s="191" t="s">
        <v>327</v>
      </c>
      <c r="D37" s="191" t="s">
        <v>328</v>
      </c>
      <c r="E37" s="191" t="s">
        <v>328</v>
      </c>
    </row>
    <row r="38" spans="1:5">
      <c r="A38" s="191">
        <v>37</v>
      </c>
      <c r="B38" s="191" t="s">
        <v>1351</v>
      </c>
      <c r="C38" s="191" t="s">
        <v>327</v>
      </c>
      <c r="D38" s="191" t="s">
        <v>1352</v>
      </c>
      <c r="E38" s="191" t="s">
        <v>1352</v>
      </c>
    </row>
    <row r="39" spans="1:5">
      <c r="A39" s="191">
        <v>38</v>
      </c>
      <c r="B39" s="191" t="s">
        <v>1407</v>
      </c>
      <c r="C39" s="191" t="s">
        <v>1408</v>
      </c>
      <c r="D39" s="191"/>
      <c r="E39" s="191"/>
    </row>
    <row r="40" spans="1:5">
      <c r="A40" s="191">
        <v>39</v>
      </c>
      <c r="B40" s="191" t="s">
        <v>1409</v>
      </c>
      <c r="C40" s="191" t="s">
        <v>1408</v>
      </c>
      <c r="D40" s="191" t="s">
        <v>1410</v>
      </c>
      <c r="E40" s="191" t="s">
        <v>1410</v>
      </c>
    </row>
    <row r="41" spans="1:5">
      <c r="A41" s="191">
        <v>40</v>
      </c>
      <c r="B41" s="191" t="s">
        <v>1354</v>
      </c>
      <c r="C41" s="191" t="s">
        <v>327</v>
      </c>
      <c r="D41" s="191" t="s">
        <v>1355</v>
      </c>
      <c r="E41" s="191" t="s">
        <v>1355</v>
      </c>
    </row>
    <row r="42" spans="1:5">
      <c r="A42" s="191">
        <v>41</v>
      </c>
      <c r="B42" s="191" t="s">
        <v>1356</v>
      </c>
      <c r="C42" s="191" t="s">
        <v>327</v>
      </c>
      <c r="D42" s="191" t="s">
        <v>1357</v>
      </c>
      <c r="E42" s="191" t="s">
        <v>1357</v>
      </c>
    </row>
    <row r="43" spans="1:5">
      <c r="A43" s="191">
        <v>42</v>
      </c>
      <c r="B43" s="191" t="s">
        <v>1358</v>
      </c>
      <c r="C43" s="191" t="s">
        <v>327</v>
      </c>
      <c r="D43" s="191" t="s">
        <v>1359</v>
      </c>
      <c r="E43" s="191" t="s">
        <v>1359</v>
      </c>
    </row>
    <row r="44" spans="1:5">
      <c r="A44" s="191">
        <v>43</v>
      </c>
      <c r="B44" s="191" t="s">
        <v>1360</v>
      </c>
      <c r="C44" s="191" t="s">
        <v>327</v>
      </c>
      <c r="D44" s="191" t="s">
        <v>1361</v>
      </c>
      <c r="E44" s="191" t="s">
        <v>1361</v>
      </c>
    </row>
    <row r="45" spans="1:5">
      <c r="A45" s="191">
        <v>44</v>
      </c>
      <c r="B45" s="191" t="s">
        <v>1363</v>
      </c>
      <c r="C45" s="191" t="s">
        <v>327</v>
      </c>
      <c r="D45" s="191" t="s">
        <v>1364</v>
      </c>
      <c r="E45" s="191" t="s">
        <v>1364</v>
      </c>
    </row>
    <row r="46" spans="1:5">
      <c r="A46" s="191">
        <v>45</v>
      </c>
      <c r="B46" s="191" t="s">
        <v>1365</v>
      </c>
      <c r="C46" s="191" t="s">
        <v>327</v>
      </c>
      <c r="D46" s="191" t="s">
        <v>1366</v>
      </c>
      <c r="E46" s="191" t="s">
        <v>1366</v>
      </c>
    </row>
    <row r="47" spans="1:5">
      <c r="A47" s="191">
        <v>46</v>
      </c>
      <c r="B47" s="191" t="s">
        <v>1367</v>
      </c>
      <c r="C47" s="191" t="s">
        <v>327</v>
      </c>
      <c r="D47" s="191" t="s">
        <v>1368</v>
      </c>
      <c r="E47" s="191" t="s">
        <v>1368</v>
      </c>
    </row>
    <row r="48" spans="1:5">
      <c r="A48" s="191">
        <v>47</v>
      </c>
      <c r="B48" s="191" t="s">
        <v>607</v>
      </c>
      <c r="C48" s="191" t="s">
        <v>587</v>
      </c>
      <c r="D48" s="191" t="s">
        <v>608</v>
      </c>
      <c r="E48" s="191" t="s">
        <v>608</v>
      </c>
    </row>
    <row r="49" spans="1:5">
      <c r="A49" s="191">
        <v>48</v>
      </c>
      <c r="B49" s="191" t="s">
        <v>684</v>
      </c>
      <c r="C49" s="191" t="s">
        <v>674</v>
      </c>
      <c r="D49" s="191" t="s">
        <v>685</v>
      </c>
      <c r="E49" s="191" t="s">
        <v>685</v>
      </c>
    </row>
    <row r="50" spans="1:5">
      <c r="A50" s="191">
        <v>49</v>
      </c>
      <c r="B50" s="191" t="s">
        <v>1369</v>
      </c>
      <c r="C50" s="191" t="s">
        <v>327</v>
      </c>
      <c r="D50" s="191" t="s">
        <v>1370</v>
      </c>
      <c r="E50" s="191"/>
    </row>
    <row r="51" spans="1:5">
      <c r="A51" s="191">
        <v>50</v>
      </c>
      <c r="B51" s="191" t="s">
        <v>1371</v>
      </c>
      <c r="C51" s="191" t="s">
        <v>327</v>
      </c>
      <c r="D51" s="191" t="s">
        <v>1372</v>
      </c>
      <c r="E51" s="191"/>
    </row>
    <row r="52" spans="1:5">
      <c r="A52" s="191">
        <v>51</v>
      </c>
      <c r="B52" s="191" t="s">
        <v>1373</v>
      </c>
      <c r="C52" s="191" t="s">
        <v>327</v>
      </c>
      <c r="D52" s="191" t="s">
        <v>1374</v>
      </c>
      <c r="E52" s="191"/>
    </row>
    <row r="53" spans="1:5">
      <c r="A53" s="191">
        <v>52</v>
      </c>
      <c r="B53" s="191" t="s">
        <v>1375</v>
      </c>
      <c r="C53" s="191" t="s">
        <v>327</v>
      </c>
      <c r="D53" s="191" t="s">
        <v>1376</v>
      </c>
      <c r="E53" s="191"/>
    </row>
    <row r="54" spans="1:5">
      <c r="A54" s="191">
        <v>53</v>
      </c>
      <c r="B54" s="191" t="s">
        <v>1378</v>
      </c>
      <c r="C54" s="191" t="s">
        <v>327</v>
      </c>
      <c r="D54" s="191" t="s">
        <v>1379</v>
      </c>
      <c r="E54" s="191"/>
    </row>
    <row r="55" spans="1:5">
      <c r="A55" s="191">
        <v>54</v>
      </c>
      <c r="B55" s="191" t="s">
        <v>688</v>
      </c>
      <c r="C55" s="191" t="s">
        <v>674</v>
      </c>
      <c r="D55" s="191" t="s">
        <v>689</v>
      </c>
      <c r="E55" s="191" t="s">
        <v>689</v>
      </c>
    </row>
    <row r="56" spans="1:5">
      <c r="A56" s="191">
        <v>55</v>
      </c>
      <c r="B56" s="191" t="s">
        <v>692</v>
      </c>
      <c r="C56" s="191" t="s">
        <v>674</v>
      </c>
      <c r="D56" s="191" t="s">
        <v>691</v>
      </c>
      <c r="E56" s="191" t="s">
        <v>691</v>
      </c>
    </row>
    <row r="57" spans="1:5">
      <c r="A57" s="191">
        <v>56</v>
      </c>
      <c r="B57" s="191" t="s">
        <v>694</v>
      </c>
      <c r="C57" s="191" t="s">
        <v>674</v>
      </c>
      <c r="D57" s="191" t="s">
        <v>693</v>
      </c>
      <c r="E57" s="191" t="s">
        <v>693</v>
      </c>
    </row>
    <row r="58" spans="1:5">
      <c r="A58" s="191">
        <v>57</v>
      </c>
      <c r="B58" s="191" t="s">
        <v>696</v>
      </c>
      <c r="C58" s="191" t="s">
        <v>674</v>
      </c>
      <c r="D58" s="191" t="s">
        <v>695</v>
      </c>
      <c r="E58" s="191" t="s">
        <v>695</v>
      </c>
    </row>
    <row r="59" spans="1:5">
      <c r="A59" s="191">
        <v>58</v>
      </c>
      <c r="B59" s="191" t="s">
        <v>611</v>
      </c>
      <c r="C59" s="191" t="s">
        <v>587</v>
      </c>
      <c r="D59" s="191" t="s">
        <v>612</v>
      </c>
      <c r="E59" s="191" t="s">
        <v>612</v>
      </c>
    </row>
    <row r="60" spans="1:5">
      <c r="A60" s="191">
        <v>59</v>
      </c>
      <c r="B60" s="191" t="s">
        <v>614</v>
      </c>
      <c r="C60" s="191" t="s">
        <v>587</v>
      </c>
      <c r="D60" s="191" t="s">
        <v>613</v>
      </c>
      <c r="E60" s="191" t="s">
        <v>613</v>
      </c>
    </row>
    <row r="61" spans="1:5">
      <c r="A61" s="191">
        <v>60</v>
      </c>
      <c r="B61" s="191" t="s">
        <v>615</v>
      </c>
      <c r="C61" s="191" t="s">
        <v>587</v>
      </c>
      <c r="D61" s="191" t="s">
        <v>616</v>
      </c>
      <c r="E61" s="191" t="s">
        <v>617</v>
      </c>
    </row>
    <row r="62" spans="1:5">
      <c r="A62" s="191">
        <v>61</v>
      </c>
      <c r="B62" s="191" t="s">
        <v>698</v>
      </c>
      <c r="C62" s="191" t="s">
        <v>674</v>
      </c>
      <c r="D62" s="191" t="s">
        <v>697</v>
      </c>
      <c r="E62" s="191" t="s">
        <v>699</v>
      </c>
    </row>
    <row r="63" spans="1:5">
      <c r="A63" s="191">
        <v>62</v>
      </c>
      <c r="B63" s="191" t="s">
        <v>1427</v>
      </c>
      <c r="C63" s="191" t="s">
        <v>1428</v>
      </c>
      <c r="D63" s="191"/>
      <c r="E63" s="191"/>
    </row>
    <row r="64" spans="1:5">
      <c r="A64" s="191">
        <v>63</v>
      </c>
      <c r="B64" s="191" t="s">
        <v>1430</v>
      </c>
      <c r="C64" s="191" t="s">
        <v>1428</v>
      </c>
      <c r="D64" s="191"/>
      <c r="E64" s="191"/>
    </row>
    <row r="65" spans="1:5">
      <c r="A65" s="191">
        <v>64</v>
      </c>
      <c r="B65" s="191" t="s">
        <v>1432</v>
      </c>
      <c r="C65" s="191" t="s">
        <v>1428</v>
      </c>
      <c r="D65" s="191"/>
      <c r="E65" s="191"/>
    </row>
    <row r="66" spans="1:5">
      <c r="A66" s="191">
        <v>65</v>
      </c>
      <c r="B66" s="191" t="s">
        <v>1435</v>
      </c>
      <c r="C66" s="191" t="s">
        <v>1428</v>
      </c>
      <c r="D66" s="191"/>
      <c r="E66" s="191"/>
    </row>
    <row r="67" spans="1:5">
      <c r="A67" s="191">
        <v>66</v>
      </c>
      <c r="B67" s="191" t="s">
        <v>1438</v>
      </c>
      <c r="C67" s="191" t="s">
        <v>1428</v>
      </c>
      <c r="D67" s="191"/>
      <c r="E67" s="191"/>
    </row>
    <row r="68" spans="1:5">
      <c r="A68" s="191">
        <v>67</v>
      </c>
      <c r="B68" s="191" t="s">
        <v>1440</v>
      </c>
      <c r="C68" s="191" t="s">
        <v>1428</v>
      </c>
      <c r="D68" s="191" t="s">
        <v>1441</v>
      </c>
      <c r="E68" s="191" t="s">
        <v>1441</v>
      </c>
    </row>
    <row r="69" spans="1:5">
      <c r="A69" s="191">
        <v>68</v>
      </c>
      <c r="B69" s="191" t="s">
        <v>1444</v>
      </c>
      <c r="C69" s="191" t="s">
        <v>1428</v>
      </c>
      <c r="D69" s="191" t="s">
        <v>1445</v>
      </c>
      <c r="E69" s="191" t="s">
        <v>1445</v>
      </c>
    </row>
    <row r="70" spans="1:5">
      <c r="A70" s="191">
        <v>69</v>
      </c>
      <c r="B70" s="191" t="s">
        <v>1446</v>
      </c>
      <c r="C70" s="191" t="s">
        <v>1428</v>
      </c>
      <c r="D70" s="191"/>
      <c r="E70" s="191"/>
    </row>
    <row r="71" spans="1:5">
      <c r="A71" s="191">
        <v>70</v>
      </c>
      <c r="B71" s="191" t="s">
        <v>770</v>
      </c>
      <c r="C71" s="191" t="s">
        <v>327</v>
      </c>
      <c r="D71" s="191" t="s">
        <v>769</v>
      </c>
      <c r="E71" s="191" t="s">
        <v>771</v>
      </c>
    </row>
    <row r="72" spans="1:5">
      <c r="A72" s="191">
        <v>71</v>
      </c>
      <c r="B72" s="191" t="s">
        <v>773</v>
      </c>
      <c r="C72" s="191" t="s">
        <v>327</v>
      </c>
      <c r="D72" s="191" t="s">
        <v>774</v>
      </c>
      <c r="E72" s="191" t="s">
        <v>774</v>
      </c>
    </row>
    <row r="73" spans="1:5">
      <c r="A73" s="191">
        <v>72</v>
      </c>
      <c r="B73" s="191" t="s">
        <v>536</v>
      </c>
      <c r="C73" s="191" t="s">
        <v>526</v>
      </c>
      <c r="D73" s="191"/>
      <c r="E73" s="191" t="s">
        <v>537</v>
      </c>
    </row>
    <row r="74" spans="1:5">
      <c r="A74" s="191">
        <v>73</v>
      </c>
      <c r="B74" s="191" t="s">
        <v>539</v>
      </c>
      <c r="C74" s="191" t="s">
        <v>526</v>
      </c>
      <c r="D74" s="191"/>
      <c r="E74" s="191" t="s">
        <v>540</v>
      </c>
    </row>
    <row r="75" spans="1:5">
      <c r="A75" s="191">
        <v>74</v>
      </c>
      <c r="B75" s="191" t="s">
        <v>1448</v>
      </c>
      <c r="C75" s="191" t="s">
        <v>1449</v>
      </c>
      <c r="D75" s="191" t="s">
        <v>1450</v>
      </c>
      <c r="E75" s="191" t="s">
        <v>1450</v>
      </c>
    </row>
    <row r="76" spans="1:5">
      <c r="A76" s="191">
        <v>75</v>
      </c>
      <c r="B76" s="191" t="s">
        <v>1451</v>
      </c>
      <c r="C76" s="191" t="s">
        <v>1449</v>
      </c>
      <c r="D76" s="191" t="s">
        <v>1452</v>
      </c>
      <c r="E76" s="191" t="s">
        <v>1452</v>
      </c>
    </row>
    <row r="77" spans="1:5">
      <c r="A77" s="191">
        <v>76</v>
      </c>
      <c r="B77" s="191" t="s">
        <v>1454</v>
      </c>
      <c r="C77" s="191" t="s">
        <v>1449</v>
      </c>
      <c r="D77" s="191" t="s">
        <v>1455</v>
      </c>
      <c r="E77" s="191" t="s">
        <v>1455</v>
      </c>
    </row>
    <row r="78" spans="1:5">
      <c r="A78" s="191">
        <v>77</v>
      </c>
      <c r="B78" s="191" t="s">
        <v>1456</v>
      </c>
      <c r="C78" s="191" t="s">
        <v>1449</v>
      </c>
      <c r="D78" s="191" t="s">
        <v>1457</v>
      </c>
      <c r="E78" s="191" t="s">
        <v>1457</v>
      </c>
    </row>
    <row r="79" spans="1:5">
      <c r="A79" s="191">
        <v>78</v>
      </c>
      <c r="B79" s="191" t="s">
        <v>1458</v>
      </c>
      <c r="C79" s="191" t="s">
        <v>1449</v>
      </c>
      <c r="D79" s="191" t="s">
        <v>1459</v>
      </c>
      <c r="E79" s="191" t="s">
        <v>1459</v>
      </c>
    </row>
    <row r="80" spans="1:5">
      <c r="A80" s="191">
        <v>79</v>
      </c>
      <c r="B80" s="191" t="s">
        <v>621</v>
      </c>
      <c r="C80" s="191" t="s">
        <v>587</v>
      </c>
      <c r="D80" s="191" t="s">
        <v>622</v>
      </c>
      <c r="E80" s="191" t="s">
        <v>622</v>
      </c>
    </row>
    <row r="81" spans="1:5">
      <c r="A81" s="191">
        <v>80</v>
      </c>
      <c r="B81" s="191" t="s">
        <v>624</v>
      </c>
      <c r="C81" s="191" t="s">
        <v>587</v>
      </c>
      <c r="D81" s="191" t="s">
        <v>1381</v>
      </c>
      <c r="E81" s="191" t="s">
        <v>1381</v>
      </c>
    </row>
    <row r="82" spans="1:5">
      <c r="A82" s="191">
        <v>81</v>
      </c>
      <c r="B82" s="191" t="s">
        <v>624</v>
      </c>
      <c r="C82" s="191" t="s">
        <v>327</v>
      </c>
      <c r="D82" s="191" t="s">
        <v>1381</v>
      </c>
      <c r="E82" s="191" t="s">
        <v>1381</v>
      </c>
    </row>
    <row r="83" spans="1:5">
      <c r="A83" s="191">
        <v>82</v>
      </c>
      <c r="B83" s="191" t="s">
        <v>627</v>
      </c>
      <c r="C83" s="191" t="s">
        <v>587</v>
      </c>
      <c r="D83" s="191" t="s">
        <v>1526</v>
      </c>
      <c r="E83" s="191" t="s">
        <v>1526</v>
      </c>
    </row>
    <row r="84" spans="1:5">
      <c r="A84" s="191">
        <v>83</v>
      </c>
      <c r="B84" s="191" t="s">
        <v>455</v>
      </c>
      <c r="C84" s="191" t="s">
        <v>405</v>
      </c>
      <c r="D84" s="191" t="s">
        <v>456</v>
      </c>
      <c r="E84" s="191" t="s">
        <v>456</v>
      </c>
    </row>
    <row r="85" spans="1:5">
      <c r="A85" s="191">
        <v>84</v>
      </c>
      <c r="B85" s="191" t="s">
        <v>440</v>
      </c>
      <c r="C85" s="191" t="s">
        <v>327</v>
      </c>
      <c r="D85" s="191" t="s">
        <v>441</v>
      </c>
      <c r="E85" s="191" t="s">
        <v>441</v>
      </c>
    </row>
    <row r="86" spans="1:5">
      <c r="A86" s="191">
        <v>85</v>
      </c>
      <c r="B86" s="191" t="s">
        <v>479</v>
      </c>
      <c r="C86" s="191" t="s">
        <v>405</v>
      </c>
      <c r="D86" s="191" t="s">
        <v>480</v>
      </c>
      <c r="E86" s="191" t="s">
        <v>480</v>
      </c>
    </row>
    <row r="87" spans="1:5">
      <c r="A87" s="191">
        <v>86</v>
      </c>
      <c r="B87" s="191" t="s">
        <v>482</v>
      </c>
      <c r="C87" s="191" t="s">
        <v>405</v>
      </c>
      <c r="D87" s="191" t="s">
        <v>481</v>
      </c>
      <c r="E87" s="191" t="s">
        <v>481</v>
      </c>
    </row>
    <row r="88" spans="1:5">
      <c r="A88" s="191">
        <v>87</v>
      </c>
      <c r="B88" s="191" t="s">
        <v>593</v>
      </c>
      <c r="C88" s="191" t="s">
        <v>587</v>
      </c>
      <c r="D88" s="191" t="s">
        <v>594</v>
      </c>
      <c r="E88" s="191" t="s">
        <v>594</v>
      </c>
    </row>
    <row r="89" spans="1:5">
      <c r="A89" s="191">
        <v>88</v>
      </c>
      <c r="B89" s="191" t="s">
        <v>629</v>
      </c>
      <c r="C89" s="191" t="s">
        <v>587</v>
      </c>
      <c r="D89" s="191" t="s">
        <v>1527</v>
      </c>
      <c r="E89" s="191" t="s">
        <v>1527</v>
      </c>
    </row>
    <row r="90" spans="1:5">
      <c r="A90" s="191">
        <v>89</v>
      </c>
      <c r="B90" s="191" t="s">
        <v>632</v>
      </c>
      <c r="C90" s="191" t="s">
        <v>587</v>
      </c>
      <c r="D90" s="191" t="s">
        <v>633</v>
      </c>
      <c r="E90" s="191" t="s">
        <v>633</v>
      </c>
    </row>
    <row r="91" spans="1:5">
      <c r="A91" s="191">
        <v>90</v>
      </c>
      <c r="B91" s="191" t="s">
        <v>484</v>
      </c>
      <c r="C91" s="191" t="s">
        <v>405</v>
      </c>
      <c r="D91" s="191" t="s">
        <v>483</v>
      </c>
      <c r="E91" s="191" t="s">
        <v>483</v>
      </c>
    </row>
    <row r="92" spans="1:5">
      <c r="A92" s="191">
        <v>91</v>
      </c>
      <c r="B92" s="191" t="s">
        <v>635</v>
      </c>
      <c r="C92" s="191" t="s">
        <v>587</v>
      </c>
      <c r="D92" s="191" t="s">
        <v>1530</v>
      </c>
      <c r="E92" s="191"/>
    </row>
    <row r="93" spans="1:5">
      <c r="A93" s="191">
        <v>92</v>
      </c>
      <c r="B93" s="191" t="s">
        <v>638</v>
      </c>
      <c r="C93" s="191" t="s">
        <v>587</v>
      </c>
      <c r="D93" s="191" t="s">
        <v>1532</v>
      </c>
      <c r="E93" s="191"/>
    </row>
    <row r="94" spans="1:5">
      <c r="A94" s="191">
        <v>93</v>
      </c>
      <c r="B94" s="191" t="s">
        <v>640</v>
      </c>
      <c r="C94" s="191" t="s">
        <v>587</v>
      </c>
      <c r="D94" s="191" t="s">
        <v>1533</v>
      </c>
      <c r="E94" s="191" t="s">
        <v>1533</v>
      </c>
    </row>
    <row r="95" spans="1:5">
      <c r="A95" s="191">
        <v>94</v>
      </c>
      <c r="B95" s="191" t="s">
        <v>643</v>
      </c>
      <c r="C95" s="191" t="s">
        <v>587</v>
      </c>
      <c r="D95" s="191" t="s">
        <v>1535</v>
      </c>
      <c r="E95" s="191" t="s">
        <v>1535</v>
      </c>
    </row>
    <row r="96" spans="1:5">
      <c r="A96" s="191">
        <v>95</v>
      </c>
      <c r="B96" s="191" t="s">
        <v>646</v>
      </c>
      <c r="C96" s="191" t="s">
        <v>587</v>
      </c>
      <c r="D96" s="191" t="s">
        <v>647</v>
      </c>
      <c r="E96" s="191" t="s">
        <v>648</v>
      </c>
    </row>
    <row r="97" spans="1:5">
      <c r="A97" s="191">
        <v>96</v>
      </c>
      <c r="B97" s="191" t="s">
        <v>473</v>
      </c>
      <c r="C97" s="191" t="s">
        <v>427</v>
      </c>
      <c r="D97" s="191" t="s">
        <v>474</v>
      </c>
      <c r="E97" s="191"/>
    </row>
    <row r="98" spans="1:5">
      <c r="A98" s="191">
        <v>97</v>
      </c>
      <c r="B98" s="191" t="s">
        <v>404</v>
      </c>
      <c r="C98" s="191" t="s">
        <v>405</v>
      </c>
      <c r="D98" s="191" t="s">
        <v>406</v>
      </c>
      <c r="E98" s="191" t="s">
        <v>406</v>
      </c>
    </row>
    <row r="99" spans="1:5">
      <c r="A99" s="191">
        <v>98</v>
      </c>
      <c r="B99" s="191" t="s">
        <v>650</v>
      </c>
      <c r="C99" s="191" t="s">
        <v>587</v>
      </c>
      <c r="D99" s="191" t="s">
        <v>651</v>
      </c>
      <c r="E99" s="191" t="s">
        <v>651</v>
      </c>
    </row>
    <row r="100" spans="1:5">
      <c r="A100" s="191">
        <v>99</v>
      </c>
      <c r="B100" s="191" t="s">
        <v>653</v>
      </c>
      <c r="C100" s="191" t="s">
        <v>587</v>
      </c>
      <c r="D100" s="191" t="s">
        <v>654</v>
      </c>
      <c r="E100" s="191" t="s">
        <v>655</v>
      </c>
    </row>
    <row r="101" spans="1:5">
      <c r="A101" s="191">
        <v>100</v>
      </c>
      <c r="B101" s="191" t="s">
        <v>586</v>
      </c>
      <c r="C101" s="191" t="s">
        <v>587</v>
      </c>
      <c r="D101" s="191" t="s">
        <v>588</v>
      </c>
      <c r="E101" s="191" t="s">
        <v>588</v>
      </c>
    </row>
    <row r="102" spans="1:5">
      <c r="A102" s="191">
        <v>101</v>
      </c>
      <c r="B102" s="191" t="s">
        <v>671</v>
      </c>
      <c r="C102" s="191" t="s">
        <v>327</v>
      </c>
      <c r="D102" s="191" t="s">
        <v>672</v>
      </c>
      <c r="E102" s="191" t="s">
        <v>673</v>
      </c>
    </row>
    <row r="103" spans="1:5">
      <c r="A103" s="191">
        <v>102</v>
      </c>
      <c r="B103" s="191" t="s">
        <v>657</v>
      </c>
      <c r="C103" s="191" t="s">
        <v>587</v>
      </c>
      <c r="D103" s="191" t="s">
        <v>656</v>
      </c>
      <c r="E103" s="191" t="s">
        <v>656</v>
      </c>
    </row>
    <row r="104" spans="1:5">
      <c r="A104" s="191">
        <v>103</v>
      </c>
      <c r="B104" s="191" t="s">
        <v>499</v>
      </c>
      <c r="C104" s="191" t="s">
        <v>292</v>
      </c>
      <c r="D104" s="191" t="s">
        <v>500</v>
      </c>
      <c r="E104" s="191" t="s">
        <v>500</v>
      </c>
    </row>
    <row r="105" spans="1:5">
      <c r="A105" s="191">
        <v>104</v>
      </c>
      <c r="B105" s="191" t="s">
        <v>486</v>
      </c>
      <c r="C105" s="191" t="s">
        <v>405</v>
      </c>
      <c r="D105" s="191" t="s">
        <v>487</v>
      </c>
      <c r="E105" s="191" t="s">
        <v>487</v>
      </c>
    </row>
    <row r="106" spans="1:5">
      <c r="A106" s="191">
        <v>105</v>
      </c>
      <c r="B106" s="191" t="s">
        <v>659</v>
      </c>
      <c r="C106" s="191" t="s">
        <v>587</v>
      </c>
      <c r="D106" s="191" t="s">
        <v>660</v>
      </c>
      <c r="E106" s="191" t="s">
        <v>660</v>
      </c>
    </row>
    <row r="107" spans="1:5">
      <c r="A107" s="191">
        <v>106</v>
      </c>
      <c r="B107" s="191" t="s">
        <v>329</v>
      </c>
      <c r="C107" s="191" t="s">
        <v>282</v>
      </c>
      <c r="D107" s="191" t="s">
        <v>330</v>
      </c>
      <c r="E107" s="191" t="s">
        <v>330</v>
      </c>
    </row>
    <row r="108" spans="1:5">
      <c r="A108" s="191">
        <v>107</v>
      </c>
      <c r="B108" s="191" t="s">
        <v>1383</v>
      </c>
      <c r="C108" s="191" t="s">
        <v>327</v>
      </c>
      <c r="D108" s="191" t="s">
        <v>1384</v>
      </c>
      <c r="E108" s="191" t="s">
        <v>1384</v>
      </c>
    </row>
    <row r="109" spans="1:5">
      <c r="A109" s="191">
        <v>108</v>
      </c>
      <c r="B109" s="191" t="s">
        <v>1385</v>
      </c>
      <c r="C109" s="191" t="s">
        <v>327</v>
      </c>
      <c r="D109" s="191" t="s">
        <v>1386</v>
      </c>
      <c r="E109" s="191" t="s">
        <v>1386</v>
      </c>
    </row>
    <row r="110" spans="1:5">
      <c r="A110" s="191">
        <v>109</v>
      </c>
      <c r="B110" s="191" t="s">
        <v>1388</v>
      </c>
      <c r="C110" s="191" t="s">
        <v>327</v>
      </c>
      <c r="D110" s="191" t="s">
        <v>1389</v>
      </c>
      <c r="E110" s="191" t="s">
        <v>1389</v>
      </c>
    </row>
    <row r="111" spans="1:5">
      <c r="A111" s="191">
        <v>110</v>
      </c>
      <c r="B111" s="191" t="s">
        <v>1391</v>
      </c>
      <c r="C111" s="191" t="s">
        <v>327</v>
      </c>
      <c r="D111" s="191" t="s">
        <v>1392</v>
      </c>
      <c r="E111" s="191" t="s">
        <v>1392</v>
      </c>
    </row>
    <row r="112" spans="1:5">
      <c r="A112" s="191">
        <v>111</v>
      </c>
      <c r="B112" s="191" t="s">
        <v>701</v>
      </c>
      <c r="C112" s="191" t="s">
        <v>674</v>
      </c>
      <c r="D112" s="191" t="s">
        <v>1340</v>
      </c>
      <c r="E112" s="191" t="s">
        <v>1340</v>
      </c>
    </row>
    <row r="113" spans="1:5">
      <c r="A113" s="191">
        <v>112</v>
      </c>
      <c r="B113" s="191" t="s">
        <v>1395</v>
      </c>
      <c r="C113" s="191" t="s">
        <v>327</v>
      </c>
      <c r="D113" s="191" t="s">
        <v>1396</v>
      </c>
      <c r="E113" s="191" t="s">
        <v>1396</v>
      </c>
    </row>
    <row r="114" spans="1:5">
      <c r="A114" s="191">
        <v>113</v>
      </c>
      <c r="B114" s="191" t="s">
        <v>291</v>
      </c>
      <c r="C114" s="191" t="s">
        <v>292</v>
      </c>
      <c r="D114" s="191" t="s">
        <v>293</v>
      </c>
      <c r="E114" s="191" t="s">
        <v>293</v>
      </c>
    </row>
    <row r="115" spans="1:5">
      <c r="A115" s="191">
        <v>114</v>
      </c>
      <c r="B115" s="191" t="s">
        <v>704</v>
      </c>
      <c r="C115" s="191" t="s">
        <v>674</v>
      </c>
      <c r="D115" s="191" t="s">
        <v>1341</v>
      </c>
      <c r="E115" s="191" t="s">
        <v>1341</v>
      </c>
    </row>
    <row r="116" spans="1:5">
      <c r="A116" s="191">
        <v>115</v>
      </c>
      <c r="B116" s="191" t="s">
        <v>389</v>
      </c>
      <c r="C116" s="191" t="s">
        <v>390</v>
      </c>
      <c r="D116" s="191" t="s">
        <v>391</v>
      </c>
      <c r="E116" s="191" t="s">
        <v>391</v>
      </c>
    </row>
    <row r="117" spans="1:5">
      <c r="A117" s="191">
        <v>116</v>
      </c>
      <c r="B117" s="191" t="s">
        <v>418</v>
      </c>
      <c r="C117" s="191" t="s">
        <v>390</v>
      </c>
      <c r="D117" s="191" t="s">
        <v>419</v>
      </c>
      <c r="E117" s="191" t="s">
        <v>419</v>
      </c>
    </row>
    <row r="118" spans="1:5">
      <c r="A118" s="191">
        <v>117</v>
      </c>
      <c r="B118" s="191" t="s">
        <v>422</v>
      </c>
      <c r="C118" s="191" t="s">
        <v>390</v>
      </c>
      <c r="D118" s="191" t="s">
        <v>423</v>
      </c>
      <c r="E118" s="191" t="s">
        <v>423</v>
      </c>
    </row>
    <row r="119" spans="1:5">
      <c r="A119" s="191">
        <v>118</v>
      </c>
      <c r="B119" s="191" t="s">
        <v>394</v>
      </c>
      <c r="C119" s="191" t="s">
        <v>327</v>
      </c>
      <c r="D119" s="191" t="s">
        <v>395</v>
      </c>
      <c r="E119" s="191" t="s">
        <v>396</v>
      </c>
    </row>
    <row r="120" spans="1:5">
      <c r="A120" s="191">
        <v>119</v>
      </c>
      <c r="B120" s="191" t="s">
        <v>425</v>
      </c>
      <c r="C120" s="191" t="s">
        <v>327</v>
      </c>
      <c r="D120" s="191" t="s">
        <v>426</v>
      </c>
      <c r="E120" s="191" t="s">
        <v>426</v>
      </c>
    </row>
    <row r="121" spans="1:5">
      <c r="A121" s="191">
        <v>120</v>
      </c>
      <c r="B121" s="191" t="s">
        <v>398</v>
      </c>
      <c r="C121" s="191" t="s">
        <v>327</v>
      </c>
      <c r="D121" s="191" t="s">
        <v>399</v>
      </c>
      <c r="E121" s="191" t="s">
        <v>400</v>
      </c>
    </row>
    <row r="122" spans="1:5">
      <c r="A122" s="191">
        <v>121</v>
      </c>
      <c r="B122" s="191" t="s">
        <v>708</v>
      </c>
      <c r="C122" s="191" t="s">
        <v>674</v>
      </c>
      <c r="D122" s="191" t="s">
        <v>709</v>
      </c>
      <c r="E122" s="191" t="s">
        <v>709</v>
      </c>
    </row>
    <row r="123" spans="1:5">
      <c r="A123" s="191">
        <v>122</v>
      </c>
      <c r="B123" s="191" t="s">
        <v>1400</v>
      </c>
      <c r="C123" s="191" t="s">
        <v>327</v>
      </c>
      <c r="D123" s="191" t="s">
        <v>1401</v>
      </c>
      <c r="E123" s="191" t="s">
        <v>1402</v>
      </c>
    </row>
    <row r="124" spans="1:5">
      <c r="A124" s="191">
        <v>123</v>
      </c>
      <c r="B124" s="191" t="s">
        <v>346</v>
      </c>
      <c r="C124" s="191" t="s">
        <v>270</v>
      </c>
      <c r="D124" s="191" t="s">
        <v>347</v>
      </c>
      <c r="E124" s="191" t="s">
        <v>347</v>
      </c>
    </row>
    <row r="125" spans="1:5">
      <c r="A125" s="191">
        <v>124</v>
      </c>
      <c r="B125" s="191" t="s">
        <v>349</v>
      </c>
      <c r="C125" s="191" t="s">
        <v>270</v>
      </c>
      <c r="D125" s="191" t="s">
        <v>348</v>
      </c>
      <c r="E125" s="191" t="s">
        <v>348</v>
      </c>
    </row>
    <row r="126" spans="1:5">
      <c r="A126" s="191">
        <v>125</v>
      </c>
      <c r="B126" s="191" t="s">
        <v>353</v>
      </c>
      <c r="C126" s="191" t="s">
        <v>270</v>
      </c>
      <c r="D126" s="191" t="s">
        <v>1347</v>
      </c>
      <c r="E126" s="191" t="s">
        <v>1347</v>
      </c>
    </row>
    <row r="127" spans="1:5">
      <c r="A127" s="191">
        <v>126</v>
      </c>
      <c r="B127" s="191" t="s">
        <v>355</v>
      </c>
      <c r="C127" s="191" t="s">
        <v>270</v>
      </c>
      <c r="D127" s="191" t="s">
        <v>1348</v>
      </c>
      <c r="E127" s="191" t="s">
        <v>1348</v>
      </c>
    </row>
    <row r="128" spans="1:5">
      <c r="A128" s="191">
        <v>127</v>
      </c>
      <c r="B128" s="191" t="s">
        <v>711</v>
      </c>
      <c r="C128" s="191" t="s">
        <v>674</v>
      </c>
      <c r="D128" s="191" t="s">
        <v>1342</v>
      </c>
      <c r="E128" s="191" t="s">
        <v>1342</v>
      </c>
    </row>
    <row r="129" spans="1:5">
      <c r="A129" s="191">
        <v>128</v>
      </c>
      <c r="B129" s="191" t="s">
        <v>432</v>
      </c>
      <c r="C129" s="191" t="s">
        <v>282</v>
      </c>
      <c r="D129" s="191" t="s">
        <v>433</v>
      </c>
      <c r="E129" s="191" t="s">
        <v>433</v>
      </c>
    </row>
    <row r="130" spans="1:5">
      <c r="A130" s="191">
        <v>129</v>
      </c>
      <c r="B130" s="191" t="s">
        <v>755</v>
      </c>
      <c r="C130" s="191" t="s">
        <v>719</v>
      </c>
      <c r="D130" s="191" t="s">
        <v>754</v>
      </c>
      <c r="E130" s="191" t="s">
        <v>754</v>
      </c>
    </row>
    <row r="131" spans="1:5">
      <c r="A131" s="191">
        <v>130</v>
      </c>
      <c r="B131" s="191" t="s">
        <v>728</v>
      </c>
      <c r="C131" s="191" t="s">
        <v>719</v>
      </c>
      <c r="D131" s="191" t="s">
        <v>729</v>
      </c>
      <c r="E131" s="191" t="s">
        <v>729</v>
      </c>
    </row>
    <row r="132" spans="1:5">
      <c r="A132" s="191">
        <v>131</v>
      </c>
      <c r="B132" s="191" t="s">
        <v>758</v>
      </c>
      <c r="C132" s="191" t="s">
        <v>719</v>
      </c>
      <c r="D132" s="191" t="s">
        <v>757</v>
      </c>
      <c r="E132" s="191" t="s">
        <v>759</v>
      </c>
    </row>
    <row r="133" spans="1:5">
      <c r="A133" s="191">
        <v>132</v>
      </c>
      <c r="B133" s="191" t="s">
        <v>761</v>
      </c>
      <c r="C133" s="191" t="s">
        <v>719</v>
      </c>
      <c r="D133" s="191" t="s">
        <v>760</v>
      </c>
      <c r="E133" s="191" t="s">
        <v>762</v>
      </c>
    </row>
    <row r="134" spans="1:5">
      <c r="A134" s="191">
        <v>133</v>
      </c>
      <c r="B134" s="191" t="s">
        <v>763</v>
      </c>
      <c r="C134" s="191" t="s">
        <v>719</v>
      </c>
      <c r="D134" s="191" t="s">
        <v>764</v>
      </c>
      <c r="E134" s="191" t="s">
        <v>765</v>
      </c>
    </row>
    <row r="135" spans="1:5">
      <c r="A135" s="191">
        <v>134</v>
      </c>
      <c r="B135" s="191" t="s">
        <v>767</v>
      </c>
      <c r="C135" s="191" t="s">
        <v>719</v>
      </c>
      <c r="D135" s="191" t="s">
        <v>766</v>
      </c>
      <c r="E135" s="191" t="s">
        <v>768</v>
      </c>
    </row>
    <row r="136" spans="1:5">
      <c r="A136" s="191">
        <v>135</v>
      </c>
      <c r="B136" s="191" t="s">
        <v>1106</v>
      </c>
      <c r="C136" s="191" t="s">
        <v>1104</v>
      </c>
      <c r="D136" s="191" t="s">
        <v>1107</v>
      </c>
      <c r="E136" s="191" t="s">
        <v>1107</v>
      </c>
    </row>
    <row r="137" spans="1:5">
      <c r="A137" s="191">
        <v>136</v>
      </c>
      <c r="B137" s="191" t="s">
        <v>1109</v>
      </c>
      <c r="C137" s="191" t="s">
        <v>1104</v>
      </c>
      <c r="D137" s="191" t="s">
        <v>1110</v>
      </c>
      <c r="E137" s="191" t="s">
        <v>1110</v>
      </c>
    </row>
    <row r="138" spans="1:5">
      <c r="A138" s="191">
        <v>137</v>
      </c>
      <c r="B138" s="191" t="s">
        <v>1112</v>
      </c>
      <c r="C138" s="191" t="s">
        <v>1104</v>
      </c>
      <c r="D138" s="191" t="s">
        <v>1113</v>
      </c>
      <c r="E138" s="191" t="s">
        <v>1113</v>
      </c>
    </row>
    <row r="139" spans="1:5">
      <c r="A139" s="191">
        <v>138</v>
      </c>
      <c r="B139" s="191" t="s">
        <v>1115</v>
      </c>
      <c r="C139" s="191" t="s">
        <v>1104</v>
      </c>
      <c r="D139" s="191" t="s">
        <v>1116</v>
      </c>
      <c r="E139" s="191" t="s">
        <v>1116</v>
      </c>
    </row>
    <row r="140" spans="1:5">
      <c r="A140" s="191">
        <v>139</v>
      </c>
      <c r="B140" s="191" t="s">
        <v>1118</v>
      </c>
      <c r="C140" s="191" t="s">
        <v>1104</v>
      </c>
      <c r="D140" s="191" t="s">
        <v>1119</v>
      </c>
      <c r="E140" s="191" t="s">
        <v>1119</v>
      </c>
    </row>
    <row r="141" spans="1:5">
      <c r="A141" s="191">
        <v>140</v>
      </c>
      <c r="B141" s="191" t="s">
        <v>1121</v>
      </c>
      <c r="C141" s="191" t="s">
        <v>1104</v>
      </c>
      <c r="D141" s="191" t="s">
        <v>1122</v>
      </c>
      <c r="E141" s="191" t="s">
        <v>1122</v>
      </c>
    </row>
    <row r="142" spans="1:5">
      <c r="A142" s="191">
        <v>141</v>
      </c>
      <c r="B142" s="191" t="s">
        <v>1124</v>
      </c>
      <c r="C142" s="191" t="s">
        <v>1104</v>
      </c>
      <c r="D142" s="191" t="s">
        <v>1125</v>
      </c>
      <c r="E142" s="191" t="s">
        <v>1125</v>
      </c>
    </row>
    <row r="143" spans="1:5">
      <c r="A143" s="191">
        <v>142</v>
      </c>
      <c r="B143" s="191" t="s">
        <v>1127</v>
      </c>
      <c r="C143" s="191" t="s">
        <v>1104</v>
      </c>
      <c r="D143" s="191" t="s">
        <v>1128</v>
      </c>
      <c r="E143" s="191" t="s">
        <v>1128</v>
      </c>
    </row>
    <row r="144" spans="1:5">
      <c r="A144" s="191">
        <v>143</v>
      </c>
      <c r="B144" s="191" t="s">
        <v>1130</v>
      </c>
      <c r="C144" s="191" t="s">
        <v>1104</v>
      </c>
      <c r="D144" s="191" t="s">
        <v>1131</v>
      </c>
      <c r="E144" s="191" t="s">
        <v>1131</v>
      </c>
    </row>
    <row r="145" spans="1:5">
      <c r="A145" s="191">
        <v>144</v>
      </c>
      <c r="B145" s="191" t="s">
        <v>1133</v>
      </c>
      <c r="C145" s="191" t="s">
        <v>1104</v>
      </c>
      <c r="D145" s="191" t="s">
        <v>1134</v>
      </c>
      <c r="E145" s="191" t="s">
        <v>1134</v>
      </c>
    </row>
    <row r="146" spans="1:5">
      <c r="A146" s="191">
        <v>145</v>
      </c>
      <c r="B146" s="191" t="s">
        <v>1136</v>
      </c>
      <c r="C146" s="191" t="s">
        <v>1104</v>
      </c>
      <c r="D146" s="191" t="s">
        <v>1137</v>
      </c>
      <c r="E146" s="191" t="s">
        <v>1137</v>
      </c>
    </row>
    <row r="147" spans="1:5">
      <c r="A147" s="191">
        <v>146</v>
      </c>
      <c r="B147" s="191" t="s">
        <v>1139</v>
      </c>
      <c r="C147" s="191" t="s">
        <v>1104</v>
      </c>
      <c r="D147" s="191" t="s">
        <v>1140</v>
      </c>
      <c r="E147" s="191" t="s">
        <v>1140</v>
      </c>
    </row>
    <row r="148" spans="1:5">
      <c r="A148" s="191">
        <v>147</v>
      </c>
      <c r="B148" s="191" t="s">
        <v>1142</v>
      </c>
      <c r="C148" s="191" t="s">
        <v>1104</v>
      </c>
      <c r="D148" s="191" t="s">
        <v>1143</v>
      </c>
      <c r="E148" s="191" t="s">
        <v>1143</v>
      </c>
    </row>
    <row r="149" spans="1:5">
      <c r="A149" s="191">
        <v>148</v>
      </c>
      <c r="B149" s="191" t="s">
        <v>1144</v>
      </c>
      <c r="C149" s="191" t="s">
        <v>1104</v>
      </c>
      <c r="D149" s="191" t="s">
        <v>1145</v>
      </c>
      <c r="E149" s="191" t="s">
        <v>1145</v>
      </c>
    </row>
    <row r="150" spans="1:5">
      <c r="A150" s="191">
        <v>149</v>
      </c>
      <c r="B150" s="191" t="s">
        <v>333</v>
      </c>
      <c r="C150" s="191" t="s">
        <v>282</v>
      </c>
      <c r="D150" s="191" t="s">
        <v>334</v>
      </c>
      <c r="E150" s="191" t="s">
        <v>334</v>
      </c>
    </row>
    <row r="151" spans="1:5">
      <c r="A151" s="191">
        <v>150</v>
      </c>
      <c r="B151" s="191" t="s">
        <v>525</v>
      </c>
      <c r="C151" s="191" t="s">
        <v>526</v>
      </c>
      <c r="D151" s="191"/>
      <c r="E151" s="191" t="s">
        <v>527</v>
      </c>
    </row>
    <row r="152" spans="1:5">
      <c r="A152" s="191">
        <v>151</v>
      </c>
      <c r="B152" s="191" t="s">
        <v>310</v>
      </c>
      <c r="C152" s="191" t="s">
        <v>270</v>
      </c>
      <c r="D152" s="191" t="s">
        <v>311</v>
      </c>
      <c r="E152" s="191" t="s">
        <v>311</v>
      </c>
    </row>
    <row r="153" spans="1:5">
      <c r="A153" s="191">
        <v>152</v>
      </c>
      <c r="B153" s="191" t="s">
        <v>269</v>
      </c>
      <c r="C153" s="191" t="s">
        <v>270</v>
      </c>
      <c r="D153" s="191" t="s">
        <v>271</v>
      </c>
      <c r="E153" s="191" t="s">
        <v>271</v>
      </c>
    </row>
    <row r="154" spans="1:5">
      <c r="A154" s="191">
        <v>153</v>
      </c>
      <c r="B154" s="191" t="s">
        <v>1461</v>
      </c>
      <c r="C154" s="191" t="s">
        <v>1449</v>
      </c>
      <c r="D154" s="191" t="s">
        <v>1462</v>
      </c>
      <c r="E154" s="191" t="s">
        <v>1462</v>
      </c>
    </row>
    <row r="155" spans="1:5">
      <c r="A155" s="191">
        <v>154</v>
      </c>
      <c r="B155" s="191" t="s">
        <v>1097</v>
      </c>
      <c r="C155" s="191" t="s">
        <v>1098</v>
      </c>
      <c r="D155" s="191" t="s">
        <v>1099</v>
      </c>
      <c r="E155" s="191" t="s">
        <v>1099</v>
      </c>
    </row>
    <row r="156" spans="1:5">
      <c r="A156" s="191">
        <v>155</v>
      </c>
      <c r="B156" s="191" t="s">
        <v>1102</v>
      </c>
      <c r="C156" s="191" t="s">
        <v>1098</v>
      </c>
      <c r="D156" s="191" t="s">
        <v>1103</v>
      </c>
      <c r="E156" s="191" t="s">
        <v>1103</v>
      </c>
    </row>
    <row r="157" spans="1:5">
      <c r="A157" s="191">
        <v>156</v>
      </c>
      <c r="B157" s="191" t="s">
        <v>662</v>
      </c>
      <c r="C157" s="191" t="s">
        <v>663</v>
      </c>
      <c r="D157" s="191" t="s">
        <v>664</v>
      </c>
      <c r="E157" s="191" t="s">
        <v>664</v>
      </c>
    </row>
    <row r="158" spans="1:5">
      <c r="A158" s="191">
        <v>157</v>
      </c>
      <c r="B158" s="191" t="s">
        <v>1464</v>
      </c>
      <c r="C158" s="191" t="s">
        <v>1449</v>
      </c>
      <c r="D158" s="191" t="s">
        <v>1465</v>
      </c>
      <c r="E158" s="191" t="s">
        <v>1465</v>
      </c>
    </row>
    <row r="159" spans="1:5">
      <c r="A159" s="191">
        <v>158</v>
      </c>
      <c r="B159" s="191" t="s">
        <v>1467</v>
      </c>
      <c r="C159" s="191" t="s">
        <v>1449</v>
      </c>
      <c r="D159" s="191" t="s">
        <v>1468</v>
      </c>
      <c r="E159" s="191" t="s">
        <v>1468</v>
      </c>
    </row>
    <row r="160" spans="1:5">
      <c r="A160" s="191">
        <v>159</v>
      </c>
      <c r="B160" s="191" t="s">
        <v>1472</v>
      </c>
      <c r="C160" s="191" t="s">
        <v>1449</v>
      </c>
      <c r="D160" s="191" t="s">
        <v>1474</v>
      </c>
      <c r="E160" s="191" t="s">
        <v>1474</v>
      </c>
    </row>
    <row r="161" spans="1:5">
      <c r="A161" s="191">
        <v>160</v>
      </c>
      <c r="B161" s="191" t="s">
        <v>1476</v>
      </c>
      <c r="C161" s="191" t="s">
        <v>1449</v>
      </c>
      <c r="D161" s="191" t="s">
        <v>1477</v>
      </c>
      <c r="E161" s="191" t="s">
        <v>1477</v>
      </c>
    </row>
    <row r="162" spans="1:5">
      <c r="A162" s="191">
        <v>161</v>
      </c>
      <c r="B162" s="191" t="s">
        <v>1479</v>
      </c>
      <c r="C162" s="191" t="s">
        <v>1449</v>
      </c>
      <c r="D162" s="191" t="s">
        <v>1480</v>
      </c>
      <c r="E162" s="191" t="s">
        <v>1480</v>
      </c>
    </row>
    <row r="163" spans="1:5">
      <c r="A163" s="191">
        <v>162</v>
      </c>
      <c r="B163" s="191" t="s">
        <v>1483</v>
      </c>
      <c r="C163" s="191" t="s">
        <v>1449</v>
      </c>
      <c r="D163" s="191" t="s">
        <v>1484</v>
      </c>
      <c r="E163" s="191" t="s">
        <v>1484</v>
      </c>
    </row>
    <row r="164" spans="1:5">
      <c r="A164" s="191">
        <v>163</v>
      </c>
      <c r="B164" s="191" t="s">
        <v>378</v>
      </c>
      <c r="C164" s="191" t="s">
        <v>327</v>
      </c>
      <c r="D164" s="191" t="s">
        <v>379</v>
      </c>
      <c r="E164" s="191" t="s">
        <v>380</v>
      </c>
    </row>
    <row r="165" spans="1:5">
      <c r="A165" s="191">
        <v>164</v>
      </c>
      <c r="B165" s="191" t="s">
        <v>666</v>
      </c>
      <c r="C165" s="191" t="s">
        <v>663</v>
      </c>
      <c r="D165" s="191" t="s">
        <v>667</v>
      </c>
      <c r="E165" s="191" t="s">
        <v>667</v>
      </c>
    </row>
    <row r="166" spans="1:5">
      <c r="A166" s="191">
        <v>165</v>
      </c>
      <c r="B166" s="191" t="s">
        <v>778</v>
      </c>
      <c r="C166" s="191" t="s">
        <v>776</v>
      </c>
      <c r="D166" s="191" t="s">
        <v>777</v>
      </c>
      <c r="E166" s="191" t="s">
        <v>777</v>
      </c>
    </row>
    <row r="167" spans="1:5">
      <c r="A167" s="191">
        <v>166</v>
      </c>
      <c r="B167" s="191" t="s">
        <v>780</v>
      </c>
      <c r="C167" s="191" t="s">
        <v>776</v>
      </c>
      <c r="D167" s="191" t="s">
        <v>781</v>
      </c>
      <c r="E167" s="191" t="s">
        <v>782</v>
      </c>
    </row>
    <row r="168" spans="1:5">
      <c r="A168" s="191">
        <v>167</v>
      </c>
      <c r="B168" s="191" t="s">
        <v>784</v>
      </c>
      <c r="C168" s="191" t="s">
        <v>776</v>
      </c>
      <c r="D168" s="191" t="s">
        <v>783</v>
      </c>
      <c r="E168" s="191" t="s">
        <v>783</v>
      </c>
    </row>
    <row r="169" spans="1:5">
      <c r="A169" s="191">
        <v>168</v>
      </c>
      <c r="B169" s="191" t="s">
        <v>786</v>
      </c>
      <c r="C169" s="191" t="s">
        <v>776</v>
      </c>
      <c r="D169" s="191" t="s">
        <v>787</v>
      </c>
      <c r="E169" s="191" t="s">
        <v>788</v>
      </c>
    </row>
    <row r="170" spans="1:5">
      <c r="A170" s="191">
        <v>169</v>
      </c>
      <c r="B170" s="191" t="s">
        <v>791</v>
      </c>
      <c r="C170" s="191" t="s">
        <v>776</v>
      </c>
      <c r="D170" s="191" t="s">
        <v>792</v>
      </c>
      <c r="E170" s="191" t="s">
        <v>790</v>
      </c>
    </row>
    <row r="171" spans="1:5">
      <c r="A171" s="191">
        <v>170</v>
      </c>
      <c r="B171" s="191" t="s">
        <v>794</v>
      </c>
      <c r="C171" s="191" t="s">
        <v>776</v>
      </c>
      <c r="D171" s="191" t="s">
        <v>795</v>
      </c>
      <c r="E171" s="191" t="s">
        <v>796</v>
      </c>
    </row>
    <row r="172" spans="1:5">
      <c r="A172" s="191">
        <v>171</v>
      </c>
      <c r="B172" s="191" t="s">
        <v>797</v>
      </c>
      <c r="C172" s="191" t="s">
        <v>776</v>
      </c>
      <c r="D172" s="191" t="s">
        <v>796</v>
      </c>
      <c r="E172" s="191" t="s">
        <v>796</v>
      </c>
    </row>
    <row r="173" spans="1:5">
      <c r="A173" s="191">
        <v>172</v>
      </c>
      <c r="B173" s="191" t="s">
        <v>799</v>
      </c>
      <c r="C173" s="191" t="s">
        <v>776</v>
      </c>
      <c r="D173" s="191" t="s">
        <v>798</v>
      </c>
      <c r="E173" s="191" t="s">
        <v>798</v>
      </c>
    </row>
    <row r="174" spans="1:5">
      <c r="A174" s="191">
        <v>173</v>
      </c>
      <c r="B174" s="191" t="s">
        <v>801</v>
      </c>
      <c r="C174" s="191" t="s">
        <v>776</v>
      </c>
      <c r="D174" s="191" t="s">
        <v>802</v>
      </c>
      <c r="E174" s="191" t="s">
        <v>802</v>
      </c>
    </row>
    <row r="175" spans="1:5">
      <c r="A175" s="191">
        <v>174</v>
      </c>
      <c r="B175" s="191" t="s">
        <v>804</v>
      </c>
      <c r="C175" s="191" t="s">
        <v>776</v>
      </c>
      <c r="D175" s="191" t="s">
        <v>805</v>
      </c>
      <c r="E175" s="191" t="s">
        <v>806</v>
      </c>
    </row>
    <row r="176" spans="1:5">
      <c r="A176" s="191">
        <v>175</v>
      </c>
      <c r="B176" s="191" t="s">
        <v>808</v>
      </c>
      <c r="C176" s="191" t="s">
        <v>776</v>
      </c>
      <c r="D176" s="191" t="s">
        <v>809</v>
      </c>
      <c r="E176" s="191" t="s">
        <v>810</v>
      </c>
    </row>
    <row r="177" spans="1:5">
      <c r="A177" s="191">
        <v>176</v>
      </c>
      <c r="B177" s="191" t="s">
        <v>812</v>
      </c>
      <c r="C177" s="191" t="s">
        <v>776</v>
      </c>
      <c r="D177" s="191" t="s">
        <v>813</v>
      </c>
      <c r="E177" s="191" t="s">
        <v>814</v>
      </c>
    </row>
    <row r="178" spans="1:5">
      <c r="A178" s="191">
        <v>177</v>
      </c>
      <c r="B178" s="191" t="s">
        <v>1491</v>
      </c>
      <c r="C178" s="191" t="s">
        <v>1449</v>
      </c>
      <c r="D178" s="191" t="s">
        <v>1492</v>
      </c>
      <c r="E178" s="191" t="s">
        <v>1492</v>
      </c>
    </row>
    <row r="179" spans="1:5">
      <c r="A179" s="191">
        <v>178</v>
      </c>
      <c r="B179" s="191" t="s">
        <v>1493</v>
      </c>
      <c r="C179" s="191" t="s">
        <v>1449</v>
      </c>
      <c r="D179" s="191" t="s">
        <v>1494</v>
      </c>
      <c r="E179" s="191" t="s">
        <v>1494</v>
      </c>
    </row>
    <row r="180" spans="1:5">
      <c r="A180" s="191">
        <v>179</v>
      </c>
      <c r="B180" s="191" t="s">
        <v>1495</v>
      </c>
      <c r="C180" s="191" t="s">
        <v>1449</v>
      </c>
      <c r="D180" s="191" t="s">
        <v>1496</v>
      </c>
      <c r="E180" s="191" t="s">
        <v>1496</v>
      </c>
    </row>
    <row r="181" spans="1:5">
      <c r="A181" s="191">
        <v>180</v>
      </c>
      <c r="B181" s="191" t="s">
        <v>1404</v>
      </c>
      <c r="C181" s="191" t="s">
        <v>327</v>
      </c>
      <c r="D181" s="191" t="s">
        <v>1405</v>
      </c>
      <c r="E181" s="191" t="s">
        <v>1405</v>
      </c>
    </row>
    <row r="182" spans="1:5">
      <c r="A182" s="191">
        <v>181</v>
      </c>
      <c r="B182" s="191" t="s">
        <v>1497</v>
      </c>
      <c r="C182" s="191" t="s">
        <v>1449</v>
      </c>
      <c r="D182" s="191" t="s">
        <v>1498</v>
      </c>
      <c r="E182" s="191" t="s">
        <v>1498</v>
      </c>
    </row>
    <row r="183" spans="1:5">
      <c r="A183" s="191">
        <v>182</v>
      </c>
      <c r="B183" s="191" t="s">
        <v>364</v>
      </c>
      <c r="C183" s="191" t="s">
        <v>270</v>
      </c>
      <c r="D183" s="191" t="s">
        <v>365</v>
      </c>
      <c r="E183" s="191" t="s">
        <v>365</v>
      </c>
    </row>
    <row r="184" spans="1:5">
      <c r="A184" s="191">
        <v>183</v>
      </c>
      <c r="B184" s="191" t="s">
        <v>1499</v>
      </c>
      <c r="C184" s="191" t="s">
        <v>1449</v>
      </c>
      <c r="D184" s="191" t="s">
        <v>1500</v>
      </c>
      <c r="E184" s="191" t="s">
        <v>1500</v>
      </c>
    </row>
    <row r="185" spans="1:5">
      <c r="A185" s="191">
        <v>184</v>
      </c>
      <c r="B185" s="191" t="s">
        <v>1502</v>
      </c>
      <c r="C185" s="191" t="s">
        <v>1449</v>
      </c>
      <c r="D185" s="191" t="s">
        <v>1503</v>
      </c>
      <c r="E185" s="191" t="s">
        <v>1503</v>
      </c>
    </row>
    <row r="186" spans="1:5">
      <c r="A186" s="191">
        <v>185</v>
      </c>
      <c r="B186" s="191" t="s">
        <v>1504</v>
      </c>
      <c r="C186" s="191" t="s">
        <v>1449</v>
      </c>
      <c r="D186" s="191" t="s">
        <v>1505</v>
      </c>
      <c r="E186" s="191" t="s">
        <v>1505</v>
      </c>
    </row>
    <row r="187" spans="1:5">
      <c r="A187" s="191">
        <v>186</v>
      </c>
      <c r="B187" s="191" t="s">
        <v>1506</v>
      </c>
      <c r="C187" s="191" t="s">
        <v>1449</v>
      </c>
      <c r="D187" s="191" t="s">
        <v>1507</v>
      </c>
      <c r="E187" s="191" t="s">
        <v>1507</v>
      </c>
    </row>
    <row r="188" spans="1:5">
      <c r="A188" s="191">
        <v>187</v>
      </c>
      <c r="B188" s="191" t="s">
        <v>1508</v>
      </c>
      <c r="C188" s="191" t="s">
        <v>1449</v>
      </c>
      <c r="D188" s="191" t="s">
        <v>1509</v>
      </c>
      <c r="E188" s="191" t="s">
        <v>1509</v>
      </c>
    </row>
    <row r="189" spans="1:5">
      <c r="A189" s="191">
        <v>188</v>
      </c>
      <c r="B189" s="191" t="s">
        <v>1510</v>
      </c>
      <c r="C189" s="191" t="s">
        <v>1449</v>
      </c>
      <c r="D189" s="191" t="s">
        <v>1512</v>
      </c>
      <c r="E189" s="191" t="s">
        <v>1512</v>
      </c>
    </row>
    <row r="190" spans="1:5">
      <c r="A190" s="191">
        <v>189</v>
      </c>
      <c r="B190" s="191" t="s">
        <v>1513</v>
      </c>
      <c r="C190" s="191" t="s">
        <v>1449</v>
      </c>
      <c r="D190" s="191" t="s">
        <v>1514</v>
      </c>
      <c r="E190" s="191" t="s">
        <v>1514</v>
      </c>
    </row>
    <row r="191" spans="1:5">
      <c r="A191" s="191">
        <v>190</v>
      </c>
      <c r="B191" s="191" t="s">
        <v>1515</v>
      </c>
      <c r="C191" s="191" t="s">
        <v>1449</v>
      </c>
      <c r="D191" s="191" t="s">
        <v>1516</v>
      </c>
      <c r="E191" s="191" t="s">
        <v>1516</v>
      </c>
    </row>
    <row r="192" spans="1:5">
      <c r="A192" s="191">
        <v>191</v>
      </c>
      <c r="B192" s="191" t="s">
        <v>476</v>
      </c>
      <c r="C192" s="191" t="s">
        <v>427</v>
      </c>
      <c r="D192" s="191" t="s">
        <v>477</v>
      </c>
      <c r="E192" s="191"/>
    </row>
    <row r="193" spans="1:5">
      <c r="A193" s="191">
        <v>192</v>
      </c>
      <c r="B193" s="191" t="s">
        <v>281</v>
      </c>
      <c r="C193" s="191" t="s">
        <v>282</v>
      </c>
      <c r="D193" s="191" t="s">
        <v>283</v>
      </c>
      <c r="E193" s="191" t="s">
        <v>283</v>
      </c>
    </row>
    <row r="194" spans="1:5">
      <c r="A194" s="191">
        <v>193</v>
      </c>
      <c r="B194" s="191" t="s">
        <v>337</v>
      </c>
      <c r="C194" s="191" t="s">
        <v>282</v>
      </c>
      <c r="D194" s="191" t="s">
        <v>338</v>
      </c>
      <c r="E194" s="191" t="s">
        <v>338</v>
      </c>
    </row>
    <row r="195" spans="1:5">
      <c r="A195" s="191">
        <v>194</v>
      </c>
      <c r="B195" s="191" t="s">
        <v>340</v>
      </c>
      <c r="C195" s="191" t="s">
        <v>282</v>
      </c>
      <c r="D195" s="191" t="s">
        <v>341</v>
      </c>
      <c r="E195" s="191" t="s">
        <v>341</v>
      </c>
    </row>
    <row r="196" spans="1:5">
      <c r="A196" s="191">
        <v>195</v>
      </c>
      <c r="B196" s="191" t="s">
        <v>543</v>
      </c>
      <c r="C196" s="191" t="s">
        <v>526</v>
      </c>
      <c r="D196" s="191"/>
      <c r="E196" s="191" t="s">
        <v>544</v>
      </c>
    </row>
    <row r="197" spans="1:5">
      <c r="A197" s="191">
        <v>196</v>
      </c>
      <c r="B197" s="191" t="s">
        <v>320</v>
      </c>
      <c r="C197" s="191" t="s">
        <v>270</v>
      </c>
      <c r="D197" s="191" t="s">
        <v>321</v>
      </c>
      <c r="E197" s="191" t="s">
        <v>321</v>
      </c>
    </row>
    <row r="198" spans="1:5">
      <c r="A198" s="191">
        <v>197</v>
      </c>
      <c r="B198" s="191" t="s">
        <v>316</v>
      </c>
      <c r="C198" s="191" t="s">
        <v>270</v>
      </c>
      <c r="D198" s="191" t="s">
        <v>317</v>
      </c>
      <c r="E198" s="191" t="s">
        <v>317</v>
      </c>
    </row>
    <row r="199" spans="1:5">
      <c r="A199" s="191">
        <v>198</v>
      </c>
      <c r="B199" s="191" t="s">
        <v>343</v>
      </c>
      <c r="C199" s="191" t="s">
        <v>270</v>
      </c>
      <c r="D199" s="191" t="s">
        <v>344</v>
      </c>
      <c r="E199" s="191" t="s">
        <v>344</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7D295-FD7D-420B-8A05-9675BA276E6D}">
  <dimension ref="A1:H39"/>
  <sheetViews>
    <sheetView zoomScaleNormal="100" workbookViewId="0">
      <selection sqref="A1:G39"/>
    </sheetView>
  </sheetViews>
  <sheetFormatPr defaultRowHeight="13.2"/>
  <cols>
    <col min="2" max="2" width="20.109375" bestFit="1" customWidth="1"/>
    <col min="3" max="3" width="71.21875" customWidth="1"/>
  </cols>
  <sheetData>
    <row r="1" spans="1:8">
      <c r="A1" s="191"/>
      <c r="B1" s="191" t="s">
        <v>1666</v>
      </c>
      <c r="C1" s="191" t="s">
        <v>1667</v>
      </c>
      <c r="D1" s="191" t="s">
        <v>65</v>
      </c>
      <c r="E1" s="191" t="s">
        <v>1668</v>
      </c>
      <c r="F1" s="191" t="s">
        <v>1669</v>
      </c>
      <c r="G1" s="191" t="s">
        <v>1670</v>
      </c>
    </row>
    <row r="2" spans="1:8">
      <c r="A2" s="191">
        <v>1</v>
      </c>
      <c r="B2" s="191" t="s">
        <v>1671</v>
      </c>
      <c r="C2" s="191" t="s">
        <v>1672</v>
      </c>
      <c r="D2" s="191"/>
      <c r="E2" s="191"/>
      <c r="F2" s="191" t="s">
        <v>80</v>
      </c>
      <c r="G2" s="191" t="s">
        <v>80</v>
      </c>
      <c r="H2" t="e">
        <f>MATCH(B2,'EPA 2008 Macroinvertbrate'!AK231:AK368, 0)</f>
        <v>#N/A</v>
      </c>
    </row>
    <row r="3" spans="1:8">
      <c r="A3" s="191">
        <v>2</v>
      </c>
      <c r="B3" s="191" t="s">
        <v>1673</v>
      </c>
      <c r="C3" s="191" t="s">
        <v>1674</v>
      </c>
      <c r="D3" s="191" t="s">
        <v>1675</v>
      </c>
      <c r="E3" s="191"/>
      <c r="F3" s="191" t="s">
        <v>80</v>
      </c>
      <c r="G3" s="191" t="s">
        <v>80</v>
      </c>
      <c r="H3" s="386" t="e">
        <f>MATCH(B3,'EPA 2008 Macroinvertbrate'!AK232:AK369, 0)</f>
        <v>#N/A</v>
      </c>
    </row>
    <row r="4" spans="1:8">
      <c r="A4" s="191">
        <v>3</v>
      </c>
      <c r="B4" s="191" t="s">
        <v>1676</v>
      </c>
      <c r="C4" s="191" t="s">
        <v>1677</v>
      </c>
      <c r="D4" s="191" t="s">
        <v>1675</v>
      </c>
      <c r="E4" s="191"/>
      <c r="F4" s="191" t="s">
        <v>80</v>
      </c>
      <c r="G4" s="191" t="s">
        <v>80</v>
      </c>
      <c r="H4" s="386" t="e">
        <f>MATCH(B4,'EPA 2008 Macroinvertbrate'!AK233:AK370, 0)</f>
        <v>#N/A</v>
      </c>
    </row>
    <row r="5" spans="1:8">
      <c r="A5" s="191">
        <v>4</v>
      </c>
      <c r="B5" s="191" t="s">
        <v>1678</v>
      </c>
      <c r="C5" s="191" t="s">
        <v>1679</v>
      </c>
      <c r="D5" s="191" t="s">
        <v>1675</v>
      </c>
      <c r="E5" s="191"/>
      <c r="F5" s="191">
        <v>0</v>
      </c>
      <c r="G5" s="191">
        <v>100</v>
      </c>
      <c r="H5" s="386" t="e">
        <f>MATCH(B5,'EPA 2008 Macroinvertbrate'!AK234:AK371, 0)</f>
        <v>#N/A</v>
      </c>
    </row>
    <row r="6" spans="1:8">
      <c r="A6" s="191">
        <v>5</v>
      </c>
      <c r="B6" s="191" t="s">
        <v>1680</v>
      </c>
      <c r="C6" s="191" t="s">
        <v>1681</v>
      </c>
      <c r="D6" s="191" t="s">
        <v>1675</v>
      </c>
      <c r="E6" s="191"/>
      <c r="F6" s="191">
        <v>0</v>
      </c>
      <c r="G6" s="191">
        <v>100</v>
      </c>
      <c r="H6" s="386" t="e">
        <f>MATCH(B6,'EPA 2008 Macroinvertbrate'!AK235:AK372, 0)</f>
        <v>#N/A</v>
      </c>
    </row>
    <row r="7" spans="1:8">
      <c r="A7" s="191">
        <v>6</v>
      </c>
      <c r="B7" s="191" t="s">
        <v>1682</v>
      </c>
      <c r="C7" s="191" t="s">
        <v>1683</v>
      </c>
      <c r="D7" s="191" t="s">
        <v>1675</v>
      </c>
      <c r="E7" s="191"/>
      <c r="F7" s="191">
        <v>0</v>
      </c>
      <c r="G7" s="191" t="s">
        <v>80</v>
      </c>
      <c r="H7" s="386" t="e">
        <f>MATCH(B7,'EPA 2008 Macroinvertbrate'!AK236:AK373, 0)</f>
        <v>#N/A</v>
      </c>
    </row>
    <row r="8" spans="1:8">
      <c r="A8" s="191">
        <v>7</v>
      </c>
      <c r="B8" s="191" t="s">
        <v>1684</v>
      </c>
      <c r="C8" s="191" t="s">
        <v>1685</v>
      </c>
      <c r="D8" s="191" t="s">
        <v>1675</v>
      </c>
      <c r="E8" s="191"/>
      <c r="F8" s="191">
        <v>0</v>
      </c>
      <c r="G8" s="191">
        <v>100</v>
      </c>
      <c r="H8" s="386" t="e">
        <f>MATCH(B8,'EPA 2008 Macroinvertbrate'!AK237:AK374, 0)</f>
        <v>#N/A</v>
      </c>
    </row>
    <row r="9" spans="1:8">
      <c r="A9" s="191">
        <v>8</v>
      </c>
      <c r="B9" s="191" t="s">
        <v>1686</v>
      </c>
      <c r="C9" s="191" t="s">
        <v>1687</v>
      </c>
      <c r="D9" s="191" t="s">
        <v>1675</v>
      </c>
      <c r="E9" s="191"/>
      <c r="F9" s="191">
        <v>0</v>
      </c>
      <c r="G9" s="191">
        <v>10</v>
      </c>
      <c r="H9" s="386" t="e">
        <f>MATCH(B9,'EPA 2008 Macroinvertbrate'!AK238:AK375, 0)</f>
        <v>#N/A</v>
      </c>
    </row>
    <row r="10" spans="1:8">
      <c r="A10" s="191">
        <v>9</v>
      </c>
      <c r="B10" s="191" t="s">
        <v>113</v>
      </c>
      <c r="C10" s="191" t="s">
        <v>114</v>
      </c>
      <c r="D10" s="191"/>
      <c r="E10" s="191"/>
      <c r="F10" s="191" t="s">
        <v>80</v>
      </c>
      <c r="G10" s="191" t="s">
        <v>80</v>
      </c>
      <c r="H10" s="386" t="e">
        <f>MATCH(B10,'EPA 2008 Macroinvertbrate'!AK239:AK376, 0)</f>
        <v>#N/A</v>
      </c>
    </row>
    <row r="11" spans="1:8">
      <c r="A11" s="191">
        <v>10</v>
      </c>
      <c r="B11" s="191" t="s">
        <v>1688</v>
      </c>
      <c r="C11" s="191" t="s">
        <v>1689</v>
      </c>
      <c r="D11" s="191" t="s">
        <v>1675</v>
      </c>
      <c r="E11" s="191"/>
      <c r="F11" s="191">
        <v>0</v>
      </c>
      <c r="G11" s="191">
        <v>10</v>
      </c>
      <c r="H11" s="386" t="e">
        <f>MATCH(B11,'EPA 2008 Macroinvertbrate'!AK240:AK377, 0)</f>
        <v>#N/A</v>
      </c>
    </row>
    <row r="12" spans="1:8">
      <c r="A12" s="191">
        <v>11</v>
      </c>
      <c r="B12" s="191" t="s">
        <v>1690</v>
      </c>
      <c r="C12" s="191" t="s">
        <v>1691</v>
      </c>
      <c r="D12" s="191" t="s">
        <v>1675</v>
      </c>
      <c r="E12" s="191"/>
      <c r="F12" s="191">
        <v>0</v>
      </c>
      <c r="G12" s="191">
        <v>100</v>
      </c>
      <c r="H12" s="386" t="e">
        <f>MATCH(B12,'EPA 2008 Macroinvertbrate'!AK241:AK378, 0)</f>
        <v>#N/A</v>
      </c>
    </row>
    <row r="13" spans="1:8">
      <c r="A13" s="191">
        <v>12</v>
      </c>
      <c r="B13" s="191" t="s">
        <v>1692</v>
      </c>
      <c r="C13" s="191" t="s">
        <v>1693</v>
      </c>
      <c r="D13" s="191" t="s">
        <v>1675</v>
      </c>
      <c r="E13" s="191"/>
      <c r="F13" s="191">
        <v>0</v>
      </c>
      <c r="G13" s="191" t="s">
        <v>80</v>
      </c>
      <c r="H13" s="386" t="e">
        <f>MATCH(B13,'EPA 2008 Macroinvertbrate'!AK242:AK379, 0)</f>
        <v>#N/A</v>
      </c>
    </row>
    <row r="14" spans="1:8">
      <c r="A14" s="191">
        <v>13</v>
      </c>
      <c r="B14" s="191" t="s">
        <v>1694</v>
      </c>
      <c r="C14" s="191" t="s">
        <v>1695</v>
      </c>
      <c r="D14" s="191" t="s">
        <v>1675</v>
      </c>
      <c r="E14" s="191"/>
      <c r="F14" s="191">
        <v>0</v>
      </c>
      <c r="G14" s="191">
        <v>100</v>
      </c>
      <c r="H14" s="386" t="e">
        <f>MATCH(B14,'EPA 2008 Macroinvertbrate'!AK243:AK380, 0)</f>
        <v>#N/A</v>
      </c>
    </row>
    <row r="15" spans="1:8">
      <c r="A15" s="191">
        <v>14</v>
      </c>
      <c r="B15" s="191" t="s">
        <v>1696</v>
      </c>
      <c r="C15" s="191" t="s">
        <v>1697</v>
      </c>
      <c r="D15" s="191" t="s">
        <v>1675</v>
      </c>
      <c r="E15" s="191"/>
      <c r="F15" s="191">
        <v>0</v>
      </c>
      <c r="G15" s="191" t="s">
        <v>80</v>
      </c>
      <c r="H15" s="386" t="e">
        <f>MATCH(B15,'EPA 2008 Macroinvertbrate'!AK244:AK381, 0)</f>
        <v>#N/A</v>
      </c>
    </row>
    <row r="16" spans="1:8">
      <c r="A16" s="191">
        <v>15</v>
      </c>
      <c r="B16" s="191" t="s">
        <v>1698</v>
      </c>
      <c r="C16" s="191" t="s">
        <v>1699</v>
      </c>
      <c r="D16" s="191" t="s">
        <v>1675</v>
      </c>
      <c r="E16" s="191"/>
      <c r="F16" s="191">
        <v>0</v>
      </c>
      <c r="G16" s="191">
        <v>100</v>
      </c>
      <c r="H16" s="386" t="e">
        <f>MATCH(B16,'EPA 2008 Macroinvertbrate'!AK245:AK382, 0)</f>
        <v>#N/A</v>
      </c>
    </row>
    <row r="17" spans="1:8">
      <c r="A17" s="191">
        <v>16</v>
      </c>
      <c r="B17" s="191" t="s">
        <v>1700</v>
      </c>
      <c r="C17" s="191" t="s">
        <v>1701</v>
      </c>
      <c r="D17" s="191" t="s">
        <v>1675</v>
      </c>
      <c r="E17" s="191"/>
      <c r="F17" s="191">
        <v>0</v>
      </c>
      <c r="G17" s="191">
        <v>100</v>
      </c>
      <c r="H17" s="386" t="e">
        <f>MATCH(B17,'EPA 2008 Macroinvertbrate'!AK246:AK383, 0)</f>
        <v>#N/A</v>
      </c>
    </row>
    <row r="18" spans="1:8">
      <c r="A18" s="191">
        <v>17</v>
      </c>
      <c r="B18" s="191" t="s">
        <v>1702</v>
      </c>
      <c r="C18" s="191" t="s">
        <v>1703</v>
      </c>
      <c r="D18" s="191" t="s">
        <v>1675</v>
      </c>
      <c r="E18" s="191"/>
      <c r="F18" s="191">
        <v>0</v>
      </c>
      <c r="G18" s="191">
        <v>10</v>
      </c>
      <c r="H18" s="386" t="e">
        <f>MATCH(B18,'EPA 2008 Macroinvertbrate'!AK247:AK384, 0)</f>
        <v>#N/A</v>
      </c>
    </row>
    <row r="19" spans="1:8">
      <c r="A19" s="191">
        <v>18</v>
      </c>
      <c r="B19" s="191" t="s">
        <v>1704</v>
      </c>
      <c r="C19" s="191" t="s">
        <v>1705</v>
      </c>
      <c r="D19" s="191" t="s">
        <v>1675</v>
      </c>
      <c r="E19" s="191"/>
      <c r="F19" s="191">
        <v>0</v>
      </c>
      <c r="G19" s="191">
        <v>10</v>
      </c>
      <c r="H19" s="386" t="e">
        <f>MATCH(B19,'EPA 2008 Macroinvertbrate'!AK248:AK385, 0)</f>
        <v>#N/A</v>
      </c>
    </row>
    <row r="20" spans="1:8">
      <c r="A20" s="191">
        <v>19</v>
      </c>
      <c r="B20" s="191" t="s">
        <v>1706</v>
      </c>
      <c r="C20" s="191" t="s">
        <v>1707</v>
      </c>
      <c r="D20" s="191" t="s">
        <v>1675</v>
      </c>
      <c r="E20" s="191" t="s">
        <v>508</v>
      </c>
      <c r="F20" s="191">
        <v>0</v>
      </c>
      <c r="G20" s="191" t="s">
        <v>80</v>
      </c>
      <c r="H20" s="386" t="e">
        <f>MATCH(B20,'EPA 2008 Macroinvertbrate'!AK249:AK386, 0)</f>
        <v>#N/A</v>
      </c>
    </row>
    <row r="21" spans="1:8">
      <c r="A21" s="191">
        <v>20</v>
      </c>
      <c r="B21" s="191" t="s">
        <v>1708</v>
      </c>
      <c r="C21" s="191" t="s">
        <v>1709</v>
      </c>
      <c r="D21" s="191" t="s">
        <v>1675</v>
      </c>
      <c r="E21" s="191"/>
      <c r="F21" s="191">
        <v>0</v>
      </c>
      <c r="G21" s="191" t="s">
        <v>80</v>
      </c>
      <c r="H21" s="386" t="e">
        <f>MATCH(B21,'EPA 2008 Macroinvertbrate'!AK250:AK387, 0)</f>
        <v>#N/A</v>
      </c>
    </row>
    <row r="22" spans="1:8">
      <c r="A22" s="191">
        <v>21</v>
      </c>
      <c r="B22" s="191" t="s">
        <v>1710</v>
      </c>
      <c r="C22" s="191" t="s">
        <v>1709</v>
      </c>
      <c r="D22" s="191" t="s">
        <v>1675</v>
      </c>
      <c r="E22" s="191"/>
      <c r="F22" s="191">
        <v>0</v>
      </c>
      <c r="G22" s="191">
        <v>100</v>
      </c>
      <c r="H22" s="386" t="e">
        <f>MATCH(B22,'EPA 2008 Macroinvertbrate'!AK251:AK388, 0)</f>
        <v>#N/A</v>
      </c>
    </row>
    <row r="23" spans="1:8">
      <c r="A23" s="191">
        <v>22</v>
      </c>
      <c r="B23" s="191" t="s">
        <v>1711</v>
      </c>
      <c r="C23" s="191" t="s">
        <v>1712</v>
      </c>
      <c r="D23" s="191" t="s">
        <v>1675</v>
      </c>
      <c r="E23" s="191"/>
      <c r="F23" s="191">
        <v>0</v>
      </c>
      <c r="G23" s="191">
        <v>100</v>
      </c>
      <c r="H23" s="386" t="e">
        <f>MATCH(B23,'EPA 2008 Macroinvertbrate'!AK252:AK389, 0)</f>
        <v>#N/A</v>
      </c>
    </row>
    <row r="24" spans="1:8">
      <c r="A24" s="191">
        <v>23</v>
      </c>
      <c r="B24" s="191" t="s">
        <v>1713</v>
      </c>
      <c r="C24" s="191" t="s">
        <v>1714</v>
      </c>
      <c r="D24" s="191" t="s">
        <v>1675</v>
      </c>
      <c r="E24" s="191"/>
      <c r="F24" s="191">
        <v>0</v>
      </c>
      <c r="G24" s="191" t="s">
        <v>80</v>
      </c>
      <c r="H24" s="386" t="e">
        <f>MATCH(B24,'EPA 2008 Macroinvertbrate'!AK253:AK390, 0)</f>
        <v>#N/A</v>
      </c>
    </row>
    <row r="25" spans="1:8">
      <c r="A25" s="191">
        <v>24</v>
      </c>
      <c r="B25" s="191" t="s">
        <v>1715</v>
      </c>
      <c r="C25" s="191" t="s">
        <v>1716</v>
      </c>
      <c r="D25" s="191" t="s">
        <v>1675</v>
      </c>
      <c r="E25" s="191"/>
      <c r="F25" s="191">
        <v>0</v>
      </c>
      <c r="G25" s="191">
        <v>100</v>
      </c>
      <c r="H25" s="386" t="e">
        <f>MATCH(B25,'EPA 2008 Macroinvertbrate'!AK254:AK391, 0)</f>
        <v>#N/A</v>
      </c>
    </row>
    <row r="26" spans="1:8">
      <c r="A26" s="191">
        <v>25</v>
      </c>
      <c r="B26" s="191" t="s">
        <v>1717</v>
      </c>
      <c r="C26" s="191" t="s">
        <v>1718</v>
      </c>
      <c r="D26" s="191" t="s">
        <v>1675</v>
      </c>
      <c r="E26" s="191"/>
      <c r="F26" s="191" t="s">
        <v>80</v>
      </c>
      <c r="G26" s="191" t="s">
        <v>80</v>
      </c>
      <c r="H26" s="386" t="e">
        <f>MATCH(B26,'EPA 2008 Macroinvertbrate'!AK255:AK392, 0)</f>
        <v>#N/A</v>
      </c>
    </row>
    <row r="27" spans="1:8">
      <c r="A27" s="191">
        <v>26</v>
      </c>
      <c r="B27" s="191" t="s">
        <v>1719</v>
      </c>
      <c r="C27" s="191" t="s">
        <v>1720</v>
      </c>
      <c r="D27" s="191" t="s">
        <v>1675</v>
      </c>
      <c r="E27" s="191"/>
      <c r="F27" s="191">
        <v>0</v>
      </c>
      <c r="G27" s="191" t="s">
        <v>80</v>
      </c>
      <c r="H27" s="386" t="e">
        <f>MATCH(B27,'EPA 2008 Macroinvertbrate'!AK256:AK393, 0)</f>
        <v>#N/A</v>
      </c>
    </row>
    <row r="28" spans="1:8">
      <c r="A28" s="191">
        <v>27</v>
      </c>
      <c r="B28" s="191" t="s">
        <v>1721</v>
      </c>
      <c r="C28" s="191" t="s">
        <v>1722</v>
      </c>
      <c r="D28" s="191" t="s">
        <v>1675</v>
      </c>
      <c r="E28" s="191"/>
      <c r="F28" s="191">
        <v>0</v>
      </c>
      <c r="G28" s="191">
        <v>10</v>
      </c>
      <c r="H28" s="386" t="e">
        <f>MATCH(B28,'EPA 2008 Macroinvertbrate'!AK257:AK394, 0)</f>
        <v>#N/A</v>
      </c>
    </row>
    <row r="29" spans="1:8">
      <c r="A29" s="191">
        <v>28</v>
      </c>
      <c r="B29" s="191" t="s">
        <v>65</v>
      </c>
      <c r="C29" s="191" t="s">
        <v>1723</v>
      </c>
      <c r="D29" s="191"/>
      <c r="E29" s="191"/>
      <c r="F29" s="191" t="s">
        <v>80</v>
      </c>
      <c r="G29" s="191" t="s">
        <v>80</v>
      </c>
      <c r="H29" s="386" t="e">
        <f>MATCH(B29,'EPA 2008 Macroinvertbrate'!AK258:AK395, 0)</f>
        <v>#N/A</v>
      </c>
    </row>
    <row r="30" spans="1:8">
      <c r="A30" s="191">
        <v>29</v>
      </c>
      <c r="B30" s="191" t="s">
        <v>1724</v>
      </c>
      <c r="C30" s="191" t="s">
        <v>1725</v>
      </c>
      <c r="D30" s="191" t="s">
        <v>1675</v>
      </c>
      <c r="E30" s="191"/>
      <c r="F30" s="191" t="s">
        <v>80</v>
      </c>
      <c r="G30" s="191" t="s">
        <v>80</v>
      </c>
      <c r="H30" s="386" t="e">
        <f>MATCH(B30,'EPA 2008 Macroinvertbrate'!AK259:AK396, 0)</f>
        <v>#N/A</v>
      </c>
    </row>
    <row r="31" spans="1:8">
      <c r="A31" s="191">
        <v>30</v>
      </c>
      <c r="B31" s="191" t="s">
        <v>1726</v>
      </c>
      <c r="C31" s="191" t="s">
        <v>1727</v>
      </c>
      <c r="D31" s="191" t="s">
        <v>1675</v>
      </c>
      <c r="E31" s="191"/>
      <c r="F31" s="191">
        <v>0</v>
      </c>
      <c r="G31" s="191" t="s">
        <v>80</v>
      </c>
      <c r="H31" s="386" t="e">
        <f>MATCH(B31,'EPA 2008 Macroinvertbrate'!AK260:AK397, 0)</f>
        <v>#N/A</v>
      </c>
    </row>
    <row r="32" spans="1:8">
      <c r="A32" s="191">
        <v>31</v>
      </c>
      <c r="B32" s="191" t="s">
        <v>1728</v>
      </c>
      <c r="C32" s="191" t="s">
        <v>1729</v>
      </c>
      <c r="D32" s="191" t="s">
        <v>1675</v>
      </c>
      <c r="E32" s="191"/>
      <c r="F32" s="191">
        <v>0</v>
      </c>
      <c r="G32" s="191" t="s">
        <v>80</v>
      </c>
      <c r="H32" s="386" t="e">
        <f>MATCH(B32,'EPA 2008 Macroinvertbrate'!AK261:AK398, 0)</f>
        <v>#N/A</v>
      </c>
    </row>
    <row r="33" spans="1:8">
      <c r="A33" s="191">
        <v>32</v>
      </c>
      <c r="B33" s="191" t="s">
        <v>96</v>
      </c>
      <c r="C33" s="191" t="s">
        <v>97</v>
      </c>
      <c r="D33" s="191"/>
      <c r="E33" s="191"/>
      <c r="F33" s="191" t="s">
        <v>80</v>
      </c>
      <c r="G33" s="191" t="s">
        <v>80</v>
      </c>
      <c r="H33" s="386" t="e">
        <f>MATCH(B33,'EPA 2008 Macroinvertbrate'!AK262:AK399, 0)</f>
        <v>#N/A</v>
      </c>
    </row>
    <row r="34" spans="1:8">
      <c r="A34" s="191">
        <v>33</v>
      </c>
      <c r="B34" s="191" t="s">
        <v>1730</v>
      </c>
      <c r="C34" s="191" t="s">
        <v>1731</v>
      </c>
      <c r="D34" s="191" t="s">
        <v>1675</v>
      </c>
      <c r="E34" s="191"/>
      <c r="F34" s="191">
        <v>0</v>
      </c>
      <c r="G34" s="191">
        <v>100</v>
      </c>
      <c r="H34" s="386" t="e">
        <f>MATCH(B34,'EPA 2008 Macroinvertbrate'!AK263:AK400, 0)</f>
        <v>#N/A</v>
      </c>
    </row>
    <row r="35" spans="1:8">
      <c r="A35" s="191">
        <v>34</v>
      </c>
      <c r="B35" s="191" t="s">
        <v>1732</v>
      </c>
      <c r="C35" s="191" t="s">
        <v>1733</v>
      </c>
      <c r="D35" s="191" t="s">
        <v>1675</v>
      </c>
      <c r="E35" s="191"/>
      <c r="F35" s="191">
        <v>0</v>
      </c>
      <c r="G35" s="191">
        <v>10</v>
      </c>
      <c r="H35" s="386" t="e">
        <f>MATCH(B35,'EPA 2008 Macroinvertbrate'!AK264:AK401, 0)</f>
        <v>#N/A</v>
      </c>
    </row>
    <row r="36" spans="1:8">
      <c r="A36" s="191">
        <v>35</v>
      </c>
      <c r="B36" s="191" t="s">
        <v>1734</v>
      </c>
      <c r="C36" s="191" t="s">
        <v>1735</v>
      </c>
      <c r="D36" s="191" t="s">
        <v>1675</v>
      </c>
      <c r="E36" s="191"/>
      <c r="F36" s="191">
        <v>0</v>
      </c>
      <c r="G36" s="191">
        <v>100</v>
      </c>
      <c r="H36" s="386" t="e">
        <f>MATCH(B36,'EPA 2008 Macroinvertbrate'!AK265:AK402, 0)</f>
        <v>#N/A</v>
      </c>
    </row>
    <row r="37" spans="1:8">
      <c r="A37" s="191">
        <v>36</v>
      </c>
      <c r="B37" s="191" t="s">
        <v>78</v>
      </c>
      <c r="C37" s="191" t="s">
        <v>84</v>
      </c>
      <c r="D37" s="191"/>
      <c r="E37" s="191"/>
      <c r="F37" s="191" t="s">
        <v>80</v>
      </c>
      <c r="G37" s="191" t="s">
        <v>80</v>
      </c>
      <c r="H37" s="386" t="e">
        <f>MATCH(B37,'EPA 2008 Macroinvertbrate'!AK266:AK403, 0)</f>
        <v>#N/A</v>
      </c>
    </row>
    <row r="38" spans="1:8">
      <c r="A38" s="191">
        <v>37</v>
      </c>
      <c r="B38" s="191" t="s">
        <v>140</v>
      </c>
      <c r="C38" s="191" t="s">
        <v>141</v>
      </c>
      <c r="D38" s="191"/>
      <c r="E38" s="191"/>
      <c r="F38" s="191" t="s">
        <v>80</v>
      </c>
      <c r="G38" s="191" t="s">
        <v>80</v>
      </c>
      <c r="H38" s="386" t="e">
        <f>MATCH(B38,'EPA 2008 Macroinvertbrate'!AK267:AK404, 0)</f>
        <v>#N/A</v>
      </c>
    </row>
    <row r="39" spans="1:8">
      <c r="A39" s="191">
        <v>38</v>
      </c>
      <c r="B39" s="191" t="s">
        <v>103</v>
      </c>
      <c r="C39" s="191" t="s">
        <v>104</v>
      </c>
      <c r="D39" s="191"/>
      <c r="E39" s="191"/>
      <c r="F39" s="191" t="s">
        <v>80</v>
      </c>
      <c r="G39" s="191" t="s">
        <v>80</v>
      </c>
      <c r="H39" s="386" t="e">
        <f>MATCH(B39,'EPA 2008 Macroinvertbrate'!AK268:AK405, 0)</f>
        <v>#N/A</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W63"/>
  <sheetViews>
    <sheetView topLeftCell="A25" workbookViewId="0"/>
  </sheetViews>
  <sheetFormatPr defaultColWidth="14.44140625" defaultRowHeight="15.75" customHeight="1"/>
  <cols>
    <col min="3" max="3" width="27.109375" customWidth="1"/>
  </cols>
  <sheetData>
    <row r="1" spans="1:23" ht="15.6">
      <c r="A1" s="114" t="s">
        <v>1362</v>
      </c>
      <c r="B1" s="114"/>
      <c r="C1" s="114"/>
      <c r="D1" s="114"/>
      <c r="E1" s="114"/>
      <c r="F1" s="114"/>
      <c r="G1" s="114"/>
      <c r="H1" s="114"/>
      <c r="I1" s="114"/>
      <c r="J1" s="114"/>
      <c r="K1" s="114"/>
      <c r="L1" s="114"/>
      <c r="M1" s="74"/>
      <c r="N1" s="74"/>
      <c r="O1" s="74"/>
      <c r="P1" s="74"/>
      <c r="Q1" s="74"/>
      <c r="R1" s="74"/>
      <c r="S1" s="74"/>
      <c r="T1" s="74"/>
      <c r="U1" s="74"/>
      <c r="V1" s="74"/>
      <c r="W1" s="74"/>
    </row>
    <row r="2" spans="1:23" ht="15.6">
      <c r="A2" s="478"/>
      <c r="B2" s="464"/>
      <c r="C2" s="464"/>
      <c r="D2" s="464"/>
      <c r="E2" s="464"/>
      <c r="F2" s="464"/>
      <c r="G2" s="464"/>
      <c r="H2" s="464"/>
      <c r="I2" s="464"/>
      <c r="J2" s="464"/>
      <c r="K2" s="464"/>
      <c r="L2" s="465"/>
      <c r="M2" s="74"/>
      <c r="N2" s="74"/>
      <c r="O2" s="74"/>
      <c r="P2" s="74"/>
      <c r="Q2" s="74"/>
      <c r="R2" s="74"/>
      <c r="S2" s="74"/>
      <c r="T2" s="74"/>
      <c r="U2" s="74"/>
      <c r="V2" s="74"/>
      <c r="W2" s="74"/>
    </row>
    <row r="3" spans="1:23" ht="14.4">
      <c r="A3" s="480" t="s">
        <v>1377</v>
      </c>
      <c r="B3" s="472"/>
      <c r="C3" s="472"/>
      <c r="D3" s="472"/>
      <c r="E3" s="472"/>
      <c r="F3" s="472"/>
      <c r="G3" s="472"/>
      <c r="H3" s="472"/>
      <c r="I3" s="472"/>
      <c r="J3" s="472"/>
      <c r="K3" s="472"/>
      <c r="L3" s="459"/>
      <c r="M3" s="74"/>
      <c r="N3" s="74"/>
      <c r="O3" s="74"/>
      <c r="P3" s="74"/>
      <c r="Q3" s="74"/>
      <c r="R3" s="74"/>
      <c r="S3" s="74"/>
      <c r="T3" s="74"/>
      <c r="U3" s="74"/>
      <c r="V3" s="74"/>
      <c r="W3" s="74"/>
    </row>
    <row r="4" spans="1:23" ht="14.4">
      <c r="A4" s="117"/>
      <c r="B4" s="118"/>
      <c r="C4" s="118"/>
      <c r="D4" s="118"/>
      <c r="E4" s="118"/>
      <c r="F4" s="118"/>
      <c r="G4" s="118"/>
      <c r="H4" s="74"/>
      <c r="I4" s="119"/>
      <c r="J4" s="75"/>
      <c r="K4" s="74"/>
      <c r="L4" s="74"/>
      <c r="M4" s="74"/>
      <c r="N4" s="74"/>
      <c r="O4" s="74"/>
      <c r="P4" s="74"/>
      <c r="Q4" s="74"/>
      <c r="R4" s="74"/>
      <c r="S4" s="74"/>
      <c r="T4" s="74"/>
      <c r="U4" s="74"/>
      <c r="V4" s="74"/>
      <c r="W4" s="74"/>
    </row>
    <row r="5" spans="1:23" ht="14.4">
      <c r="A5" s="486" t="s">
        <v>1382</v>
      </c>
      <c r="B5" s="464"/>
      <c r="C5" s="464"/>
      <c r="D5" s="464"/>
      <c r="E5" s="464"/>
      <c r="F5" s="464"/>
      <c r="G5" s="464"/>
      <c r="H5" s="464"/>
      <c r="I5" s="464"/>
      <c r="J5" s="464"/>
      <c r="K5" s="464"/>
      <c r="L5" s="465"/>
      <c r="M5" s="74"/>
      <c r="N5" s="74"/>
      <c r="O5" s="74"/>
      <c r="P5" s="74"/>
      <c r="Q5" s="74"/>
      <c r="R5" s="74"/>
      <c r="S5" s="74"/>
      <c r="T5" s="74"/>
      <c r="U5" s="74"/>
      <c r="V5" s="74"/>
      <c r="W5" s="74"/>
    </row>
    <row r="6" spans="1:23" ht="14.4">
      <c r="A6" s="458" t="s">
        <v>1387</v>
      </c>
      <c r="B6" s="459"/>
      <c r="C6" s="120" t="s">
        <v>1390</v>
      </c>
      <c r="D6" s="120" t="s">
        <v>1393</v>
      </c>
      <c r="E6" s="485" t="s">
        <v>1394</v>
      </c>
      <c r="F6" s="472"/>
      <c r="G6" s="472"/>
      <c r="H6" s="472"/>
      <c r="I6" s="459"/>
      <c r="J6" s="485" t="s">
        <v>1397</v>
      </c>
      <c r="K6" s="472"/>
      <c r="L6" s="459"/>
      <c r="M6" s="74"/>
      <c r="N6" s="74"/>
      <c r="O6" s="74"/>
      <c r="P6" s="74"/>
      <c r="Q6" s="74"/>
      <c r="R6" s="74"/>
      <c r="S6" s="74"/>
      <c r="T6" s="74"/>
      <c r="U6" s="74"/>
      <c r="V6" s="74"/>
      <c r="W6" s="74"/>
    </row>
    <row r="7" spans="1:23" ht="14.4">
      <c r="A7" s="482" t="s">
        <v>1398</v>
      </c>
      <c r="B7" s="464"/>
      <c r="C7" s="464"/>
      <c r="D7" s="464"/>
      <c r="E7" s="464"/>
      <c r="F7" s="464"/>
      <c r="G7" s="464"/>
      <c r="H7" s="464"/>
      <c r="I7" s="464"/>
      <c r="J7" s="464"/>
      <c r="K7" s="464"/>
      <c r="L7" s="465"/>
      <c r="M7" s="74"/>
      <c r="N7" s="74"/>
      <c r="O7" s="74"/>
      <c r="P7" s="74"/>
      <c r="Q7" s="74"/>
      <c r="R7" s="74"/>
      <c r="S7" s="74"/>
      <c r="T7" s="74"/>
      <c r="U7" s="74"/>
      <c r="V7" s="74"/>
      <c r="W7" s="74"/>
    </row>
    <row r="8" spans="1:23" ht="14.4">
      <c r="A8" s="483" t="s">
        <v>1399</v>
      </c>
      <c r="B8" s="484"/>
      <c r="C8" s="121" t="s">
        <v>829</v>
      </c>
      <c r="D8" s="122" t="s">
        <v>1403</v>
      </c>
      <c r="E8" s="463" t="s">
        <v>1406</v>
      </c>
      <c r="F8" s="464"/>
      <c r="G8" s="464"/>
      <c r="H8" s="464"/>
      <c r="I8" s="465"/>
      <c r="J8" s="483" t="s">
        <v>1411</v>
      </c>
      <c r="K8" s="467"/>
      <c r="L8" s="484"/>
      <c r="M8" s="74"/>
      <c r="N8" s="74"/>
      <c r="O8" s="74"/>
      <c r="P8" s="74"/>
      <c r="Q8" s="74"/>
      <c r="R8" s="74"/>
      <c r="S8" s="74"/>
      <c r="T8" s="74"/>
      <c r="U8" s="74"/>
      <c r="V8" s="74"/>
      <c r="W8" s="74"/>
    </row>
    <row r="9" spans="1:23" ht="14.4">
      <c r="A9" s="462"/>
      <c r="B9" s="469"/>
      <c r="C9" s="123" t="s">
        <v>836</v>
      </c>
      <c r="D9" s="122" t="s">
        <v>1403</v>
      </c>
      <c r="E9" s="463" t="s">
        <v>1412</v>
      </c>
      <c r="F9" s="464"/>
      <c r="G9" s="464"/>
      <c r="H9" s="464"/>
      <c r="I9" s="465"/>
      <c r="J9" s="462"/>
      <c r="K9" s="453"/>
      <c r="L9" s="469"/>
      <c r="M9" s="74"/>
      <c r="N9" s="74"/>
      <c r="O9" s="74"/>
      <c r="P9" s="74"/>
      <c r="Q9" s="74"/>
      <c r="R9" s="74"/>
      <c r="S9" s="74"/>
      <c r="T9" s="74"/>
      <c r="U9" s="74"/>
      <c r="V9" s="74"/>
      <c r="W9" s="74"/>
    </row>
    <row r="10" spans="1:23" ht="14.4">
      <c r="A10" s="462"/>
      <c r="B10" s="469"/>
      <c r="C10" s="123" t="s">
        <v>842</v>
      </c>
      <c r="D10" s="122" t="s">
        <v>1414</v>
      </c>
      <c r="E10" s="463" t="s">
        <v>1415</v>
      </c>
      <c r="F10" s="464"/>
      <c r="G10" s="464"/>
      <c r="H10" s="464"/>
      <c r="I10" s="465"/>
      <c r="J10" s="473"/>
      <c r="K10" s="472"/>
      <c r="L10" s="459"/>
      <c r="M10" s="74"/>
      <c r="N10" s="74"/>
      <c r="O10" s="74"/>
      <c r="P10" s="74"/>
      <c r="Q10" s="74"/>
      <c r="R10" s="74"/>
      <c r="S10" s="74"/>
      <c r="T10" s="74"/>
      <c r="U10" s="74"/>
      <c r="V10" s="74"/>
      <c r="W10" s="74"/>
    </row>
    <row r="11" spans="1:23" ht="81" customHeight="1">
      <c r="A11" s="473"/>
      <c r="B11" s="459"/>
      <c r="C11" s="121" t="s">
        <v>874</v>
      </c>
      <c r="D11" s="124"/>
      <c r="E11" s="463" t="s">
        <v>1416</v>
      </c>
      <c r="F11" s="464"/>
      <c r="G11" s="464"/>
      <c r="H11" s="464"/>
      <c r="I11" s="465"/>
      <c r="J11" s="481" t="s">
        <v>1417</v>
      </c>
      <c r="K11" s="464"/>
      <c r="L11" s="465"/>
      <c r="M11" s="74"/>
      <c r="N11" s="74"/>
      <c r="O11" s="74"/>
      <c r="P11" s="74"/>
      <c r="Q11" s="74"/>
      <c r="R11" s="74"/>
      <c r="S11" s="74"/>
      <c r="T11" s="74"/>
      <c r="U11" s="74"/>
      <c r="V11" s="74"/>
      <c r="W11" s="74"/>
    </row>
    <row r="12" spans="1:23" ht="14.4">
      <c r="A12" s="482" t="s">
        <v>1419</v>
      </c>
      <c r="B12" s="464"/>
      <c r="C12" s="464"/>
      <c r="D12" s="464"/>
      <c r="E12" s="464"/>
      <c r="F12" s="464"/>
      <c r="G12" s="464"/>
      <c r="H12" s="464"/>
      <c r="I12" s="464"/>
      <c r="J12" s="464"/>
      <c r="K12" s="464"/>
      <c r="L12" s="465"/>
      <c r="M12" s="74"/>
      <c r="N12" s="74"/>
      <c r="O12" s="74"/>
      <c r="P12" s="74"/>
      <c r="Q12" s="74"/>
      <c r="R12" s="74"/>
      <c r="S12" s="74"/>
      <c r="T12" s="74"/>
      <c r="U12" s="74"/>
      <c r="V12" s="74"/>
      <c r="W12" s="74"/>
    </row>
    <row r="13" spans="1:23" ht="14.4">
      <c r="A13" s="483" t="s">
        <v>1420</v>
      </c>
      <c r="B13" s="484"/>
      <c r="C13" s="122" t="s">
        <v>1421</v>
      </c>
      <c r="D13" s="122" t="s">
        <v>1422</v>
      </c>
      <c r="E13" s="463" t="s">
        <v>1423</v>
      </c>
      <c r="F13" s="464"/>
      <c r="G13" s="464"/>
      <c r="H13" s="464"/>
      <c r="I13" s="465"/>
      <c r="J13" s="483" t="s">
        <v>1424</v>
      </c>
      <c r="K13" s="467"/>
      <c r="L13" s="484"/>
      <c r="M13" s="74"/>
      <c r="N13" s="74"/>
      <c r="O13" s="74"/>
      <c r="P13" s="74"/>
      <c r="Q13" s="74"/>
      <c r="R13" s="74"/>
      <c r="S13" s="74"/>
      <c r="T13" s="74"/>
      <c r="U13" s="74"/>
      <c r="V13" s="74"/>
      <c r="W13" s="74"/>
    </row>
    <row r="14" spans="1:23" ht="84" customHeight="1">
      <c r="A14" s="473"/>
      <c r="B14" s="459"/>
      <c r="C14" s="122" t="s">
        <v>1425</v>
      </c>
      <c r="D14" s="122" t="s">
        <v>1422</v>
      </c>
      <c r="E14" s="463" t="s">
        <v>1426</v>
      </c>
      <c r="F14" s="464"/>
      <c r="G14" s="464"/>
      <c r="H14" s="464"/>
      <c r="I14" s="465"/>
      <c r="J14" s="473"/>
      <c r="K14" s="472"/>
      <c r="L14" s="459"/>
      <c r="M14" s="74"/>
      <c r="N14" s="74"/>
      <c r="O14" s="74"/>
      <c r="P14" s="74"/>
      <c r="Q14" s="74"/>
      <c r="R14" s="74"/>
      <c r="S14" s="74"/>
      <c r="T14" s="74"/>
      <c r="U14" s="74"/>
      <c r="V14" s="74"/>
      <c r="W14" s="74"/>
    </row>
    <row r="15" spans="1:23" ht="14.4">
      <c r="A15" s="488" t="s">
        <v>1429</v>
      </c>
      <c r="B15" s="467"/>
      <c r="C15" s="467"/>
      <c r="D15" s="467"/>
      <c r="E15" s="467"/>
      <c r="F15" s="467"/>
      <c r="G15" s="467"/>
      <c r="H15" s="467"/>
      <c r="I15" s="467"/>
      <c r="J15" s="467"/>
      <c r="K15" s="467"/>
      <c r="L15" s="484"/>
      <c r="M15" s="76"/>
      <c r="N15" s="74"/>
      <c r="O15" s="74"/>
      <c r="P15" s="74"/>
      <c r="Q15" s="74"/>
      <c r="R15" s="74"/>
      <c r="S15" s="74"/>
      <c r="T15" s="74"/>
      <c r="U15" s="74"/>
      <c r="V15" s="74"/>
      <c r="W15" s="74"/>
    </row>
    <row r="16" spans="1:23" ht="14.4">
      <c r="A16" s="483" t="s">
        <v>1431</v>
      </c>
      <c r="B16" s="484"/>
      <c r="C16" s="121" t="s">
        <v>878</v>
      </c>
      <c r="D16" s="124"/>
      <c r="E16" s="463" t="s">
        <v>1433</v>
      </c>
      <c r="F16" s="464"/>
      <c r="G16" s="464"/>
      <c r="H16" s="464"/>
      <c r="I16" s="465"/>
      <c r="J16" s="481" t="s">
        <v>1434</v>
      </c>
      <c r="K16" s="464"/>
      <c r="L16" s="465"/>
      <c r="M16" s="74"/>
      <c r="N16" s="74"/>
      <c r="O16" s="74"/>
      <c r="P16" s="74"/>
      <c r="Q16" s="74"/>
      <c r="R16" s="74"/>
      <c r="S16" s="74"/>
      <c r="T16" s="74"/>
      <c r="U16" s="74"/>
      <c r="V16" s="74"/>
      <c r="W16" s="74"/>
    </row>
    <row r="17" spans="1:23" ht="14.4">
      <c r="A17" s="462"/>
      <c r="B17" s="469"/>
      <c r="C17" s="121" t="s">
        <v>849</v>
      </c>
      <c r="D17" s="67" t="s">
        <v>1436</v>
      </c>
      <c r="E17" s="463" t="s">
        <v>1437</v>
      </c>
      <c r="F17" s="464"/>
      <c r="G17" s="464"/>
      <c r="H17" s="464"/>
      <c r="I17" s="465"/>
      <c r="J17" s="481" t="s">
        <v>1439</v>
      </c>
      <c r="K17" s="464"/>
      <c r="L17" s="465"/>
      <c r="M17" s="74"/>
      <c r="N17" s="74"/>
      <c r="O17" s="74"/>
      <c r="P17" s="74"/>
      <c r="Q17" s="74"/>
      <c r="R17" s="74"/>
      <c r="S17" s="74"/>
      <c r="T17" s="74"/>
      <c r="U17" s="74"/>
      <c r="V17" s="74"/>
      <c r="W17" s="74"/>
    </row>
    <row r="18" spans="1:23" ht="50.25" customHeight="1">
      <c r="A18" s="473"/>
      <c r="B18" s="459"/>
      <c r="C18" s="125" t="s">
        <v>1442</v>
      </c>
      <c r="D18" s="126"/>
      <c r="E18" s="489" t="s">
        <v>1447</v>
      </c>
      <c r="F18" s="464"/>
      <c r="G18" s="464"/>
      <c r="H18" s="464"/>
      <c r="I18" s="465"/>
      <c r="J18" s="487" t="s">
        <v>1424</v>
      </c>
      <c r="K18" s="464"/>
      <c r="L18" s="465"/>
      <c r="M18" s="74"/>
      <c r="N18" s="74"/>
      <c r="O18" s="74"/>
      <c r="P18" s="74"/>
      <c r="Q18" s="74"/>
      <c r="R18" s="74"/>
      <c r="S18" s="74"/>
      <c r="T18" s="74"/>
      <c r="U18" s="74"/>
      <c r="V18" s="74"/>
      <c r="W18" s="74"/>
    </row>
    <row r="19" spans="1:23" ht="14.4">
      <c r="A19" s="74"/>
      <c r="B19" s="74"/>
      <c r="C19" s="74"/>
      <c r="D19" s="74"/>
      <c r="E19" s="74"/>
      <c r="F19" s="74"/>
      <c r="G19" s="74"/>
      <c r="H19" s="74"/>
      <c r="I19" s="119"/>
      <c r="J19" s="75"/>
      <c r="K19" s="74"/>
      <c r="L19" s="74"/>
      <c r="M19" s="74"/>
      <c r="N19" s="74"/>
      <c r="O19" s="74"/>
      <c r="P19" s="74"/>
      <c r="Q19" s="74"/>
      <c r="R19" s="74"/>
      <c r="S19" s="74"/>
      <c r="T19" s="74"/>
      <c r="U19" s="74"/>
      <c r="V19" s="74"/>
      <c r="W19" s="74"/>
    </row>
    <row r="20" spans="1:23" ht="15.6">
      <c r="A20" s="478" t="s">
        <v>1453</v>
      </c>
      <c r="B20" s="464"/>
      <c r="C20" s="464"/>
      <c r="D20" s="464"/>
      <c r="E20" s="464"/>
      <c r="F20" s="464"/>
      <c r="G20" s="464"/>
      <c r="H20" s="464"/>
      <c r="I20" s="464"/>
      <c r="J20" s="464"/>
      <c r="K20" s="464"/>
      <c r="L20" s="464"/>
      <c r="M20" s="464"/>
      <c r="N20" s="464"/>
      <c r="O20" s="464"/>
      <c r="P20" s="464"/>
      <c r="Q20" s="464"/>
      <c r="R20" s="464"/>
      <c r="S20" s="464"/>
      <c r="T20" s="464"/>
      <c r="U20" s="464"/>
      <c r="V20" s="464"/>
      <c r="W20" s="465"/>
    </row>
    <row r="21" spans="1:23" ht="14.4">
      <c r="A21" s="127"/>
      <c r="B21" s="74"/>
      <c r="C21" s="74"/>
      <c r="D21" s="74"/>
      <c r="E21" s="128"/>
      <c r="F21" s="475" t="s">
        <v>1463</v>
      </c>
      <c r="G21" s="472"/>
      <c r="H21" s="475" t="s">
        <v>1466</v>
      </c>
      <c r="I21" s="472"/>
      <c r="J21" s="475" t="s">
        <v>1469</v>
      </c>
      <c r="K21" s="472"/>
      <c r="L21" s="475" t="s">
        <v>1470</v>
      </c>
      <c r="M21" s="472"/>
      <c r="N21" s="475" t="s">
        <v>1471</v>
      </c>
      <c r="O21" s="472"/>
      <c r="P21" s="475" t="s">
        <v>1473</v>
      </c>
      <c r="Q21" s="472"/>
      <c r="R21" s="477" t="s">
        <v>1475</v>
      </c>
      <c r="S21" s="472"/>
      <c r="T21" s="477" t="s">
        <v>1478</v>
      </c>
      <c r="U21" s="472"/>
      <c r="V21" s="477" t="s">
        <v>1481</v>
      </c>
      <c r="W21" s="459"/>
    </row>
    <row r="22" spans="1:23" ht="14.4">
      <c r="A22" s="479" t="s">
        <v>1482</v>
      </c>
      <c r="B22" s="472"/>
      <c r="C22" s="129" t="s">
        <v>1485</v>
      </c>
      <c r="D22" s="129" t="s">
        <v>1486</v>
      </c>
      <c r="E22" s="129" t="s">
        <v>1487</v>
      </c>
      <c r="F22" s="129" t="s">
        <v>1488</v>
      </c>
      <c r="G22" s="132" t="s">
        <v>1489</v>
      </c>
      <c r="H22" s="129" t="s">
        <v>1488</v>
      </c>
      <c r="I22" s="129" t="s">
        <v>1489</v>
      </c>
      <c r="J22" s="129" t="s">
        <v>1488</v>
      </c>
      <c r="K22" s="129" t="s">
        <v>1489</v>
      </c>
      <c r="L22" s="129" t="s">
        <v>1488</v>
      </c>
      <c r="M22" s="129" t="s">
        <v>1489</v>
      </c>
      <c r="N22" s="129" t="s">
        <v>1488</v>
      </c>
      <c r="O22" s="129" t="s">
        <v>1489</v>
      </c>
      <c r="P22" s="129" t="s">
        <v>1488</v>
      </c>
      <c r="Q22" s="129" t="s">
        <v>1489</v>
      </c>
      <c r="R22" s="131" t="s">
        <v>1488</v>
      </c>
      <c r="S22" s="131" t="s">
        <v>1489</v>
      </c>
      <c r="T22" s="131" t="s">
        <v>1488</v>
      </c>
      <c r="U22" s="131" t="s">
        <v>1489</v>
      </c>
      <c r="V22" s="131" t="s">
        <v>1488</v>
      </c>
      <c r="W22" s="134" t="s">
        <v>1489</v>
      </c>
    </row>
    <row r="23" spans="1:23" ht="14.4">
      <c r="A23" s="466" t="s">
        <v>1091</v>
      </c>
      <c r="B23" s="467"/>
      <c r="C23" s="460" t="s">
        <v>1501</v>
      </c>
      <c r="D23" s="137" t="s">
        <v>1511</v>
      </c>
      <c r="E23" s="137" t="s">
        <v>1517</v>
      </c>
      <c r="F23" s="137">
        <v>47.2</v>
      </c>
      <c r="G23" s="137">
        <v>7.6</v>
      </c>
      <c r="H23" s="137">
        <v>65.8</v>
      </c>
      <c r="I23" s="137">
        <v>37.6</v>
      </c>
      <c r="J23" s="137">
        <v>51.2</v>
      </c>
      <c r="K23" s="137">
        <v>15</v>
      </c>
      <c r="L23" s="137">
        <v>40.700000000000003</v>
      </c>
      <c r="M23" s="137">
        <v>19</v>
      </c>
      <c r="N23" s="137">
        <v>23.9</v>
      </c>
      <c r="O23" s="137">
        <v>0.9</v>
      </c>
      <c r="P23" s="137">
        <v>70.599999999999994</v>
      </c>
      <c r="Q23" s="137">
        <v>0.9</v>
      </c>
      <c r="R23" s="139">
        <v>64.599999999999994</v>
      </c>
      <c r="S23" s="139">
        <v>11.9</v>
      </c>
      <c r="T23" s="139">
        <v>26.9</v>
      </c>
      <c r="U23" s="139">
        <v>6.3</v>
      </c>
      <c r="V23" s="139">
        <v>5.3</v>
      </c>
      <c r="W23" s="140">
        <v>0.1</v>
      </c>
    </row>
    <row r="24" spans="1:23" ht="14.4">
      <c r="A24" s="462"/>
      <c r="B24" s="453"/>
      <c r="C24" s="453"/>
      <c r="D24" s="137" t="s">
        <v>1518</v>
      </c>
      <c r="E24" s="137" t="s">
        <v>1519</v>
      </c>
      <c r="F24" s="137">
        <v>12.2</v>
      </c>
      <c r="G24" s="137">
        <v>0</v>
      </c>
      <c r="H24" s="137">
        <v>38.1</v>
      </c>
      <c r="I24" s="137">
        <v>18.3</v>
      </c>
      <c r="J24" s="137">
        <v>20.9</v>
      </c>
      <c r="K24" s="137">
        <v>2.2999999999999998</v>
      </c>
      <c r="L24" s="137">
        <v>12.2</v>
      </c>
      <c r="M24" s="137">
        <v>6.3</v>
      </c>
      <c r="N24" s="137">
        <v>10</v>
      </c>
      <c r="O24" s="137">
        <v>0</v>
      </c>
      <c r="P24" s="137">
        <v>51.9</v>
      </c>
      <c r="Q24" s="137">
        <v>0</v>
      </c>
      <c r="R24" s="139">
        <v>33</v>
      </c>
      <c r="S24" s="139">
        <v>9.5</v>
      </c>
      <c r="T24" s="139">
        <v>3.7</v>
      </c>
      <c r="U24" s="139">
        <v>0</v>
      </c>
      <c r="V24" s="139">
        <v>0.6</v>
      </c>
      <c r="W24" s="140">
        <v>0</v>
      </c>
    </row>
    <row r="25" spans="1:23" ht="14.4">
      <c r="A25" s="461" t="s">
        <v>1094</v>
      </c>
      <c r="B25" s="453"/>
      <c r="C25" s="460" t="s">
        <v>1501</v>
      </c>
      <c r="D25" s="137" t="s">
        <v>1511</v>
      </c>
      <c r="E25" s="137" t="s">
        <v>1517</v>
      </c>
      <c r="F25" s="137">
        <v>69</v>
      </c>
      <c r="G25" s="137">
        <v>55.1</v>
      </c>
      <c r="H25" s="137">
        <v>84.5</v>
      </c>
      <c r="I25" s="137">
        <v>73.8</v>
      </c>
      <c r="J25" s="137">
        <v>76.5</v>
      </c>
      <c r="K25" s="137">
        <v>61.1</v>
      </c>
      <c r="L25" s="137">
        <v>73.099999999999994</v>
      </c>
      <c r="M25" s="137">
        <v>66.5</v>
      </c>
      <c r="N25" s="137">
        <v>70.900000000000006</v>
      </c>
      <c r="O25" s="137">
        <v>27.1</v>
      </c>
      <c r="P25" s="137">
        <v>81.8</v>
      </c>
      <c r="Q25" s="137">
        <v>28.4</v>
      </c>
      <c r="R25" s="139">
        <v>85.8</v>
      </c>
      <c r="S25" s="139">
        <v>58.1</v>
      </c>
      <c r="T25" s="139">
        <v>76.099999999999994</v>
      </c>
      <c r="U25" s="139">
        <v>50.8</v>
      </c>
      <c r="V25" s="139">
        <v>60.5</v>
      </c>
      <c r="W25" s="140">
        <v>34.9</v>
      </c>
    </row>
    <row r="26" spans="1:23" ht="14.4">
      <c r="A26" s="462"/>
      <c r="B26" s="453"/>
      <c r="C26" s="453"/>
      <c r="D26" s="137" t="s">
        <v>1518</v>
      </c>
      <c r="E26" s="137" t="s">
        <v>1519</v>
      </c>
      <c r="F26" s="137">
        <v>32.1</v>
      </c>
      <c r="G26" s="137">
        <v>25.2</v>
      </c>
      <c r="H26" s="137">
        <v>67.8</v>
      </c>
      <c r="I26" s="137">
        <v>56.8</v>
      </c>
      <c r="J26" s="137">
        <v>53.9</v>
      </c>
      <c r="K26" s="137">
        <v>38.299999999999997</v>
      </c>
      <c r="L26" s="137">
        <v>52.7</v>
      </c>
      <c r="M26" s="137">
        <v>58.6</v>
      </c>
      <c r="N26" s="137">
        <v>39.799999999999997</v>
      </c>
      <c r="O26" s="137">
        <v>10.4</v>
      </c>
      <c r="P26" s="137">
        <v>65.5</v>
      </c>
      <c r="Q26" s="137">
        <v>6.2</v>
      </c>
      <c r="R26" s="139">
        <v>64.400000000000006</v>
      </c>
      <c r="S26" s="139">
        <v>32.700000000000003</v>
      </c>
      <c r="T26" s="139">
        <v>63.3</v>
      </c>
      <c r="U26" s="139">
        <v>26.7</v>
      </c>
      <c r="V26" s="139">
        <v>31.4</v>
      </c>
      <c r="W26" s="140">
        <v>17.600000000000001</v>
      </c>
    </row>
    <row r="27" spans="1:23" ht="14.4">
      <c r="A27" s="461" t="s">
        <v>1248</v>
      </c>
      <c r="B27" s="453"/>
      <c r="C27" s="460" t="s">
        <v>1501</v>
      </c>
      <c r="D27" s="137" t="s">
        <v>1511</v>
      </c>
      <c r="E27" s="137" t="s">
        <v>1517</v>
      </c>
      <c r="F27" s="137">
        <v>1.03</v>
      </c>
      <c r="G27" s="137">
        <v>0.76</v>
      </c>
      <c r="H27" s="137">
        <v>1.1399999999999999</v>
      </c>
      <c r="I27" s="137">
        <v>1.03</v>
      </c>
      <c r="J27" s="137">
        <v>1.06</v>
      </c>
      <c r="K27" s="137">
        <v>0.84</v>
      </c>
      <c r="L27" s="137">
        <v>1.02</v>
      </c>
      <c r="M27" s="137">
        <v>0.99</v>
      </c>
      <c r="N27" s="137">
        <v>0.83</v>
      </c>
      <c r="O27" s="137">
        <v>0.56000000000000005</v>
      </c>
      <c r="P27" s="137">
        <v>1.01</v>
      </c>
      <c r="Q27" s="137">
        <v>0.62</v>
      </c>
      <c r="R27" s="139">
        <v>0.89</v>
      </c>
      <c r="S27" s="139">
        <v>0.48</v>
      </c>
      <c r="T27" s="139">
        <v>0.79</v>
      </c>
      <c r="U27" s="139">
        <v>0.68</v>
      </c>
      <c r="V27" s="139">
        <v>0.88</v>
      </c>
      <c r="W27" s="140">
        <v>0.72</v>
      </c>
    </row>
    <row r="28" spans="1:23" ht="14.4">
      <c r="A28" s="462"/>
      <c r="B28" s="453"/>
      <c r="C28" s="453"/>
      <c r="D28" s="137" t="s">
        <v>1518</v>
      </c>
      <c r="E28" s="137" t="s">
        <v>1519</v>
      </c>
      <c r="F28" s="137">
        <v>0.6</v>
      </c>
      <c r="G28" s="137">
        <v>0.73</v>
      </c>
      <c r="H28" s="137">
        <v>0.83</v>
      </c>
      <c r="I28" s="137">
        <v>0.76</v>
      </c>
      <c r="J28" s="137">
        <v>0.79</v>
      </c>
      <c r="K28" s="137">
        <v>0.56999999999999995</v>
      </c>
      <c r="L28" s="137">
        <v>0.9</v>
      </c>
      <c r="M28" s="137">
        <v>0.78</v>
      </c>
      <c r="N28" s="137">
        <v>0.71</v>
      </c>
      <c r="O28" s="137">
        <v>0.41</v>
      </c>
      <c r="P28" s="137">
        <v>0.67</v>
      </c>
      <c r="Q28" s="137">
        <v>0.26</v>
      </c>
      <c r="R28" s="139">
        <v>0.59</v>
      </c>
      <c r="S28" s="139">
        <v>0.33</v>
      </c>
      <c r="T28" s="139">
        <v>0.49</v>
      </c>
      <c r="U28" s="139">
        <v>0.53</v>
      </c>
      <c r="V28" s="139">
        <v>0.55000000000000004</v>
      </c>
      <c r="W28" s="140">
        <v>0.5</v>
      </c>
    </row>
    <row r="29" spans="1:23" ht="14.4">
      <c r="A29" s="461" t="s">
        <v>1520</v>
      </c>
      <c r="B29" s="453"/>
      <c r="C29" s="460" t="s">
        <v>1521</v>
      </c>
      <c r="D29" s="137" t="s">
        <v>1511</v>
      </c>
      <c r="E29" s="137" t="s">
        <v>1522</v>
      </c>
      <c r="F29" s="137">
        <v>45</v>
      </c>
      <c r="G29" s="137">
        <v>44</v>
      </c>
      <c r="H29" s="137">
        <v>15</v>
      </c>
      <c r="I29" s="137">
        <v>12</v>
      </c>
      <c r="J29" s="137">
        <v>29</v>
      </c>
      <c r="K29" s="137">
        <v>15</v>
      </c>
      <c r="L29" s="137">
        <v>23</v>
      </c>
      <c r="M29" s="137">
        <v>22</v>
      </c>
      <c r="N29" s="137">
        <v>44</v>
      </c>
      <c r="O29" s="137">
        <v>46</v>
      </c>
      <c r="P29" s="137">
        <v>54</v>
      </c>
      <c r="Q29" s="137">
        <v>64</v>
      </c>
      <c r="R29" s="139">
        <v>26</v>
      </c>
      <c r="S29" s="139">
        <v>28</v>
      </c>
      <c r="T29" s="139">
        <v>77</v>
      </c>
      <c r="U29" s="139">
        <v>84</v>
      </c>
      <c r="V29" s="139">
        <v>84</v>
      </c>
      <c r="W29" s="140">
        <v>72</v>
      </c>
    </row>
    <row r="30" spans="1:23" ht="14.4">
      <c r="A30" s="462"/>
      <c r="B30" s="453"/>
      <c r="C30" s="453"/>
      <c r="D30" s="137" t="s">
        <v>1518</v>
      </c>
      <c r="E30" s="137" t="s">
        <v>1523</v>
      </c>
      <c r="F30" s="137">
        <v>66</v>
      </c>
      <c r="G30" s="137">
        <v>81</v>
      </c>
      <c r="H30" s="137">
        <v>33</v>
      </c>
      <c r="I30" s="137">
        <v>26</v>
      </c>
      <c r="J30" s="137">
        <v>48</v>
      </c>
      <c r="K30" s="137">
        <v>27</v>
      </c>
      <c r="L30" s="137">
        <v>37</v>
      </c>
      <c r="M30" s="137">
        <v>36</v>
      </c>
      <c r="N30" s="137">
        <v>73</v>
      </c>
      <c r="O30" s="137">
        <v>82</v>
      </c>
      <c r="P30" s="137">
        <v>77</v>
      </c>
      <c r="Q30" s="137">
        <v>84</v>
      </c>
      <c r="R30" s="139">
        <v>41</v>
      </c>
      <c r="S30" s="139">
        <v>52</v>
      </c>
      <c r="T30" s="139">
        <v>96</v>
      </c>
      <c r="U30" s="139">
        <v>99</v>
      </c>
      <c r="V30" s="139">
        <v>100</v>
      </c>
      <c r="W30" s="140">
        <v>93</v>
      </c>
    </row>
    <row r="31" spans="1:23" ht="14.4">
      <c r="A31" s="461" t="s">
        <v>1524</v>
      </c>
      <c r="B31" s="453"/>
      <c r="C31" s="460" t="s">
        <v>1525</v>
      </c>
      <c r="D31" s="137" t="s">
        <v>1511</v>
      </c>
      <c r="E31" s="137" t="s">
        <v>1517</v>
      </c>
      <c r="F31" s="137">
        <v>0.41</v>
      </c>
      <c r="G31" s="137">
        <v>0.19</v>
      </c>
      <c r="H31" s="137">
        <v>0.32</v>
      </c>
      <c r="I31" s="137">
        <v>0.28999999999999998</v>
      </c>
      <c r="J31" s="137">
        <v>0.43</v>
      </c>
      <c r="K31" s="137">
        <v>0.33</v>
      </c>
      <c r="L31" s="137">
        <v>0.64</v>
      </c>
      <c r="M31" s="137">
        <v>0.49</v>
      </c>
      <c r="N31" s="137">
        <v>0.42</v>
      </c>
      <c r="O31" s="137">
        <v>0.12</v>
      </c>
      <c r="P31" s="137">
        <v>0.46</v>
      </c>
      <c r="Q31" s="137">
        <v>0.14000000000000001</v>
      </c>
      <c r="R31" s="139">
        <v>0.36</v>
      </c>
      <c r="S31" s="139">
        <v>0.24</v>
      </c>
      <c r="T31" s="139">
        <v>0.21</v>
      </c>
      <c r="U31" s="139">
        <v>0.16</v>
      </c>
      <c r="V31" s="139">
        <v>0.19</v>
      </c>
      <c r="W31" s="140">
        <v>0.09</v>
      </c>
    </row>
    <row r="32" spans="1:23" ht="14.4">
      <c r="A32" s="462"/>
      <c r="B32" s="453"/>
      <c r="C32" s="453"/>
      <c r="D32" s="137" t="s">
        <v>1518</v>
      </c>
      <c r="E32" s="137" t="s">
        <v>1519</v>
      </c>
      <c r="F32" s="137">
        <v>0.16</v>
      </c>
      <c r="G32" s="137">
        <v>0.11</v>
      </c>
      <c r="H32" s="137">
        <v>0.17</v>
      </c>
      <c r="I32" s="137">
        <v>0.16</v>
      </c>
      <c r="J32" s="137">
        <v>0.28000000000000003</v>
      </c>
      <c r="K32" s="137">
        <v>0.21</v>
      </c>
      <c r="L32" s="137">
        <v>0.34</v>
      </c>
      <c r="M32" s="137">
        <v>0.27</v>
      </c>
      <c r="N32" s="137">
        <v>0.12</v>
      </c>
      <c r="O32" s="137">
        <v>0.05</v>
      </c>
      <c r="P32" s="137">
        <v>0.27</v>
      </c>
      <c r="Q32" s="137">
        <v>0.08</v>
      </c>
      <c r="R32" s="139">
        <v>0.23</v>
      </c>
      <c r="S32" s="139">
        <v>0.11</v>
      </c>
      <c r="T32" s="139">
        <v>0.08</v>
      </c>
      <c r="U32" s="139">
        <v>0.05</v>
      </c>
      <c r="V32" s="139">
        <v>0.08</v>
      </c>
      <c r="W32" s="140">
        <v>0.03</v>
      </c>
    </row>
    <row r="33" spans="1:23" ht="14.4">
      <c r="A33" s="461" t="s">
        <v>715</v>
      </c>
      <c r="B33" s="453"/>
      <c r="C33" s="460" t="s">
        <v>1501</v>
      </c>
      <c r="D33" s="137" t="s">
        <v>1511</v>
      </c>
      <c r="E33" s="137" t="s">
        <v>1517</v>
      </c>
      <c r="F33" s="137">
        <v>4.7</v>
      </c>
      <c r="G33" s="137">
        <v>0</v>
      </c>
      <c r="H33" s="137">
        <v>0</v>
      </c>
      <c r="I33" s="137">
        <v>0</v>
      </c>
      <c r="J33" s="137">
        <v>0</v>
      </c>
      <c r="K33" s="137">
        <v>1.35</v>
      </c>
      <c r="L33" s="137">
        <v>0</v>
      </c>
      <c r="M33" s="137">
        <v>0</v>
      </c>
      <c r="N33" s="137">
        <v>1.8</v>
      </c>
      <c r="O33" s="137">
        <v>0</v>
      </c>
      <c r="P33" s="137">
        <v>0.45</v>
      </c>
      <c r="Q33" s="137">
        <v>0.5</v>
      </c>
      <c r="R33" s="139">
        <v>0.95</v>
      </c>
      <c r="S33" s="139">
        <v>5.0199999999999996</v>
      </c>
      <c r="T33" s="139">
        <v>1.6</v>
      </c>
      <c r="U33" s="139">
        <v>8.07</v>
      </c>
      <c r="V33" s="139">
        <v>2.92</v>
      </c>
      <c r="W33" s="140">
        <v>0</v>
      </c>
    </row>
    <row r="34" spans="1:23" ht="14.4">
      <c r="A34" s="462"/>
      <c r="B34" s="453"/>
      <c r="C34" s="453"/>
      <c r="D34" s="137" t="s">
        <v>1518</v>
      </c>
      <c r="E34" s="137" t="s">
        <v>1519</v>
      </c>
      <c r="F34" s="137">
        <v>0</v>
      </c>
      <c r="G34" s="137">
        <v>0</v>
      </c>
      <c r="H34" s="137">
        <v>0</v>
      </c>
      <c r="I34" s="137">
        <v>0</v>
      </c>
      <c r="J34" s="137">
        <v>0</v>
      </c>
      <c r="K34" s="137">
        <v>0</v>
      </c>
      <c r="L34" s="137">
        <v>0</v>
      </c>
      <c r="M34" s="137">
        <v>0</v>
      </c>
      <c r="N34" s="137">
        <v>0</v>
      </c>
      <c r="O34" s="137">
        <v>0</v>
      </c>
      <c r="P34" s="137">
        <v>0</v>
      </c>
      <c r="Q34" s="137">
        <v>0</v>
      </c>
      <c r="R34" s="139">
        <v>0</v>
      </c>
      <c r="S34" s="139">
        <v>0.54</v>
      </c>
      <c r="T34" s="139">
        <v>0.26</v>
      </c>
      <c r="U34" s="139">
        <v>1.84</v>
      </c>
      <c r="V34" s="139">
        <v>0</v>
      </c>
      <c r="W34" s="140">
        <v>0</v>
      </c>
    </row>
    <row r="35" spans="1:23" ht="14.4">
      <c r="A35" s="461" t="s">
        <v>488</v>
      </c>
      <c r="B35" s="453"/>
      <c r="C35" s="460" t="s">
        <v>1521</v>
      </c>
      <c r="D35" s="137" t="s">
        <v>1511</v>
      </c>
      <c r="E35" s="137" t="s">
        <v>1522</v>
      </c>
      <c r="F35" s="137">
        <v>-0.09</v>
      </c>
      <c r="G35" s="137">
        <v>0.11</v>
      </c>
      <c r="H35" s="137">
        <v>-0.31</v>
      </c>
      <c r="I35" s="137">
        <v>0.2</v>
      </c>
      <c r="J35" s="137">
        <v>-0.26</v>
      </c>
      <c r="K35" s="137">
        <v>-0.2</v>
      </c>
      <c r="L35" s="137">
        <v>-0.09</v>
      </c>
      <c r="M35" s="137">
        <v>-0.13</v>
      </c>
      <c r="N35" s="137">
        <v>0.11</v>
      </c>
      <c r="O35" s="137">
        <v>0.09</v>
      </c>
      <c r="P35" s="137">
        <v>0.11</v>
      </c>
      <c r="Q35" s="137">
        <v>0.23</v>
      </c>
      <c r="R35" s="139">
        <v>-1</v>
      </c>
      <c r="S35" s="139">
        <v>0.26</v>
      </c>
      <c r="T35" s="139">
        <v>7.0000000000000007E-2</v>
      </c>
      <c r="U35" s="139">
        <v>0.3</v>
      </c>
      <c r="V35" s="139">
        <v>0.3</v>
      </c>
      <c r="W35" s="140">
        <v>0.26</v>
      </c>
    </row>
    <row r="36" spans="1:23" ht="14.4">
      <c r="A36" s="473"/>
      <c r="B36" s="472"/>
      <c r="C36" s="472"/>
      <c r="D36" s="129" t="s">
        <v>1518</v>
      </c>
      <c r="E36" s="129" t="s">
        <v>1523</v>
      </c>
      <c r="F36" s="129">
        <v>0.22</v>
      </c>
      <c r="G36" s="129">
        <v>0.22</v>
      </c>
      <c r="H36" s="129">
        <v>0.26</v>
      </c>
      <c r="I36" s="129">
        <v>0.54</v>
      </c>
      <c r="J36" s="129">
        <v>0</v>
      </c>
      <c r="K36" s="129">
        <v>0.01</v>
      </c>
      <c r="L36" s="129">
        <v>0.17</v>
      </c>
      <c r="M36" s="129">
        <v>0.09</v>
      </c>
      <c r="N36" s="129">
        <v>0.66</v>
      </c>
      <c r="O36" s="129">
        <v>0.5</v>
      </c>
      <c r="P36" s="129">
        <v>0.43</v>
      </c>
      <c r="Q36" s="129">
        <v>0.44</v>
      </c>
      <c r="R36" s="131">
        <v>0.03</v>
      </c>
      <c r="S36" s="131">
        <v>0.65</v>
      </c>
      <c r="T36" s="131">
        <v>0.28999999999999998</v>
      </c>
      <c r="U36" s="131">
        <v>0.37</v>
      </c>
      <c r="V36" s="131">
        <v>0.61</v>
      </c>
      <c r="W36" s="134">
        <v>0.5</v>
      </c>
    </row>
    <row r="37" spans="1:23" ht="13.8">
      <c r="A37" s="145"/>
      <c r="B37" s="145"/>
      <c r="C37" s="146"/>
      <c r="D37" s="147"/>
      <c r="E37" s="147"/>
      <c r="F37" s="147"/>
      <c r="G37" s="147"/>
      <c r="H37" s="147"/>
      <c r="I37" s="147"/>
      <c r="J37" s="147"/>
      <c r="K37" s="147"/>
      <c r="L37" s="147"/>
      <c r="M37" s="147"/>
      <c r="N37" s="147"/>
      <c r="O37" s="147"/>
      <c r="P37" s="147"/>
      <c r="Q37" s="147"/>
      <c r="R37" s="147"/>
      <c r="S37" s="147"/>
      <c r="T37" s="147"/>
      <c r="U37" s="147"/>
      <c r="V37" s="147"/>
      <c r="W37" s="147"/>
    </row>
    <row r="38" spans="1:23" ht="15.6">
      <c r="A38" s="478" t="s">
        <v>1531</v>
      </c>
      <c r="B38" s="464"/>
      <c r="C38" s="464"/>
      <c r="D38" s="464"/>
      <c r="E38" s="464"/>
      <c r="F38" s="464"/>
      <c r="G38" s="464"/>
      <c r="H38" s="464"/>
      <c r="I38" s="464"/>
      <c r="J38" s="464"/>
      <c r="K38" s="464"/>
      <c r="L38" s="465"/>
      <c r="M38" s="147"/>
      <c r="N38" s="147"/>
      <c r="O38" s="147"/>
      <c r="P38" s="147"/>
      <c r="Q38" s="147"/>
      <c r="R38" s="147"/>
      <c r="S38" s="147"/>
      <c r="T38" s="147"/>
      <c r="U38" s="147"/>
      <c r="V38" s="147"/>
      <c r="W38" s="147"/>
    </row>
    <row r="39" spans="1:23" ht="14.4">
      <c r="A39" s="479" t="s">
        <v>1482</v>
      </c>
      <c r="B39" s="472"/>
      <c r="C39" s="129" t="s">
        <v>1485</v>
      </c>
      <c r="D39" s="129" t="s">
        <v>1486</v>
      </c>
      <c r="E39" s="129" t="s">
        <v>1487</v>
      </c>
      <c r="F39" s="475" t="s">
        <v>1534</v>
      </c>
      <c r="G39" s="472"/>
      <c r="H39" s="475" t="s">
        <v>1536</v>
      </c>
      <c r="I39" s="472"/>
      <c r="J39" s="130" t="s">
        <v>1537</v>
      </c>
      <c r="K39" s="130" t="s">
        <v>1478</v>
      </c>
      <c r="L39" s="148" t="s">
        <v>1481</v>
      </c>
      <c r="M39" s="147"/>
      <c r="N39" s="147"/>
      <c r="O39" s="147"/>
      <c r="P39" s="147"/>
      <c r="Q39" s="147"/>
      <c r="R39" s="147"/>
      <c r="S39" s="147"/>
      <c r="T39" s="147"/>
      <c r="U39" s="147"/>
      <c r="V39" s="147"/>
      <c r="W39" s="147"/>
    </row>
    <row r="40" spans="1:23" ht="14.4">
      <c r="A40" s="466" t="s">
        <v>1091</v>
      </c>
      <c r="B40" s="467"/>
      <c r="C40" s="460" t="s">
        <v>1501</v>
      </c>
      <c r="D40" s="137" t="s">
        <v>1511</v>
      </c>
      <c r="E40" s="137" t="s">
        <v>1517</v>
      </c>
      <c r="F40" s="490" t="s">
        <v>80</v>
      </c>
      <c r="G40" s="467"/>
      <c r="H40" s="490" t="s">
        <v>80</v>
      </c>
      <c r="I40" s="467"/>
      <c r="J40" s="137" t="s">
        <v>80</v>
      </c>
      <c r="K40" s="137" t="s">
        <v>80</v>
      </c>
      <c r="L40" s="149" t="s">
        <v>80</v>
      </c>
      <c r="M40" s="147"/>
      <c r="N40" s="147"/>
      <c r="O40" s="147"/>
      <c r="P40" s="147"/>
      <c r="Q40" s="147"/>
      <c r="R40" s="147"/>
      <c r="S40" s="147"/>
      <c r="T40" s="147"/>
      <c r="U40" s="147"/>
      <c r="V40" s="147"/>
      <c r="W40" s="147"/>
    </row>
    <row r="41" spans="1:23" ht="14.4">
      <c r="A41" s="462"/>
      <c r="B41" s="453"/>
      <c r="C41" s="453"/>
      <c r="D41" s="137" t="s">
        <v>1518</v>
      </c>
      <c r="E41" s="137" t="s">
        <v>1519</v>
      </c>
      <c r="F41" s="460" t="s">
        <v>80</v>
      </c>
      <c r="G41" s="453"/>
      <c r="H41" s="460" t="s">
        <v>80</v>
      </c>
      <c r="I41" s="453"/>
      <c r="J41" s="137" t="s">
        <v>80</v>
      </c>
      <c r="K41" s="137" t="s">
        <v>80</v>
      </c>
      <c r="L41" s="149" t="s">
        <v>80</v>
      </c>
      <c r="M41" s="147"/>
      <c r="N41" s="147"/>
      <c r="O41" s="147"/>
      <c r="P41" s="147"/>
      <c r="Q41" s="147"/>
      <c r="R41" s="147"/>
      <c r="S41" s="147"/>
      <c r="T41" s="147"/>
      <c r="U41" s="147"/>
      <c r="V41" s="147"/>
      <c r="W41" s="147"/>
    </row>
    <row r="42" spans="1:23" ht="14.4">
      <c r="A42" s="461" t="s">
        <v>1094</v>
      </c>
      <c r="B42" s="453"/>
      <c r="C42" s="460" t="s">
        <v>1501</v>
      </c>
      <c r="D42" s="137" t="s">
        <v>1511</v>
      </c>
      <c r="E42" s="137" t="s">
        <v>1517</v>
      </c>
      <c r="F42" s="460">
        <v>14.9</v>
      </c>
      <c r="G42" s="453"/>
      <c r="H42" s="460">
        <v>10.1</v>
      </c>
      <c r="I42" s="453"/>
      <c r="J42" s="137">
        <v>16.600000000000001</v>
      </c>
      <c r="K42" s="137">
        <v>19</v>
      </c>
      <c r="L42" s="149">
        <v>7.8</v>
      </c>
      <c r="M42" s="147"/>
      <c r="N42" s="147"/>
      <c r="O42" s="147"/>
      <c r="P42" s="147"/>
      <c r="Q42" s="147"/>
      <c r="R42" s="147"/>
      <c r="S42" s="147"/>
      <c r="T42" s="147"/>
      <c r="U42" s="147"/>
      <c r="V42" s="147"/>
      <c r="W42" s="147"/>
    </row>
    <row r="43" spans="1:23" ht="14.4">
      <c r="A43" s="462"/>
      <c r="B43" s="453"/>
      <c r="C43" s="453"/>
      <c r="D43" s="137" t="s">
        <v>1518</v>
      </c>
      <c r="E43" s="137" t="s">
        <v>1519</v>
      </c>
      <c r="F43" s="460">
        <v>4.3</v>
      </c>
      <c r="G43" s="453"/>
      <c r="H43" s="460">
        <v>3.5</v>
      </c>
      <c r="I43" s="453"/>
      <c r="J43" s="137">
        <v>6.6</v>
      </c>
      <c r="K43" s="137">
        <v>4.9000000000000004</v>
      </c>
      <c r="L43" s="149">
        <v>1</v>
      </c>
      <c r="M43" s="147"/>
      <c r="N43" s="147"/>
      <c r="O43" s="147"/>
      <c r="P43" s="147"/>
      <c r="Q43" s="147"/>
      <c r="R43" s="147"/>
      <c r="S43" s="147"/>
      <c r="T43" s="147"/>
      <c r="U43" s="147"/>
      <c r="V43" s="147"/>
      <c r="W43" s="147"/>
    </row>
    <row r="44" spans="1:23" ht="14.4">
      <c r="A44" s="461" t="s">
        <v>1248</v>
      </c>
      <c r="B44" s="453"/>
      <c r="C44" s="460" t="s">
        <v>1501</v>
      </c>
      <c r="D44" s="137" t="s">
        <v>1511</v>
      </c>
      <c r="E44" s="137" t="s">
        <v>1517</v>
      </c>
      <c r="F44" s="460">
        <v>0.72</v>
      </c>
      <c r="G44" s="453"/>
      <c r="H44" s="460">
        <v>0.78</v>
      </c>
      <c r="I44" s="453"/>
      <c r="J44" s="137">
        <v>1.17</v>
      </c>
      <c r="K44" s="137">
        <v>1.1299999999999999</v>
      </c>
      <c r="L44" s="149">
        <v>0.67</v>
      </c>
      <c r="M44" s="147"/>
      <c r="N44" s="147"/>
      <c r="O44" s="147"/>
      <c r="P44" s="147"/>
      <c r="Q44" s="147"/>
      <c r="R44" s="147"/>
      <c r="S44" s="147"/>
      <c r="T44" s="147"/>
      <c r="U44" s="147"/>
      <c r="V44" s="147"/>
      <c r="W44" s="147"/>
    </row>
    <row r="45" spans="1:23" ht="14.4">
      <c r="A45" s="462"/>
      <c r="B45" s="453"/>
      <c r="C45" s="453"/>
      <c r="D45" s="137" t="s">
        <v>1518</v>
      </c>
      <c r="E45" s="137" t="s">
        <v>1519</v>
      </c>
      <c r="F45" s="460">
        <v>0.54</v>
      </c>
      <c r="G45" s="453"/>
      <c r="H45" s="460">
        <v>0.63</v>
      </c>
      <c r="I45" s="453"/>
      <c r="J45" s="137">
        <v>0.54</v>
      </c>
      <c r="K45" s="137">
        <v>0.72</v>
      </c>
      <c r="L45" s="149">
        <v>0.49</v>
      </c>
      <c r="M45" s="147"/>
      <c r="N45" s="147"/>
      <c r="O45" s="147"/>
      <c r="P45" s="147"/>
      <c r="Q45" s="147"/>
      <c r="R45" s="147"/>
      <c r="S45" s="147"/>
      <c r="T45" s="147"/>
      <c r="U45" s="147"/>
      <c r="V45" s="147"/>
      <c r="W45" s="147"/>
    </row>
    <row r="46" spans="1:23" ht="14.4">
      <c r="A46" s="461" t="s">
        <v>1520</v>
      </c>
      <c r="B46" s="453"/>
      <c r="C46" s="460" t="s">
        <v>1521</v>
      </c>
      <c r="D46" s="137" t="s">
        <v>1511</v>
      </c>
      <c r="E46" s="137" t="s">
        <v>1522</v>
      </c>
      <c r="F46" s="460">
        <v>40</v>
      </c>
      <c r="G46" s="453"/>
      <c r="H46" s="460">
        <v>3</v>
      </c>
      <c r="I46" s="453"/>
      <c r="J46" s="137">
        <v>14</v>
      </c>
      <c r="K46" s="137">
        <v>93</v>
      </c>
      <c r="L46" s="149">
        <v>69</v>
      </c>
      <c r="M46" s="147"/>
      <c r="N46" s="147"/>
      <c r="O46" s="147"/>
      <c r="P46" s="147"/>
      <c r="Q46" s="147"/>
      <c r="R46" s="147"/>
      <c r="S46" s="147"/>
      <c r="T46" s="147"/>
      <c r="U46" s="147"/>
      <c r="V46" s="147"/>
      <c r="W46" s="147"/>
    </row>
    <row r="47" spans="1:23" ht="14.4">
      <c r="A47" s="462"/>
      <c r="B47" s="453"/>
      <c r="C47" s="453"/>
      <c r="D47" s="137" t="s">
        <v>1518</v>
      </c>
      <c r="E47" s="137" t="s">
        <v>1523</v>
      </c>
      <c r="F47" s="460">
        <v>97</v>
      </c>
      <c r="G47" s="453"/>
      <c r="H47" s="460">
        <v>35</v>
      </c>
      <c r="I47" s="453"/>
      <c r="J47" s="137">
        <v>98</v>
      </c>
      <c r="K47" s="137">
        <v>100</v>
      </c>
      <c r="L47" s="149">
        <v>99</v>
      </c>
      <c r="M47" s="147"/>
      <c r="N47" s="147"/>
      <c r="O47" s="147"/>
      <c r="P47" s="147"/>
      <c r="Q47" s="147"/>
      <c r="R47" s="147"/>
      <c r="S47" s="147"/>
      <c r="T47" s="147"/>
      <c r="U47" s="147"/>
      <c r="V47" s="147"/>
      <c r="W47" s="147"/>
    </row>
    <row r="48" spans="1:23" ht="14.4">
      <c r="A48" s="461" t="s">
        <v>1524</v>
      </c>
      <c r="B48" s="453"/>
      <c r="C48" s="460" t="s">
        <v>1525</v>
      </c>
      <c r="D48" s="137" t="s">
        <v>1511</v>
      </c>
      <c r="E48" s="137" t="s">
        <v>1517</v>
      </c>
      <c r="F48" s="460">
        <v>0.13</v>
      </c>
      <c r="G48" s="453"/>
      <c r="H48" s="460">
        <v>0.14000000000000001</v>
      </c>
      <c r="I48" s="453"/>
      <c r="J48" s="137">
        <v>0.14000000000000001</v>
      </c>
      <c r="K48" s="137">
        <v>0.09</v>
      </c>
      <c r="L48" s="149">
        <v>0.1</v>
      </c>
      <c r="M48" s="147"/>
      <c r="N48" s="147"/>
      <c r="O48" s="147"/>
      <c r="P48" s="147"/>
      <c r="Q48" s="147"/>
      <c r="R48" s="147"/>
      <c r="S48" s="147"/>
      <c r="T48" s="147"/>
      <c r="U48" s="147"/>
      <c r="V48" s="147"/>
      <c r="W48" s="147"/>
    </row>
    <row r="49" spans="1:23" ht="14.4">
      <c r="A49" s="462"/>
      <c r="B49" s="453"/>
      <c r="C49" s="453"/>
      <c r="D49" s="137" t="s">
        <v>1518</v>
      </c>
      <c r="E49" s="137" t="s">
        <v>1519</v>
      </c>
      <c r="F49" s="460">
        <v>0.08</v>
      </c>
      <c r="G49" s="453"/>
      <c r="H49" s="460">
        <v>7.0000000000000007E-2</v>
      </c>
      <c r="I49" s="453"/>
      <c r="J49" s="137">
        <v>0.06</v>
      </c>
      <c r="K49" s="137">
        <v>0.06</v>
      </c>
      <c r="L49" s="149">
        <v>0.05</v>
      </c>
      <c r="M49" s="147"/>
      <c r="N49" s="147"/>
      <c r="O49" s="147"/>
      <c r="P49" s="147"/>
      <c r="Q49" s="147"/>
      <c r="R49" s="147"/>
      <c r="S49" s="147"/>
      <c r="T49" s="147"/>
      <c r="U49" s="147"/>
      <c r="V49" s="147"/>
      <c r="W49" s="147"/>
    </row>
    <row r="50" spans="1:23" ht="15.6">
      <c r="A50" s="461" t="s">
        <v>715</v>
      </c>
      <c r="B50" s="453"/>
      <c r="C50" s="460" t="s">
        <v>1501</v>
      </c>
      <c r="D50" s="137" t="s">
        <v>1511</v>
      </c>
      <c r="E50" s="137" t="s">
        <v>1517</v>
      </c>
      <c r="F50" s="460">
        <v>1.34</v>
      </c>
      <c r="G50" s="453"/>
      <c r="H50" s="460">
        <v>0</v>
      </c>
      <c r="I50" s="453"/>
      <c r="J50" s="137">
        <v>3.58</v>
      </c>
      <c r="K50" s="137">
        <v>3.89</v>
      </c>
      <c r="L50" s="149">
        <v>1.05</v>
      </c>
      <c r="M50" s="150"/>
      <c r="N50" s="150"/>
      <c r="O50" s="150"/>
      <c r="P50" s="150"/>
      <c r="Q50" s="150"/>
      <c r="R50" s="150"/>
      <c r="S50" s="150"/>
      <c r="T50" s="74"/>
      <c r="U50" s="74"/>
      <c r="V50" s="74"/>
      <c r="W50" s="74"/>
    </row>
    <row r="51" spans="1:23" ht="15.6">
      <c r="A51" s="462"/>
      <c r="B51" s="453"/>
      <c r="C51" s="453"/>
      <c r="D51" s="137" t="s">
        <v>1518</v>
      </c>
      <c r="E51" s="137" t="s">
        <v>1519</v>
      </c>
      <c r="F51" s="460">
        <v>0</v>
      </c>
      <c r="G51" s="453"/>
      <c r="H51" s="460">
        <v>0</v>
      </c>
      <c r="I51" s="453"/>
      <c r="J51" s="137">
        <v>0</v>
      </c>
      <c r="K51" s="137">
        <v>0.13</v>
      </c>
      <c r="L51" s="149">
        <v>0</v>
      </c>
      <c r="M51" s="150"/>
      <c r="N51" s="150"/>
      <c r="O51" s="150"/>
      <c r="P51" s="150"/>
      <c r="Q51" s="150"/>
      <c r="R51" s="150"/>
      <c r="S51" s="150"/>
      <c r="T51" s="74"/>
      <c r="U51" s="74"/>
      <c r="V51" s="74"/>
      <c r="W51" s="74"/>
    </row>
    <row r="52" spans="1:23" ht="15.6">
      <c r="A52" s="461" t="s">
        <v>1538</v>
      </c>
      <c r="B52" s="453"/>
      <c r="C52" s="460" t="s">
        <v>1521</v>
      </c>
      <c r="D52" s="137" t="s">
        <v>1511</v>
      </c>
      <c r="E52" s="137" t="s">
        <v>1522</v>
      </c>
      <c r="F52" s="460">
        <v>0.22</v>
      </c>
      <c r="G52" s="453"/>
      <c r="H52" s="460">
        <v>0.22</v>
      </c>
      <c r="I52" s="453"/>
      <c r="J52" s="137">
        <v>0.22</v>
      </c>
      <c r="K52" s="137">
        <v>0.22</v>
      </c>
      <c r="L52" s="149">
        <v>0.22</v>
      </c>
      <c r="M52" s="150"/>
      <c r="N52" s="150"/>
      <c r="O52" s="150"/>
      <c r="P52" s="150"/>
      <c r="Q52" s="150"/>
      <c r="R52" s="150"/>
      <c r="S52" s="150"/>
      <c r="T52" s="74"/>
      <c r="U52" s="74"/>
      <c r="V52" s="74"/>
      <c r="W52" s="74"/>
    </row>
    <row r="53" spans="1:23" ht="15.6">
      <c r="A53" s="473"/>
      <c r="B53" s="472"/>
      <c r="C53" s="472"/>
      <c r="D53" s="129" t="s">
        <v>1518</v>
      </c>
      <c r="E53" s="129" t="s">
        <v>1523</v>
      </c>
      <c r="F53" s="475">
        <v>0.4</v>
      </c>
      <c r="G53" s="472"/>
      <c r="H53" s="475">
        <v>0.4</v>
      </c>
      <c r="I53" s="472"/>
      <c r="J53" s="129">
        <v>0.4</v>
      </c>
      <c r="K53" s="129">
        <v>0.4</v>
      </c>
      <c r="L53" s="151">
        <v>0.4</v>
      </c>
      <c r="M53" s="150"/>
      <c r="N53" s="150"/>
      <c r="O53" s="150"/>
      <c r="P53" s="150"/>
      <c r="Q53" s="150"/>
      <c r="R53" s="150"/>
      <c r="S53" s="150"/>
      <c r="T53" s="74"/>
      <c r="U53" s="74"/>
      <c r="V53" s="74"/>
      <c r="W53" s="74"/>
    </row>
    <row r="54" spans="1:23" ht="15.6">
      <c r="A54" s="476" t="s">
        <v>1539</v>
      </c>
      <c r="B54" s="453"/>
      <c r="C54" s="453"/>
      <c r="D54" s="453"/>
      <c r="E54" s="74"/>
      <c r="F54" s="74"/>
      <c r="G54" s="74"/>
      <c r="H54" s="74"/>
      <c r="I54" s="74"/>
      <c r="J54" s="74"/>
      <c r="K54" s="150"/>
      <c r="L54" s="150"/>
      <c r="M54" s="150"/>
      <c r="N54" s="150"/>
      <c r="O54" s="150"/>
      <c r="P54" s="150"/>
      <c r="Q54" s="150"/>
      <c r="R54" s="74"/>
      <c r="S54" s="74"/>
      <c r="T54" s="74"/>
      <c r="U54" s="74"/>
      <c r="V54" s="74"/>
      <c r="W54" s="74"/>
    </row>
    <row r="55" spans="1:23" ht="15.6">
      <c r="A55" s="150"/>
      <c r="B55" s="150"/>
      <c r="C55" s="150"/>
      <c r="D55" s="150"/>
      <c r="E55" s="150"/>
      <c r="F55" s="150"/>
      <c r="G55" s="150"/>
      <c r="H55" s="150"/>
      <c r="I55" s="150"/>
      <c r="J55" s="150"/>
      <c r="K55" s="150"/>
      <c r="L55" s="150"/>
      <c r="M55" s="150"/>
      <c r="N55" s="150"/>
      <c r="O55" s="150"/>
      <c r="P55" s="150"/>
      <c r="Q55" s="74"/>
      <c r="R55" s="74"/>
      <c r="S55" s="74"/>
      <c r="T55" s="74"/>
      <c r="U55" s="74"/>
      <c r="V55" s="74"/>
      <c r="W55" s="74"/>
    </row>
    <row r="56" spans="1:23" ht="14.4">
      <c r="A56" s="474" t="s">
        <v>1540</v>
      </c>
      <c r="B56" s="464"/>
      <c r="C56" s="464"/>
      <c r="D56" s="464"/>
      <c r="E56" s="464"/>
      <c r="F56" s="464"/>
      <c r="G56" s="464"/>
      <c r="H56" s="464"/>
      <c r="I56" s="464"/>
      <c r="J56" s="464"/>
      <c r="K56" s="464"/>
      <c r="L56" s="465"/>
      <c r="M56" s="74"/>
      <c r="N56" s="74"/>
      <c r="O56" s="74"/>
      <c r="P56" s="74"/>
      <c r="Q56" s="152"/>
      <c r="R56" s="74"/>
      <c r="S56" s="74"/>
      <c r="T56" s="74"/>
      <c r="U56" s="74"/>
      <c r="V56" s="74"/>
      <c r="W56" s="74"/>
    </row>
    <row r="57" spans="1:23" ht="14.4">
      <c r="A57" s="468" t="s">
        <v>1541</v>
      </c>
      <c r="B57" s="453"/>
      <c r="C57" s="453"/>
      <c r="D57" s="453"/>
      <c r="E57" s="453"/>
      <c r="F57" s="453"/>
      <c r="G57" s="453"/>
      <c r="H57" s="453"/>
      <c r="I57" s="453"/>
      <c r="J57" s="453"/>
      <c r="K57" s="453"/>
      <c r="L57" s="469"/>
      <c r="M57" s="74"/>
      <c r="N57" s="74"/>
      <c r="O57" s="74"/>
      <c r="P57" s="74"/>
      <c r="Q57" s="152"/>
      <c r="R57" s="152"/>
      <c r="S57" s="152"/>
      <c r="T57" s="152"/>
      <c r="U57" s="152"/>
      <c r="V57" s="152"/>
      <c r="W57" s="152"/>
    </row>
    <row r="58" spans="1:23" ht="14.4">
      <c r="A58" s="470" t="s">
        <v>1542</v>
      </c>
      <c r="B58" s="453"/>
      <c r="C58" s="453"/>
      <c r="D58" s="453"/>
      <c r="E58" s="453"/>
      <c r="F58" s="453"/>
      <c r="G58" s="453"/>
      <c r="H58" s="453"/>
      <c r="I58" s="453"/>
      <c r="J58" s="453"/>
      <c r="K58" s="453"/>
      <c r="L58" s="469"/>
      <c r="M58" s="74"/>
      <c r="N58" s="74"/>
      <c r="O58" s="74"/>
      <c r="P58" s="74"/>
      <c r="Q58" s="74"/>
      <c r="R58" s="74"/>
      <c r="S58" s="74"/>
      <c r="T58" s="74"/>
      <c r="U58" s="74"/>
      <c r="V58" s="74"/>
      <c r="W58" s="74"/>
    </row>
    <row r="59" spans="1:23" ht="14.4">
      <c r="A59" s="468" t="s">
        <v>1543</v>
      </c>
      <c r="B59" s="453"/>
      <c r="C59" s="453"/>
      <c r="D59" s="453"/>
      <c r="E59" s="453"/>
      <c r="F59" s="453"/>
      <c r="G59" s="453"/>
      <c r="H59" s="453"/>
      <c r="I59" s="453"/>
      <c r="J59" s="453"/>
      <c r="K59" s="453"/>
      <c r="L59" s="469"/>
      <c r="M59" s="152"/>
      <c r="N59" s="152"/>
      <c r="O59" s="152"/>
      <c r="P59" s="152"/>
      <c r="Q59" s="152"/>
      <c r="R59" s="74"/>
      <c r="S59" s="74"/>
      <c r="T59" s="74"/>
      <c r="U59" s="74"/>
      <c r="V59" s="74"/>
      <c r="W59" s="74"/>
    </row>
    <row r="60" spans="1:23" ht="14.4">
      <c r="A60" s="468" t="s">
        <v>1544</v>
      </c>
      <c r="B60" s="453"/>
      <c r="C60" s="453"/>
      <c r="D60" s="453"/>
      <c r="E60" s="453"/>
      <c r="F60" s="453"/>
      <c r="G60" s="453"/>
      <c r="H60" s="453"/>
      <c r="I60" s="453"/>
      <c r="J60" s="453"/>
      <c r="K60" s="453"/>
      <c r="L60" s="469"/>
      <c r="M60" s="152"/>
      <c r="N60" s="152"/>
      <c r="O60" s="152"/>
      <c r="P60" s="152"/>
      <c r="Q60" s="74"/>
      <c r="R60" s="74"/>
      <c r="S60" s="74"/>
      <c r="T60" s="74"/>
      <c r="U60" s="74"/>
      <c r="V60" s="74"/>
      <c r="W60" s="74"/>
    </row>
    <row r="61" spans="1:23" ht="14.4">
      <c r="A61" s="470" t="s">
        <v>1545</v>
      </c>
      <c r="B61" s="453"/>
      <c r="C61" s="453"/>
      <c r="D61" s="453"/>
      <c r="E61" s="453"/>
      <c r="F61" s="453"/>
      <c r="G61" s="453"/>
      <c r="H61" s="453"/>
      <c r="I61" s="453"/>
      <c r="J61" s="453"/>
      <c r="K61" s="453"/>
      <c r="L61" s="469"/>
      <c r="M61" s="74"/>
      <c r="N61" s="74"/>
      <c r="O61" s="74"/>
      <c r="P61" s="74"/>
      <c r="Q61" s="74"/>
      <c r="R61" s="74"/>
      <c r="S61" s="74"/>
      <c r="T61" s="74"/>
      <c r="U61" s="74"/>
      <c r="V61" s="74"/>
      <c r="W61" s="74"/>
    </row>
    <row r="62" spans="1:23" ht="14.4">
      <c r="A62" s="471" t="s">
        <v>1546</v>
      </c>
      <c r="B62" s="472"/>
      <c r="C62" s="472"/>
      <c r="D62" s="472"/>
      <c r="E62" s="472"/>
      <c r="F62" s="472"/>
      <c r="G62" s="472"/>
      <c r="H62" s="472"/>
      <c r="I62" s="472"/>
      <c r="J62" s="472"/>
      <c r="K62" s="472"/>
      <c r="L62" s="459"/>
      <c r="M62" s="152"/>
      <c r="N62" s="152"/>
      <c r="O62" s="152"/>
      <c r="P62" s="152"/>
      <c r="Q62" s="74"/>
      <c r="R62" s="74"/>
      <c r="S62" s="74"/>
      <c r="T62" s="74"/>
      <c r="U62" s="74"/>
      <c r="V62" s="74"/>
      <c r="W62" s="74"/>
    </row>
    <row r="63" spans="1:23" ht="14.4">
      <c r="A63" s="74"/>
      <c r="B63" s="74"/>
      <c r="C63" s="74"/>
      <c r="D63" s="74"/>
      <c r="E63" s="74"/>
      <c r="F63" s="74"/>
      <c r="G63" s="74"/>
      <c r="H63" s="74"/>
      <c r="I63" s="74"/>
      <c r="J63" s="74"/>
      <c r="K63" s="74"/>
      <c r="L63" s="74"/>
      <c r="M63" s="74"/>
      <c r="N63" s="74"/>
      <c r="O63" s="74"/>
      <c r="P63" s="74"/>
      <c r="Q63" s="74"/>
      <c r="R63" s="74"/>
      <c r="S63" s="74"/>
      <c r="T63" s="74"/>
      <c r="U63" s="74"/>
      <c r="V63" s="74"/>
      <c r="W63" s="74"/>
    </row>
  </sheetData>
  <mergeCells count="106">
    <mergeCell ref="H46:I46"/>
    <mergeCell ref="F51:G51"/>
    <mergeCell ref="C48:C49"/>
    <mergeCell ref="F47:G47"/>
    <mergeCell ref="C33:C34"/>
    <mergeCell ref="C35:C36"/>
    <mergeCell ref="A42:B43"/>
    <mergeCell ref="A40:B41"/>
    <mergeCell ref="A35:B36"/>
    <mergeCell ref="A38:L38"/>
    <mergeCell ref="A46:B47"/>
    <mergeCell ref="A44:B45"/>
    <mergeCell ref="H39:I39"/>
    <mergeCell ref="F39:G39"/>
    <mergeCell ref="A33:B34"/>
    <mergeCell ref="C42:C43"/>
    <mergeCell ref="A39:B39"/>
    <mergeCell ref="H43:I43"/>
    <mergeCell ref="H42:I42"/>
    <mergeCell ref="H41:I41"/>
    <mergeCell ref="H40:I40"/>
    <mergeCell ref="J17:L17"/>
    <mergeCell ref="J13:L14"/>
    <mergeCell ref="A15:L15"/>
    <mergeCell ref="N21:O21"/>
    <mergeCell ref="P21:Q21"/>
    <mergeCell ref="A25:B26"/>
    <mergeCell ref="F21:G21"/>
    <mergeCell ref="H21:I21"/>
    <mergeCell ref="F50:G50"/>
    <mergeCell ref="F48:G48"/>
    <mergeCell ref="F49:G49"/>
    <mergeCell ref="H50:I50"/>
    <mergeCell ref="H44:I44"/>
    <mergeCell ref="E16:I16"/>
    <mergeCell ref="E18:I18"/>
    <mergeCell ref="E17:I17"/>
    <mergeCell ref="F43:G43"/>
    <mergeCell ref="F42:G42"/>
    <mergeCell ref="F41:G41"/>
    <mergeCell ref="F40:G40"/>
    <mergeCell ref="A50:B51"/>
    <mergeCell ref="A48:B49"/>
    <mergeCell ref="H51:I51"/>
    <mergeCell ref="C40:C41"/>
    <mergeCell ref="T21:U21"/>
    <mergeCell ref="V21:W21"/>
    <mergeCell ref="A20:W20"/>
    <mergeCell ref="A22:B22"/>
    <mergeCell ref="E9:I9"/>
    <mergeCell ref="E8:I8"/>
    <mergeCell ref="A2:L2"/>
    <mergeCell ref="A3:L3"/>
    <mergeCell ref="J11:L11"/>
    <mergeCell ref="A12:L12"/>
    <mergeCell ref="A13:B14"/>
    <mergeCell ref="A16:B18"/>
    <mergeCell ref="J8:L10"/>
    <mergeCell ref="J6:L6"/>
    <mergeCell ref="E6:I6"/>
    <mergeCell ref="A5:L5"/>
    <mergeCell ref="A7:L7"/>
    <mergeCell ref="R21:S21"/>
    <mergeCell ref="J21:K21"/>
    <mergeCell ref="L21:M21"/>
    <mergeCell ref="A8:B11"/>
    <mergeCell ref="E14:I14"/>
    <mergeCell ref="J18:L18"/>
    <mergeCell ref="J16:L16"/>
    <mergeCell ref="A57:L57"/>
    <mergeCell ref="A58:L58"/>
    <mergeCell ref="A59:L59"/>
    <mergeCell ref="A61:L61"/>
    <mergeCell ref="A62:L62"/>
    <mergeCell ref="A60:L60"/>
    <mergeCell ref="A52:B53"/>
    <mergeCell ref="F44:G44"/>
    <mergeCell ref="F46:G46"/>
    <mergeCell ref="A56:L56"/>
    <mergeCell ref="F53:G53"/>
    <mergeCell ref="F52:G52"/>
    <mergeCell ref="H53:I53"/>
    <mergeCell ref="H52:I52"/>
    <mergeCell ref="C52:C53"/>
    <mergeCell ref="A54:D54"/>
    <mergeCell ref="C50:C51"/>
    <mergeCell ref="C44:C45"/>
    <mergeCell ref="C46:C47"/>
    <mergeCell ref="F45:G45"/>
    <mergeCell ref="H45:I45"/>
    <mergeCell ref="H47:I47"/>
    <mergeCell ref="H48:I48"/>
    <mergeCell ref="H49:I49"/>
    <mergeCell ref="A6:B6"/>
    <mergeCell ref="C29:C30"/>
    <mergeCell ref="C27:C28"/>
    <mergeCell ref="A31:B32"/>
    <mergeCell ref="C31:C32"/>
    <mergeCell ref="A29:B30"/>
    <mergeCell ref="C23:C24"/>
    <mergeCell ref="C25:C26"/>
    <mergeCell ref="E10:I10"/>
    <mergeCell ref="E11:I11"/>
    <mergeCell ref="A27:B28"/>
    <mergeCell ref="E13:I13"/>
    <mergeCell ref="A23:B2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43392-D94E-4345-A575-F3A6C335B682}">
  <dimension ref="A1:BA28"/>
  <sheetViews>
    <sheetView workbookViewId="0">
      <pane xSplit="36" topLeftCell="AN1" activePane="topRight" state="frozen"/>
      <selection pane="topRight" activeCell="AN6" sqref="AN6"/>
    </sheetView>
  </sheetViews>
  <sheetFormatPr defaultRowHeight="32.4" customHeight="1"/>
  <cols>
    <col min="2" max="2" width="14.88671875" bestFit="1" customWidth="1"/>
    <col min="3" max="3" width="27.6640625" bestFit="1" customWidth="1"/>
    <col min="4" max="4" width="12.88671875" customWidth="1"/>
    <col min="5" max="5" width="14.109375" bestFit="1" customWidth="1"/>
    <col min="6" max="13" width="0" hidden="1" customWidth="1"/>
    <col min="14" max="14" width="8.44140625" hidden="1" customWidth="1"/>
    <col min="15" max="36" width="0" hidden="1" customWidth="1"/>
    <col min="38" max="38" width="20.109375" style="188" customWidth="1"/>
    <col min="39" max="39" width="21.44140625" style="188" bestFit="1" customWidth="1"/>
    <col min="40" max="40" width="18.5546875" style="188" bestFit="1" customWidth="1"/>
    <col min="41" max="41" width="15.88671875" customWidth="1"/>
    <col min="43" max="43" width="14.88671875" customWidth="1"/>
    <col min="45" max="46" width="16.88671875" customWidth="1"/>
    <col min="47" max="47" width="8.88671875" style="158"/>
    <col min="48" max="48" width="16" customWidth="1"/>
    <col min="52" max="52" width="11.6640625" customWidth="1"/>
    <col min="53" max="53" width="14.33203125" customWidth="1"/>
  </cols>
  <sheetData>
    <row r="1" spans="1:53" s="158" customFormat="1" ht="32.4" customHeight="1">
      <c r="AL1" s="188" t="s">
        <v>1614</v>
      </c>
      <c r="AM1" s="188" t="s">
        <v>1615</v>
      </c>
      <c r="AN1" s="188" t="s">
        <v>1616</v>
      </c>
      <c r="AO1" s="188" t="s">
        <v>1617</v>
      </c>
      <c r="AP1" s="188" t="s">
        <v>1618</v>
      </c>
      <c r="AQ1" s="188" t="s">
        <v>1619</v>
      </c>
      <c r="AR1" s="188" t="s">
        <v>1620</v>
      </c>
      <c r="AS1" s="188" t="s">
        <v>1621</v>
      </c>
      <c r="AT1" s="188" t="s">
        <v>1622</v>
      </c>
      <c r="AU1" s="188" t="s">
        <v>1622</v>
      </c>
      <c r="AV1" s="188" t="s">
        <v>1622</v>
      </c>
      <c r="AW1" s="188" t="s">
        <v>1622</v>
      </c>
      <c r="AX1" s="188" t="s">
        <v>1622</v>
      </c>
      <c r="AY1" s="188" t="s">
        <v>1622</v>
      </c>
      <c r="AZ1" s="188" t="s">
        <v>1622</v>
      </c>
      <c r="BA1" s="188" t="s">
        <v>1622</v>
      </c>
    </row>
    <row r="2" spans="1:53" ht="69">
      <c r="A2" s="174" t="s">
        <v>52</v>
      </c>
      <c r="B2" s="174" t="s">
        <v>53</v>
      </c>
      <c r="C2" s="174" t="s">
        <v>54</v>
      </c>
      <c r="D2" s="174" t="s">
        <v>55</v>
      </c>
      <c r="E2" s="174" t="s">
        <v>1556</v>
      </c>
      <c r="F2" s="175" t="s">
        <v>1574</v>
      </c>
      <c r="G2" s="176" t="s">
        <v>1557</v>
      </c>
      <c r="H2" s="176" t="s">
        <v>1558</v>
      </c>
      <c r="I2" s="176" t="s">
        <v>1559</v>
      </c>
      <c r="J2" s="176" t="s">
        <v>1587</v>
      </c>
      <c r="K2" s="177" t="s">
        <v>1588</v>
      </c>
      <c r="L2" s="178" t="s">
        <v>1563</v>
      </c>
      <c r="M2" s="178" t="s">
        <v>1547</v>
      </c>
      <c r="N2" s="178" t="s">
        <v>1560</v>
      </c>
      <c r="O2" s="179" t="s">
        <v>61</v>
      </c>
      <c r="P2" s="179" t="s">
        <v>58</v>
      </c>
      <c r="Q2" s="179" t="s">
        <v>62</v>
      </c>
      <c r="R2" s="179" t="s">
        <v>63</v>
      </c>
      <c r="S2" s="179" t="s">
        <v>1554</v>
      </c>
      <c r="T2" s="180" t="s">
        <v>1555</v>
      </c>
      <c r="U2" s="180" t="s">
        <v>1589</v>
      </c>
      <c r="V2" s="180" t="s">
        <v>1590</v>
      </c>
      <c r="W2" s="181" t="s">
        <v>1551</v>
      </c>
      <c r="X2" s="181" t="s">
        <v>65</v>
      </c>
      <c r="Y2" s="181" t="s">
        <v>66</v>
      </c>
      <c r="Z2" s="181" t="s">
        <v>1553</v>
      </c>
      <c r="AA2" s="181" t="s">
        <v>1550</v>
      </c>
      <c r="AB2" s="181" t="s">
        <v>67</v>
      </c>
      <c r="AC2" s="181" t="s">
        <v>1591</v>
      </c>
      <c r="AD2" s="181" t="s">
        <v>1592</v>
      </c>
      <c r="AE2" s="182" t="s">
        <v>68</v>
      </c>
      <c r="AF2" s="183" t="s">
        <v>1552</v>
      </c>
      <c r="AG2" s="183" t="s">
        <v>1548</v>
      </c>
      <c r="AH2" s="183" t="s">
        <v>1549</v>
      </c>
      <c r="AI2" s="183" t="s">
        <v>1593</v>
      </c>
      <c r="AJ2" s="183" t="s">
        <v>1594</v>
      </c>
      <c r="AK2" s="174" t="s">
        <v>1561</v>
      </c>
      <c r="AL2" s="5" t="s">
        <v>1659</v>
      </c>
      <c r="AM2" s="5" t="s">
        <v>1658</v>
      </c>
      <c r="AN2" s="5" t="s">
        <v>1660</v>
      </c>
      <c r="AO2" s="5" t="s">
        <v>1650</v>
      </c>
      <c r="AP2" s="5" t="s">
        <v>1657</v>
      </c>
      <c r="AQ2" s="5" t="s">
        <v>1656</v>
      </c>
      <c r="AR2" s="5" t="s">
        <v>1655</v>
      </c>
      <c r="AS2" s="5" t="s">
        <v>1653</v>
      </c>
      <c r="AT2" s="5" t="s">
        <v>1625</v>
      </c>
      <c r="AU2" s="5" t="s">
        <v>1636</v>
      </c>
      <c r="AV2" s="5" t="s">
        <v>1626</v>
      </c>
      <c r="AW2" s="5" t="s">
        <v>1627</v>
      </c>
      <c r="AX2" s="5" t="s">
        <v>1628</v>
      </c>
      <c r="AY2" s="5" t="s">
        <v>1631</v>
      </c>
      <c r="AZ2" s="5" t="s">
        <v>1629</v>
      </c>
      <c r="BA2" s="5" t="s">
        <v>1630</v>
      </c>
    </row>
    <row r="3" spans="1:53" s="158" customFormat="1" ht="27.6">
      <c r="A3" s="189"/>
      <c r="B3" s="189" t="s">
        <v>1623</v>
      </c>
      <c r="C3" s="189"/>
      <c r="D3" s="189"/>
      <c r="E3" s="189"/>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189"/>
      <c r="AL3" s="5"/>
      <c r="AM3" s="5"/>
      <c r="AN3" s="5"/>
      <c r="AO3" s="5"/>
      <c r="AP3" s="5"/>
      <c r="AQ3" s="5"/>
      <c r="AR3" s="5"/>
      <c r="AS3" s="5"/>
      <c r="AT3" s="5" t="s">
        <v>1624</v>
      </c>
      <c r="AU3" s="5" t="s">
        <v>1624</v>
      </c>
      <c r="AV3" s="5" t="s">
        <v>1624</v>
      </c>
      <c r="AW3" s="5" t="s">
        <v>1624</v>
      </c>
      <c r="AX3" s="5" t="s">
        <v>1624</v>
      </c>
      <c r="AY3" s="5" t="s">
        <v>1624</v>
      </c>
      <c r="AZ3" s="5" t="s">
        <v>1624</v>
      </c>
      <c r="BA3" s="5" t="s">
        <v>1624</v>
      </c>
    </row>
    <row r="4" spans="1:53" s="158" customFormat="1" ht="27.6">
      <c r="A4" s="189"/>
      <c r="B4" s="189" t="s">
        <v>1632</v>
      </c>
      <c r="C4" s="189"/>
      <c r="D4" s="189"/>
      <c r="E4" s="189"/>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189"/>
      <c r="AL4" s="5" t="s">
        <v>279</v>
      </c>
      <c r="AM4" s="5" t="s">
        <v>250</v>
      </c>
      <c r="AN4" s="5" t="s">
        <v>1634</v>
      </c>
      <c r="AO4" s="5" t="s">
        <v>250</v>
      </c>
      <c r="AP4" s="5" t="s">
        <v>279</v>
      </c>
      <c r="AQ4" s="5" t="s">
        <v>1646</v>
      </c>
      <c r="AR4" s="5" t="s">
        <v>1647</v>
      </c>
      <c r="AS4" s="5" t="s">
        <v>407</v>
      </c>
      <c r="AT4" s="5" t="s">
        <v>1633</v>
      </c>
      <c r="AU4" s="5" t="s">
        <v>1637</v>
      </c>
      <c r="AV4" s="5" t="s">
        <v>279</v>
      </c>
      <c r="AW4" s="5" t="s">
        <v>407</v>
      </c>
      <c r="AX4" s="5" t="s">
        <v>279</v>
      </c>
      <c r="AY4" s="5" t="s">
        <v>1634</v>
      </c>
      <c r="AZ4" s="5" t="s">
        <v>279</v>
      </c>
      <c r="BA4" s="5" t="s">
        <v>1635</v>
      </c>
    </row>
    <row r="5" spans="1:53" ht="165.6">
      <c r="A5" s="189"/>
      <c r="B5" s="189" t="s">
        <v>1641</v>
      </c>
      <c r="C5" s="189"/>
      <c r="D5" s="189"/>
      <c r="E5" s="189"/>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189"/>
      <c r="AL5" s="5"/>
      <c r="AM5" s="5" t="s">
        <v>1649</v>
      </c>
      <c r="AN5" s="5"/>
      <c r="AO5" s="5"/>
      <c r="AP5" s="5"/>
      <c r="AQ5" s="5"/>
      <c r="AR5" s="5"/>
      <c r="AS5" s="5"/>
      <c r="AT5" s="5" t="s">
        <v>1638</v>
      </c>
      <c r="AU5" s="5" t="s">
        <v>1638</v>
      </c>
      <c r="AV5" s="5" t="s">
        <v>1643</v>
      </c>
      <c r="AW5" s="5" t="s">
        <v>1644</v>
      </c>
      <c r="AX5" s="5" t="s">
        <v>1645</v>
      </c>
      <c r="AY5" s="5" t="s">
        <v>1645</v>
      </c>
      <c r="AZ5" s="5" t="s">
        <v>1640</v>
      </c>
      <c r="BA5" s="5" t="s">
        <v>1640</v>
      </c>
    </row>
    <row r="6" spans="1:53" s="158" customFormat="1" ht="409.6">
      <c r="A6" s="189"/>
      <c r="B6" s="189" t="s">
        <v>1642</v>
      </c>
      <c r="C6" s="189"/>
      <c r="D6" s="189"/>
      <c r="E6" s="189"/>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189"/>
      <c r="AL6" s="5" t="s">
        <v>1652</v>
      </c>
      <c r="AM6" s="5" t="s">
        <v>1648</v>
      </c>
      <c r="AN6" s="5" t="s">
        <v>1661</v>
      </c>
      <c r="AO6" s="5"/>
      <c r="AP6" s="5" t="s">
        <v>1662</v>
      </c>
      <c r="AQ6" s="5" t="s">
        <v>1663</v>
      </c>
      <c r="AR6" s="5" t="s">
        <v>1654</v>
      </c>
      <c r="AS6" s="5" t="s">
        <v>1651</v>
      </c>
      <c r="AT6" s="5"/>
      <c r="AU6" s="5"/>
      <c r="AV6" s="5"/>
      <c r="AW6" s="5"/>
      <c r="AX6" s="5"/>
      <c r="AY6" s="5"/>
      <c r="AZ6" s="5"/>
      <c r="BA6" s="5"/>
    </row>
    <row r="7" spans="1:53" ht="32.4" customHeight="1">
      <c r="A7" s="7">
        <v>1</v>
      </c>
      <c r="B7" s="7" t="s">
        <v>73</v>
      </c>
      <c r="C7" s="7" t="s">
        <v>74</v>
      </c>
      <c r="D7" s="7" t="s">
        <v>75</v>
      </c>
      <c r="E7" s="7"/>
      <c r="F7" s="8" t="s">
        <v>76</v>
      </c>
      <c r="G7" s="9"/>
      <c r="H7" s="9"/>
      <c r="I7" s="9"/>
      <c r="J7" s="9"/>
      <c r="K7" s="166"/>
      <c r="L7" s="173" t="s">
        <v>78</v>
      </c>
      <c r="M7" s="13" t="s">
        <v>78</v>
      </c>
      <c r="N7" s="13" t="s">
        <v>79</v>
      </c>
      <c r="O7" s="157" t="s">
        <v>80</v>
      </c>
      <c r="P7" s="157" t="s">
        <v>80</v>
      </c>
      <c r="Q7" s="157" t="s">
        <v>80</v>
      </c>
      <c r="R7" s="157" t="s">
        <v>80</v>
      </c>
      <c r="S7" s="157" t="s">
        <v>80</v>
      </c>
      <c r="T7" s="161"/>
      <c r="U7" s="161"/>
      <c r="V7" s="166"/>
      <c r="W7" s="157" t="s">
        <v>78</v>
      </c>
      <c r="X7" s="13"/>
      <c r="Y7" s="157" t="s">
        <v>84</v>
      </c>
      <c r="Z7" s="157" t="s">
        <v>84</v>
      </c>
      <c r="AA7" s="157"/>
      <c r="AB7" s="157"/>
      <c r="AC7" s="157"/>
      <c r="AD7" s="166"/>
      <c r="AE7" s="12" t="s">
        <v>74</v>
      </c>
      <c r="AF7" s="13" t="s">
        <v>86</v>
      </c>
      <c r="AG7" s="13" t="s">
        <v>88</v>
      </c>
      <c r="AH7" s="13" t="s">
        <v>89</v>
      </c>
      <c r="AI7" s="13"/>
      <c r="AJ7" s="13"/>
      <c r="AK7" s="7">
        <v>4</v>
      </c>
      <c r="AL7" s="5" t="s">
        <v>80</v>
      </c>
      <c r="AM7" s="5" t="s">
        <v>80</v>
      </c>
      <c r="AN7" s="5" t="s">
        <v>80</v>
      </c>
      <c r="AO7" s="5" t="s">
        <v>80</v>
      </c>
      <c r="AP7" s="5" t="s">
        <v>80</v>
      </c>
      <c r="AQ7" s="5" t="s">
        <v>80</v>
      </c>
      <c r="AR7" s="5" t="s">
        <v>80</v>
      </c>
      <c r="AS7" s="5" t="s">
        <v>80</v>
      </c>
      <c r="AT7" s="5"/>
      <c r="AU7" s="5"/>
      <c r="AV7" s="5"/>
      <c r="AW7" s="5" t="s">
        <v>1639</v>
      </c>
      <c r="AX7" s="5"/>
      <c r="AY7" s="5"/>
      <c r="AZ7" s="5"/>
      <c r="BA7" s="5"/>
    </row>
    <row r="8" spans="1:53" ht="32.4" customHeight="1">
      <c r="A8" s="7">
        <v>1</v>
      </c>
      <c r="B8" s="7" t="s">
        <v>73</v>
      </c>
      <c r="C8" s="7" t="s">
        <v>91</v>
      </c>
      <c r="D8" s="7" t="s">
        <v>92</v>
      </c>
      <c r="E8" s="7"/>
      <c r="F8" s="8" t="s">
        <v>93</v>
      </c>
      <c r="G8" s="9"/>
      <c r="H8" s="9"/>
      <c r="I8" s="9"/>
      <c r="J8" s="9"/>
      <c r="K8" s="166"/>
      <c r="L8" s="13" t="s">
        <v>94</v>
      </c>
      <c r="M8" s="13" t="s">
        <v>1569</v>
      </c>
      <c r="N8" s="13" t="s">
        <v>95</v>
      </c>
      <c r="O8" s="157" t="s">
        <v>80</v>
      </c>
      <c r="P8" s="157" t="s">
        <v>80</v>
      </c>
      <c r="Q8" s="157" t="s">
        <v>80</v>
      </c>
      <c r="R8" s="157" t="s">
        <v>80</v>
      </c>
      <c r="S8" s="157" t="s">
        <v>80</v>
      </c>
      <c r="T8" s="164"/>
      <c r="U8" s="164"/>
      <c r="V8" s="166"/>
      <c r="W8" s="17" t="s">
        <v>96</v>
      </c>
      <c r="X8" s="157"/>
      <c r="Y8" s="157" t="s">
        <v>97</v>
      </c>
      <c r="Z8" s="157" t="s">
        <v>97</v>
      </c>
      <c r="AA8" s="157"/>
      <c r="AB8" s="157"/>
      <c r="AC8" s="157"/>
      <c r="AD8" s="166"/>
      <c r="AE8" s="12" t="s">
        <v>91</v>
      </c>
      <c r="AF8" s="13" t="s">
        <v>92</v>
      </c>
      <c r="AG8" s="13" t="s">
        <v>98</v>
      </c>
      <c r="AH8" s="13" t="s">
        <v>89</v>
      </c>
      <c r="AI8" s="13"/>
      <c r="AJ8" s="13"/>
      <c r="AK8" s="7">
        <v>4</v>
      </c>
      <c r="AL8" s="5" t="s">
        <v>80</v>
      </c>
      <c r="AM8" s="5" t="s">
        <v>80</v>
      </c>
      <c r="AN8" s="5" t="s">
        <v>80</v>
      </c>
      <c r="AO8" s="5" t="s">
        <v>80</v>
      </c>
      <c r="AP8" s="5" t="s">
        <v>80</v>
      </c>
      <c r="AQ8" s="5" t="s">
        <v>80</v>
      </c>
      <c r="AR8" s="5" t="s">
        <v>80</v>
      </c>
      <c r="AS8" s="5" t="s">
        <v>80</v>
      </c>
      <c r="AT8" s="5"/>
      <c r="AU8" s="5"/>
      <c r="AV8" s="5"/>
      <c r="AW8" s="5"/>
      <c r="AX8" s="5"/>
      <c r="AY8" s="5"/>
      <c r="AZ8" s="5"/>
      <c r="BA8" s="5"/>
    </row>
    <row r="9" spans="1:53" ht="32.4" customHeight="1">
      <c r="A9" s="7">
        <v>1</v>
      </c>
      <c r="B9" s="7" t="s">
        <v>73</v>
      </c>
      <c r="C9" s="7" t="s">
        <v>99</v>
      </c>
      <c r="D9" s="7" t="s">
        <v>100</v>
      </c>
      <c r="E9" s="7" t="s">
        <v>101</v>
      </c>
      <c r="F9" s="12" t="s">
        <v>102</v>
      </c>
      <c r="G9" s="13"/>
      <c r="H9" s="13"/>
      <c r="I9" s="13"/>
      <c r="J9" s="13"/>
      <c r="K9" s="167"/>
      <c r="L9" s="162"/>
      <c r="M9" s="13"/>
      <c r="N9" s="13"/>
      <c r="O9" s="13"/>
      <c r="P9" s="13"/>
      <c r="Q9" s="13"/>
      <c r="R9" s="13"/>
      <c r="S9" s="13"/>
      <c r="T9" s="13"/>
      <c r="U9" s="13"/>
      <c r="V9" s="167"/>
      <c r="W9" s="17" t="s">
        <v>103</v>
      </c>
      <c r="X9" s="13"/>
      <c r="Y9" s="157" t="s">
        <v>104</v>
      </c>
      <c r="Z9" s="157" t="s">
        <v>104</v>
      </c>
      <c r="AA9" s="157"/>
      <c r="AB9" s="157"/>
      <c r="AC9" s="157"/>
      <c r="AD9" s="167"/>
      <c r="AE9" s="12" t="s">
        <v>105</v>
      </c>
      <c r="AF9" s="13" t="s">
        <v>106</v>
      </c>
      <c r="AG9" s="13" t="s">
        <v>80</v>
      </c>
      <c r="AH9" s="13" t="s">
        <v>89</v>
      </c>
      <c r="AI9" s="13"/>
      <c r="AJ9" s="13"/>
      <c r="AK9" s="7">
        <v>3</v>
      </c>
      <c r="AL9" s="5" t="s">
        <v>80</v>
      </c>
      <c r="AM9" s="5" t="s">
        <v>80</v>
      </c>
      <c r="AN9" s="5" t="s">
        <v>80</v>
      </c>
      <c r="AO9" s="5" t="s">
        <v>80</v>
      </c>
      <c r="AP9" s="5" t="s">
        <v>80</v>
      </c>
      <c r="AQ9" s="5" t="s">
        <v>80</v>
      </c>
      <c r="AR9" s="5" t="s">
        <v>80</v>
      </c>
      <c r="AS9" s="5" t="s">
        <v>80</v>
      </c>
      <c r="AT9" s="5"/>
      <c r="AU9" s="5"/>
      <c r="AV9" s="5"/>
      <c r="AW9" s="5"/>
      <c r="AX9" s="5"/>
      <c r="AY9" s="5"/>
      <c r="AZ9" s="5"/>
      <c r="BA9" s="5"/>
    </row>
    <row r="10" spans="1:53" ht="32.4" customHeight="1">
      <c r="A10" s="7">
        <v>1</v>
      </c>
      <c r="B10" s="7" t="s">
        <v>73</v>
      </c>
      <c r="C10" s="7" t="s">
        <v>107</v>
      </c>
      <c r="D10" s="7" t="s">
        <v>108</v>
      </c>
      <c r="E10" s="7" t="s">
        <v>109</v>
      </c>
      <c r="F10" s="8" t="s">
        <v>110</v>
      </c>
      <c r="G10" s="9"/>
      <c r="H10" s="9"/>
      <c r="I10" s="9"/>
      <c r="J10" s="9"/>
      <c r="K10" s="166"/>
      <c r="L10" s="153" t="s">
        <v>108</v>
      </c>
      <c r="M10" s="36" t="s">
        <v>1575</v>
      </c>
      <c r="N10" s="13" t="s">
        <v>111</v>
      </c>
      <c r="O10" s="157" t="s">
        <v>80</v>
      </c>
      <c r="P10" s="157" t="s">
        <v>112</v>
      </c>
      <c r="Q10" s="157" t="s">
        <v>80</v>
      </c>
      <c r="R10" s="157" t="s">
        <v>80</v>
      </c>
      <c r="S10" s="157" t="s">
        <v>80</v>
      </c>
      <c r="T10" s="157"/>
      <c r="U10" s="157"/>
      <c r="V10" s="166"/>
      <c r="W10" s="17" t="s">
        <v>113</v>
      </c>
      <c r="X10" s="11"/>
      <c r="Y10" s="157" t="s">
        <v>114</v>
      </c>
      <c r="Z10" s="157" t="s">
        <v>114</v>
      </c>
      <c r="AA10" s="157"/>
      <c r="AB10" s="157"/>
      <c r="AC10" s="157"/>
      <c r="AD10" s="166"/>
      <c r="AE10" s="12"/>
      <c r="AF10" s="13"/>
      <c r="AG10" s="13"/>
      <c r="AH10" s="13"/>
      <c r="AI10" s="13"/>
      <c r="AJ10" s="13"/>
      <c r="AK10" s="7">
        <v>3</v>
      </c>
      <c r="AL10" s="5" t="s">
        <v>80</v>
      </c>
      <c r="AM10" s="5" t="s">
        <v>80</v>
      </c>
      <c r="AN10" s="5" t="s">
        <v>80</v>
      </c>
      <c r="AO10" s="5" t="s">
        <v>80</v>
      </c>
      <c r="AP10" s="5" t="s">
        <v>80</v>
      </c>
      <c r="AQ10" s="5" t="s">
        <v>80</v>
      </c>
      <c r="AR10" s="5" t="s">
        <v>80</v>
      </c>
      <c r="AS10" s="5" t="s">
        <v>80</v>
      </c>
      <c r="AT10" s="5"/>
      <c r="AU10" s="5"/>
      <c r="AV10" s="5"/>
      <c r="AW10" s="5"/>
      <c r="AX10" s="5"/>
      <c r="AY10" s="5"/>
      <c r="AZ10" s="5"/>
      <c r="BA10" s="5"/>
    </row>
    <row r="11" spans="1:53" ht="32.4" customHeight="1">
      <c r="A11" s="14">
        <v>2</v>
      </c>
      <c r="B11" s="14" t="s">
        <v>174</v>
      </c>
      <c r="C11" s="14" t="s">
        <v>175</v>
      </c>
      <c r="D11" s="14" t="s">
        <v>176</v>
      </c>
      <c r="E11" s="14" t="s">
        <v>177</v>
      </c>
      <c r="F11" s="12" t="s">
        <v>178</v>
      </c>
      <c r="G11" s="13"/>
      <c r="H11" s="13"/>
      <c r="I11" s="13"/>
      <c r="J11" s="13"/>
      <c r="K11" s="167"/>
      <c r="L11" s="13" t="s">
        <v>176</v>
      </c>
      <c r="M11" s="160" t="s">
        <v>1564</v>
      </c>
      <c r="N11" s="13" t="s">
        <v>179</v>
      </c>
      <c r="O11" s="157" t="s">
        <v>80</v>
      </c>
      <c r="P11" s="157" t="s">
        <v>180</v>
      </c>
      <c r="Q11" s="157" t="s">
        <v>80</v>
      </c>
      <c r="R11" s="157" t="s">
        <v>80</v>
      </c>
      <c r="S11" s="157" t="s">
        <v>80</v>
      </c>
      <c r="T11" s="157"/>
      <c r="U11" s="157"/>
      <c r="V11" s="167"/>
      <c r="W11" s="17" t="s">
        <v>218</v>
      </c>
      <c r="X11" s="13"/>
      <c r="Y11" s="157" t="s">
        <v>182</v>
      </c>
      <c r="Z11" s="157" t="s">
        <v>182</v>
      </c>
      <c r="AA11" s="157" t="s">
        <v>183</v>
      </c>
      <c r="AB11" s="157"/>
      <c r="AC11" s="157"/>
      <c r="AD11" s="167"/>
      <c r="AE11" s="12" t="s">
        <v>175</v>
      </c>
      <c r="AF11" s="13" t="s">
        <v>184</v>
      </c>
      <c r="AG11" s="13" t="s">
        <v>185</v>
      </c>
      <c r="AH11" s="157" t="s">
        <v>186</v>
      </c>
      <c r="AI11" s="157"/>
      <c r="AJ11" s="157"/>
      <c r="AK11" s="14">
        <v>4</v>
      </c>
      <c r="AL11" s="5" t="s">
        <v>80</v>
      </c>
      <c r="AM11" s="5" t="s">
        <v>80</v>
      </c>
      <c r="AN11" s="5" t="s">
        <v>80</v>
      </c>
      <c r="AO11" s="5" t="s">
        <v>80</v>
      </c>
      <c r="AP11" s="5" t="s">
        <v>80</v>
      </c>
      <c r="AQ11" s="5" t="s">
        <v>80</v>
      </c>
      <c r="AR11" s="5" t="s">
        <v>80</v>
      </c>
      <c r="AS11" s="5" t="s">
        <v>80</v>
      </c>
      <c r="AT11" s="5"/>
      <c r="AU11" s="5"/>
      <c r="AV11" s="5"/>
      <c r="AW11" s="5"/>
      <c r="AX11" s="5"/>
      <c r="AY11" s="5"/>
      <c r="AZ11" s="5"/>
      <c r="BA11" s="5"/>
    </row>
    <row r="12" spans="1:53" ht="32.4" customHeight="1">
      <c r="A12" s="14">
        <v>2</v>
      </c>
      <c r="B12" s="14" t="s">
        <v>174</v>
      </c>
      <c r="C12" s="14" t="s">
        <v>187</v>
      </c>
      <c r="D12" s="14" t="s">
        <v>188</v>
      </c>
      <c r="E12" s="14" t="s">
        <v>177</v>
      </c>
      <c r="F12" s="12" t="s">
        <v>189</v>
      </c>
      <c r="G12" s="13"/>
      <c r="H12" s="13"/>
      <c r="I12" s="13"/>
      <c r="J12" s="13"/>
      <c r="K12" s="167"/>
      <c r="L12" s="13" t="s">
        <v>188</v>
      </c>
      <c r="M12" s="160" t="s">
        <v>1570</v>
      </c>
      <c r="N12" s="13" t="s">
        <v>190</v>
      </c>
      <c r="O12" s="157" t="s">
        <v>80</v>
      </c>
      <c r="P12" s="157" t="s">
        <v>180</v>
      </c>
      <c r="Q12" s="157" t="s">
        <v>80</v>
      </c>
      <c r="R12" s="157" t="s">
        <v>80</v>
      </c>
      <c r="S12" s="157" t="s">
        <v>80</v>
      </c>
      <c r="T12" s="157"/>
      <c r="U12" s="157"/>
      <c r="V12" s="167"/>
      <c r="W12" s="17" t="s">
        <v>220</v>
      </c>
      <c r="X12" s="13"/>
      <c r="Y12" s="157" t="s">
        <v>192</v>
      </c>
      <c r="Z12" s="157" t="s">
        <v>192</v>
      </c>
      <c r="AA12" s="157" t="s">
        <v>183</v>
      </c>
      <c r="AB12" s="157"/>
      <c r="AC12" s="157"/>
      <c r="AD12" s="167"/>
      <c r="AE12" s="12" t="s">
        <v>187</v>
      </c>
      <c r="AF12" s="13" t="s">
        <v>193</v>
      </c>
      <c r="AG12" s="13" t="s">
        <v>185</v>
      </c>
      <c r="AH12" s="157" t="s">
        <v>186</v>
      </c>
      <c r="AI12" s="157"/>
      <c r="AJ12" s="157"/>
      <c r="AK12" s="14">
        <v>4</v>
      </c>
      <c r="AL12" s="5" t="s">
        <v>80</v>
      </c>
      <c r="AM12" s="5" t="s">
        <v>80</v>
      </c>
      <c r="AN12" s="5" t="s">
        <v>80</v>
      </c>
      <c r="AO12" s="5" t="s">
        <v>80</v>
      </c>
      <c r="AP12" s="5" t="s">
        <v>80</v>
      </c>
      <c r="AQ12" s="5" t="s">
        <v>80</v>
      </c>
      <c r="AR12" s="5" t="s">
        <v>80</v>
      </c>
      <c r="AS12" s="5" t="s">
        <v>80</v>
      </c>
      <c r="AT12" s="5"/>
      <c r="AU12" s="5"/>
      <c r="AV12" s="5"/>
      <c r="AW12" s="5"/>
      <c r="AX12" s="5"/>
      <c r="AY12" s="5"/>
      <c r="AZ12" s="5"/>
      <c r="BA12" s="5"/>
    </row>
    <row r="13" spans="1:53" ht="32.4" customHeight="1">
      <c r="A13" s="16">
        <v>4</v>
      </c>
      <c r="B13" s="16" t="s">
        <v>262</v>
      </c>
      <c r="C13" s="16" t="s">
        <v>263</v>
      </c>
      <c r="D13" s="16" t="s">
        <v>264</v>
      </c>
      <c r="E13" s="16" t="s">
        <v>265</v>
      </c>
      <c r="F13" s="8" t="s">
        <v>266</v>
      </c>
      <c r="G13" s="9"/>
      <c r="H13" s="9"/>
      <c r="I13" s="9"/>
      <c r="J13" s="9"/>
      <c r="K13" s="166"/>
      <c r="L13" s="13" t="s">
        <v>267</v>
      </c>
      <c r="M13" s="13" t="s">
        <v>1568</v>
      </c>
      <c r="N13" s="13" t="s">
        <v>268</v>
      </c>
      <c r="O13" s="157" t="s">
        <v>80</v>
      </c>
      <c r="P13" s="157" t="s">
        <v>250</v>
      </c>
      <c r="Q13" s="157">
        <v>0</v>
      </c>
      <c r="R13" s="157" t="s">
        <v>161</v>
      </c>
      <c r="S13" s="157" t="s">
        <v>80</v>
      </c>
      <c r="T13" s="157"/>
      <c r="U13" s="157"/>
      <c r="V13" s="166"/>
      <c r="W13" s="17" t="s">
        <v>269</v>
      </c>
      <c r="X13" s="157" t="s">
        <v>270</v>
      </c>
      <c r="Y13" s="157" t="s">
        <v>271</v>
      </c>
      <c r="Z13" s="157" t="s">
        <v>271</v>
      </c>
      <c r="AA13" s="157" t="s">
        <v>250</v>
      </c>
      <c r="AB13" s="157"/>
      <c r="AC13" s="157"/>
      <c r="AD13" s="166"/>
      <c r="AE13" s="12" t="s">
        <v>263</v>
      </c>
      <c r="AF13" s="13" t="s">
        <v>272</v>
      </c>
      <c r="AG13" s="13" t="s">
        <v>273</v>
      </c>
      <c r="AH13" s="13" t="s">
        <v>250</v>
      </c>
      <c r="AI13" s="13"/>
      <c r="AJ13" s="13"/>
      <c r="AK13" s="16">
        <v>4</v>
      </c>
      <c r="AL13" s="5" t="s">
        <v>80</v>
      </c>
      <c r="AM13" s="5" t="s">
        <v>80</v>
      </c>
      <c r="AN13" s="5" t="s">
        <v>80</v>
      </c>
      <c r="AO13" s="5" t="s">
        <v>80</v>
      </c>
      <c r="AP13" s="5" t="s">
        <v>80</v>
      </c>
      <c r="AQ13" s="5" t="s">
        <v>80</v>
      </c>
      <c r="AR13" s="5" t="s">
        <v>80</v>
      </c>
      <c r="AS13" s="5" t="s">
        <v>80</v>
      </c>
      <c r="AT13" s="5"/>
      <c r="AU13" s="5"/>
      <c r="AV13" s="5"/>
      <c r="AW13" s="5"/>
      <c r="AX13" s="5"/>
      <c r="AY13" s="5"/>
      <c r="AZ13" s="5"/>
      <c r="BA13" s="5"/>
    </row>
    <row r="14" spans="1:53" ht="32.4" customHeight="1">
      <c r="A14" s="16">
        <v>4</v>
      </c>
      <c r="B14" s="16" t="s">
        <v>262</v>
      </c>
      <c r="C14" s="16" t="s">
        <v>274</v>
      </c>
      <c r="D14" s="16" t="s">
        <v>275</v>
      </c>
      <c r="E14" s="16" t="s">
        <v>265</v>
      </c>
      <c r="F14" s="12" t="s">
        <v>276</v>
      </c>
      <c r="G14" s="13"/>
      <c r="H14" s="13"/>
      <c r="I14" s="13"/>
      <c r="J14" s="13"/>
      <c r="K14" s="167"/>
      <c r="L14" s="13" t="s">
        <v>277</v>
      </c>
      <c r="M14" s="160" t="s">
        <v>1567</v>
      </c>
      <c r="N14" s="13" t="s">
        <v>278</v>
      </c>
      <c r="O14" s="157" t="s">
        <v>80</v>
      </c>
      <c r="P14" s="157" t="s">
        <v>279</v>
      </c>
      <c r="Q14" s="157">
        <v>0</v>
      </c>
      <c r="R14" s="157" t="s">
        <v>280</v>
      </c>
      <c r="S14" s="157" t="s">
        <v>80</v>
      </c>
      <c r="T14" s="157"/>
      <c r="U14" s="157"/>
      <c r="V14" s="167"/>
      <c r="W14" s="17" t="s">
        <v>281</v>
      </c>
      <c r="X14" s="157" t="s">
        <v>282</v>
      </c>
      <c r="Y14" s="157" t="s">
        <v>283</v>
      </c>
      <c r="Z14" s="157" t="s">
        <v>283</v>
      </c>
      <c r="AA14" s="157" t="s">
        <v>279</v>
      </c>
      <c r="AB14" s="157"/>
      <c r="AC14" s="157"/>
      <c r="AD14" s="167"/>
      <c r="AE14" s="12" t="s">
        <v>274</v>
      </c>
      <c r="AF14" s="13" t="s">
        <v>275</v>
      </c>
      <c r="AG14" s="13" t="s">
        <v>284</v>
      </c>
      <c r="AH14" s="13" t="s">
        <v>285</v>
      </c>
      <c r="AI14" s="13"/>
      <c r="AJ14" s="13"/>
      <c r="AK14" s="16">
        <v>4</v>
      </c>
      <c r="AL14" s="5" t="s">
        <v>80</v>
      </c>
      <c r="AM14" s="5" t="s">
        <v>80</v>
      </c>
      <c r="AN14" s="5" t="s">
        <v>80</v>
      </c>
      <c r="AO14" s="5" t="s">
        <v>80</v>
      </c>
      <c r="AP14" s="5" t="s">
        <v>80</v>
      </c>
      <c r="AQ14" s="5" t="s">
        <v>80</v>
      </c>
      <c r="AR14" s="5" t="s">
        <v>80</v>
      </c>
      <c r="AS14" s="5" t="s">
        <v>80</v>
      </c>
      <c r="AT14" s="5"/>
      <c r="AU14" s="5"/>
      <c r="AV14" s="5"/>
      <c r="AW14" s="5"/>
      <c r="AX14" s="5"/>
      <c r="AY14" s="5"/>
      <c r="AZ14" s="5"/>
      <c r="BA14" s="5"/>
    </row>
    <row r="15" spans="1:53" ht="32.4" customHeight="1">
      <c r="A15" s="16">
        <v>4</v>
      </c>
      <c r="B15" s="16" t="s">
        <v>262</v>
      </c>
      <c r="C15" s="16" t="s">
        <v>286</v>
      </c>
      <c r="D15" s="16" t="s">
        <v>287</v>
      </c>
      <c r="E15" s="16" t="s">
        <v>265</v>
      </c>
      <c r="F15" s="12" t="s">
        <v>288</v>
      </c>
      <c r="G15" s="13"/>
      <c r="H15" s="13"/>
      <c r="I15" s="13"/>
      <c r="J15" s="13"/>
      <c r="K15" s="167"/>
      <c r="L15" s="13" t="s">
        <v>289</v>
      </c>
      <c r="M15" s="160" t="s">
        <v>1566</v>
      </c>
      <c r="N15" s="13" t="s">
        <v>290</v>
      </c>
      <c r="O15" s="157" t="s">
        <v>80</v>
      </c>
      <c r="P15" s="157" t="s">
        <v>250</v>
      </c>
      <c r="Q15" s="157">
        <v>150</v>
      </c>
      <c r="R15" s="157">
        <v>4000</v>
      </c>
      <c r="S15" s="157" t="s">
        <v>80</v>
      </c>
      <c r="T15" s="157"/>
      <c r="U15" s="157"/>
      <c r="V15" s="167"/>
      <c r="W15" s="17" t="s">
        <v>291</v>
      </c>
      <c r="X15" s="157" t="s">
        <v>292</v>
      </c>
      <c r="Y15" s="157" t="s">
        <v>293</v>
      </c>
      <c r="Z15" s="157" t="s">
        <v>293</v>
      </c>
      <c r="AA15" s="157"/>
      <c r="AB15" s="157"/>
      <c r="AC15" s="157"/>
      <c r="AD15" s="167"/>
      <c r="AE15" s="12" t="s">
        <v>286</v>
      </c>
      <c r="AF15" s="13" t="s">
        <v>287</v>
      </c>
      <c r="AG15" s="13" t="s">
        <v>294</v>
      </c>
      <c r="AH15" s="13" t="s">
        <v>250</v>
      </c>
      <c r="AI15" s="13"/>
      <c r="AJ15" s="13"/>
      <c r="AK15" s="16">
        <v>4</v>
      </c>
      <c r="AL15" s="5" t="s">
        <v>80</v>
      </c>
      <c r="AM15" s="5" t="s">
        <v>80</v>
      </c>
      <c r="AN15" s="5" t="s">
        <v>80</v>
      </c>
      <c r="AO15" s="5" t="s">
        <v>80</v>
      </c>
      <c r="AP15" s="5" t="s">
        <v>80</v>
      </c>
      <c r="AQ15" s="5" t="s">
        <v>80</v>
      </c>
      <c r="AR15" s="5" t="s">
        <v>80</v>
      </c>
      <c r="AS15" s="5" t="s">
        <v>80</v>
      </c>
      <c r="AT15" s="5"/>
      <c r="AU15" s="5"/>
      <c r="AV15" s="5"/>
      <c r="AW15" s="5"/>
      <c r="AX15" s="5"/>
      <c r="AY15" s="5"/>
      <c r="AZ15" s="5"/>
      <c r="BA15" s="5"/>
    </row>
    <row r="16" spans="1:53" ht="32.4" customHeight="1">
      <c r="A16" s="16">
        <v>4</v>
      </c>
      <c r="B16" s="16" t="s">
        <v>262</v>
      </c>
      <c r="C16" s="16" t="s">
        <v>295</v>
      </c>
      <c r="D16" s="16" t="s">
        <v>296</v>
      </c>
      <c r="E16" s="16" t="s">
        <v>265</v>
      </c>
      <c r="F16" s="12" t="s">
        <v>297</v>
      </c>
      <c r="G16" s="13"/>
      <c r="H16" s="13"/>
      <c r="I16" s="13"/>
      <c r="J16" s="13"/>
      <c r="K16" s="167"/>
      <c r="L16" s="13"/>
      <c r="M16" s="13"/>
      <c r="N16" s="13"/>
      <c r="O16" s="13"/>
      <c r="P16" s="13"/>
      <c r="Q16" s="13"/>
      <c r="R16" s="13"/>
      <c r="S16" s="13"/>
      <c r="T16" s="13"/>
      <c r="U16" s="13"/>
      <c r="V16" s="167"/>
      <c r="W16" s="17" t="s">
        <v>298</v>
      </c>
      <c r="X16" s="157" t="s">
        <v>270</v>
      </c>
      <c r="Y16" s="157" t="s">
        <v>299</v>
      </c>
      <c r="Z16" s="157" t="s">
        <v>299</v>
      </c>
      <c r="AA16" s="157" t="s">
        <v>300</v>
      </c>
      <c r="AB16" s="157"/>
      <c r="AC16" s="157"/>
      <c r="AD16" s="167"/>
      <c r="AE16" s="12" t="s">
        <v>295</v>
      </c>
      <c r="AF16" s="13" t="s">
        <v>301</v>
      </c>
      <c r="AG16" s="13" t="s">
        <v>302</v>
      </c>
      <c r="AH16" s="13" t="s">
        <v>303</v>
      </c>
      <c r="AI16" s="13"/>
      <c r="AJ16" s="13"/>
      <c r="AK16" s="16">
        <v>3</v>
      </c>
      <c r="AL16" s="5" t="s">
        <v>80</v>
      </c>
      <c r="AM16" s="5" t="s">
        <v>80</v>
      </c>
      <c r="AN16" s="5" t="s">
        <v>80</v>
      </c>
      <c r="AO16" s="5" t="s">
        <v>80</v>
      </c>
      <c r="AP16" s="5" t="s">
        <v>80</v>
      </c>
      <c r="AQ16" s="5" t="s">
        <v>80</v>
      </c>
      <c r="AR16" s="5" t="s">
        <v>80</v>
      </c>
      <c r="AS16" s="5" t="s">
        <v>80</v>
      </c>
      <c r="AT16" s="5"/>
      <c r="AU16" s="5"/>
      <c r="AV16" s="5"/>
      <c r="AW16" s="5"/>
      <c r="AX16" s="5"/>
      <c r="AY16" s="5"/>
      <c r="AZ16" s="5"/>
      <c r="BA16" s="5"/>
    </row>
    <row r="17" spans="1:53" ht="32.4" customHeight="1">
      <c r="A17" s="16">
        <v>4</v>
      </c>
      <c r="B17" s="16" t="s">
        <v>262</v>
      </c>
      <c r="C17" s="16" t="s">
        <v>304</v>
      </c>
      <c r="D17" s="16" t="s">
        <v>305</v>
      </c>
      <c r="E17" s="16" t="s">
        <v>265</v>
      </c>
      <c r="F17" s="8" t="s">
        <v>306</v>
      </c>
      <c r="G17" s="9"/>
      <c r="H17" s="9"/>
      <c r="I17" s="9"/>
      <c r="J17" s="9"/>
      <c r="K17" s="166"/>
      <c r="L17" s="13" t="s">
        <v>307</v>
      </c>
      <c r="M17" s="13" t="s">
        <v>1577</v>
      </c>
      <c r="N17" s="13" t="s">
        <v>308</v>
      </c>
      <c r="O17" s="157" t="s">
        <v>309</v>
      </c>
      <c r="P17" s="157" t="s">
        <v>250</v>
      </c>
      <c r="Q17" s="157">
        <v>0</v>
      </c>
      <c r="R17" s="157" t="s">
        <v>161</v>
      </c>
      <c r="S17" s="157" t="s">
        <v>80</v>
      </c>
      <c r="T17" s="157"/>
      <c r="U17" s="157"/>
      <c r="V17" s="166"/>
      <c r="W17" s="17" t="s">
        <v>310</v>
      </c>
      <c r="X17" s="157" t="s">
        <v>270</v>
      </c>
      <c r="Y17" s="157" t="s">
        <v>311</v>
      </c>
      <c r="Z17" s="157" t="s">
        <v>311</v>
      </c>
      <c r="AA17" s="157" t="s">
        <v>250</v>
      </c>
      <c r="AB17" s="157"/>
      <c r="AC17" s="157"/>
      <c r="AD17" s="166"/>
      <c r="AE17" s="12"/>
      <c r="AF17" s="13"/>
      <c r="AG17" s="13"/>
      <c r="AH17" s="13"/>
      <c r="AI17" s="13"/>
      <c r="AJ17" s="13"/>
      <c r="AK17" s="16">
        <v>3</v>
      </c>
      <c r="AL17" s="5" t="s">
        <v>80</v>
      </c>
      <c r="AM17" s="5" t="s">
        <v>80</v>
      </c>
      <c r="AN17" s="5" t="s">
        <v>80</v>
      </c>
      <c r="AO17" s="5" t="s">
        <v>80</v>
      </c>
      <c r="AP17" s="5" t="s">
        <v>80</v>
      </c>
      <c r="AQ17" s="5" t="s">
        <v>80</v>
      </c>
      <c r="AR17" s="5" t="s">
        <v>80</v>
      </c>
      <c r="AS17" s="5" t="s">
        <v>80</v>
      </c>
      <c r="AT17" s="5"/>
      <c r="AU17" s="5"/>
      <c r="AV17" s="5"/>
      <c r="AW17" s="5"/>
      <c r="AX17" s="5"/>
      <c r="AY17" s="5"/>
      <c r="AZ17" s="5"/>
      <c r="BA17" s="5"/>
    </row>
    <row r="18" spans="1:53" ht="32.4" customHeight="1">
      <c r="A18" s="19">
        <v>5</v>
      </c>
      <c r="B18" s="19" t="s">
        <v>382</v>
      </c>
      <c r="C18" s="19" t="s">
        <v>383</v>
      </c>
      <c r="D18" s="19" t="s">
        <v>384</v>
      </c>
      <c r="E18" s="19" t="s">
        <v>265</v>
      </c>
      <c r="F18" s="12" t="s">
        <v>385</v>
      </c>
      <c r="G18" s="13"/>
      <c r="H18" s="13"/>
      <c r="I18" s="13"/>
      <c r="J18" s="13"/>
      <c r="K18" s="167"/>
      <c r="L18" s="13" t="s">
        <v>386</v>
      </c>
      <c r="M18" s="13" t="s">
        <v>1565</v>
      </c>
      <c r="N18" s="13" t="s">
        <v>387</v>
      </c>
      <c r="O18" s="157" t="s">
        <v>371</v>
      </c>
      <c r="P18" s="157" t="s">
        <v>250</v>
      </c>
      <c r="Q18" s="157">
        <v>0</v>
      </c>
      <c r="R18" s="157" t="s">
        <v>161</v>
      </c>
      <c r="S18" s="157" t="s">
        <v>388</v>
      </c>
      <c r="T18" s="157"/>
      <c r="U18" s="157"/>
      <c r="V18" s="167"/>
      <c r="W18" s="17" t="s">
        <v>389</v>
      </c>
      <c r="X18" s="157" t="s">
        <v>390</v>
      </c>
      <c r="Y18" s="157" t="s">
        <v>391</v>
      </c>
      <c r="Z18" s="157" t="s">
        <v>391</v>
      </c>
      <c r="AA18" s="157" t="s">
        <v>381</v>
      </c>
      <c r="AB18" s="157"/>
      <c r="AC18" s="157"/>
      <c r="AD18" s="167"/>
      <c r="AE18" s="12" t="s">
        <v>383</v>
      </c>
      <c r="AF18" s="13" t="s">
        <v>1562</v>
      </c>
      <c r="AG18" s="13" t="s">
        <v>392</v>
      </c>
      <c r="AH18" s="13" t="s">
        <v>250</v>
      </c>
      <c r="AI18" s="13"/>
      <c r="AJ18" s="13"/>
      <c r="AK18" s="19">
        <v>4</v>
      </c>
      <c r="AL18" s="5" t="s">
        <v>1610</v>
      </c>
      <c r="AM18" s="5" t="s">
        <v>1610</v>
      </c>
      <c r="AN18" s="5" t="s">
        <v>1266</v>
      </c>
      <c r="AO18" s="5" t="s">
        <v>1270</v>
      </c>
      <c r="AP18" s="5"/>
      <c r="AQ18" s="5" t="s">
        <v>1270</v>
      </c>
      <c r="AR18" s="5" t="s">
        <v>1611</v>
      </c>
      <c r="AS18" s="5" t="s">
        <v>1611</v>
      </c>
      <c r="AT18" s="5"/>
      <c r="AU18" s="5"/>
      <c r="AV18" s="5"/>
      <c r="AW18" s="5"/>
      <c r="AX18" s="5"/>
      <c r="AY18" s="5"/>
      <c r="AZ18" s="5"/>
      <c r="BA18" s="5"/>
    </row>
    <row r="19" spans="1:53" ht="32.4" customHeight="1">
      <c r="A19" s="19">
        <v>5</v>
      </c>
      <c r="B19" s="19" t="s">
        <v>382</v>
      </c>
      <c r="C19" s="19" t="s">
        <v>401</v>
      </c>
      <c r="D19" s="19" t="s">
        <v>1586</v>
      </c>
      <c r="E19" s="19" t="s">
        <v>265</v>
      </c>
      <c r="F19" s="12"/>
      <c r="G19" s="13"/>
      <c r="H19" s="13"/>
      <c r="I19" s="13"/>
      <c r="J19" s="13">
        <v>3811</v>
      </c>
      <c r="K19" s="167">
        <v>3852</v>
      </c>
      <c r="L19" s="13" t="s">
        <v>402</v>
      </c>
      <c r="M19" s="13" t="s">
        <v>1579</v>
      </c>
      <c r="N19" s="13" t="s">
        <v>403</v>
      </c>
      <c r="O19" s="157" t="s">
        <v>371</v>
      </c>
      <c r="P19" s="157" t="s">
        <v>279</v>
      </c>
      <c r="Q19" s="157">
        <v>0</v>
      </c>
      <c r="R19" s="157">
        <v>100</v>
      </c>
      <c r="S19" s="157" t="s">
        <v>388</v>
      </c>
      <c r="T19" s="157"/>
      <c r="U19" s="157">
        <v>37</v>
      </c>
      <c r="V19" s="167">
        <v>36</v>
      </c>
      <c r="W19" s="20" t="s">
        <v>404</v>
      </c>
      <c r="X19" s="21" t="s">
        <v>405</v>
      </c>
      <c r="Y19" s="21" t="s">
        <v>406</v>
      </c>
      <c r="Z19" s="157" t="s">
        <v>406</v>
      </c>
      <c r="AA19" s="21" t="s">
        <v>407</v>
      </c>
      <c r="AB19" s="21"/>
      <c r="AC19" s="21">
        <v>92</v>
      </c>
      <c r="AD19" s="167">
        <v>88</v>
      </c>
      <c r="AE19" s="12" t="s">
        <v>401</v>
      </c>
      <c r="AF19" s="13" t="s">
        <v>408</v>
      </c>
      <c r="AG19" s="13" t="s">
        <v>409</v>
      </c>
      <c r="AH19" s="13" t="s">
        <v>285</v>
      </c>
      <c r="AI19" s="13">
        <v>922</v>
      </c>
      <c r="AJ19" s="13">
        <v>55</v>
      </c>
      <c r="AK19" s="19">
        <v>3</v>
      </c>
      <c r="AL19" s="5" t="s">
        <v>1610</v>
      </c>
      <c r="AM19" s="5" t="s">
        <v>1610</v>
      </c>
      <c r="AN19" s="5" t="s">
        <v>1610</v>
      </c>
      <c r="AO19" s="5" t="s">
        <v>1610</v>
      </c>
      <c r="AP19" s="5"/>
      <c r="AQ19" s="5" t="s">
        <v>1270</v>
      </c>
      <c r="AR19" s="5" t="s">
        <v>1611</v>
      </c>
      <c r="AS19" s="5" t="s">
        <v>1611</v>
      </c>
      <c r="AT19" s="5"/>
      <c r="AU19" s="5"/>
      <c r="AV19" s="5"/>
      <c r="AW19" s="5"/>
      <c r="AX19" s="5"/>
      <c r="AY19" s="5"/>
      <c r="AZ19" s="5"/>
      <c r="BA19" s="5"/>
    </row>
    <row r="20" spans="1:53" ht="32.4" customHeight="1">
      <c r="A20" s="22">
        <v>5.0999999999999996</v>
      </c>
      <c r="B20" s="23" t="s">
        <v>1596</v>
      </c>
      <c r="C20" s="23" t="s">
        <v>428</v>
      </c>
      <c r="D20" s="23" t="s">
        <v>429</v>
      </c>
      <c r="E20" s="23" t="s">
        <v>265</v>
      </c>
      <c r="F20" s="12"/>
      <c r="G20" s="13"/>
      <c r="H20" s="13"/>
      <c r="I20" s="13"/>
      <c r="J20" s="13"/>
      <c r="K20" s="167"/>
      <c r="L20" s="13" t="s">
        <v>430</v>
      </c>
      <c r="M20" s="13" t="s">
        <v>1576</v>
      </c>
      <c r="N20" s="13" t="s">
        <v>431</v>
      </c>
      <c r="O20" s="157" t="s">
        <v>80</v>
      </c>
      <c r="P20" s="157" t="s">
        <v>161</v>
      </c>
      <c r="Q20" s="157">
        <v>1</v>
      </c>
      <c r="R20" s="157" t="s">
        <v>80</v>
      </c>
      <c r="S20" s="157" t="s">
        <v>80</v>
      </c>
      <c r="T20" s="157"/>
      <c r="U20" s="157"/>
      <c r="V20" s="167"/>
      <c r="W20" s="20" t="s">
        <v>432</v>
      </c>
      <c r="X20" s="21" t="s">
        <v>282</v>
      </c>
      <c r="Y20" s="21" t="s">
        <v>433</v>
      </c>
      <c r="Z20" s="157" t="s">
        <v>433</v>
      </c>
      <c r="AA20" s="21"/>
      <c r="AB20" s="21"/>
      <c r="AC20" s="21"/>
      <c r="AD20" s="167"/>
      <c r="AE20" s="12" t="s">
        <v>428</v>
      </c>
      <c r="AF20" s="13" t="s">
        <v>434</v>
      </c>
      <c r="AG20" s="13" t="s">
        <v>435</v>
      </c>
      <c r="AH20" s="13" t="s">
        <v>303</v>
      </c>
      <c r="AI20" s="13"/>
      <c r="AJ20" s="13"/>
      <c r="AK20" s="23">
        <v>3</v>
      </c>
      <c r="AL20" s="5" t="s">
        <v>1612</v>
      </c>
      <c r="AM20" s="5" t="s">
        <v>1612</v>
      </c>
      <c r="AN20" s="5" t="s">
        <v>1612</v>
      </c>
      <c r="AO20" s="5" t="s">
        <v>1612</v>
      </c>
      <c r="AP20" s="5" t="s">
        <v>1612</v>
      </c>
      <c r="AQ20" s="5" t="s">
        <v>1612</v>
      </c>
      <c r="AR20" s="5" t="s">
        <v>1612</v>
      </c>
      <c r="AS20" s="5" t="s">
        <v>1612</v>
      </c>
      <c r="AT20" s="5"/>
      <c r="AU20" s="5"/>
      <c r="AV20" s="5"/>
      <c r="AW20" s="5"/>
      <c r="AX20" s="5"/>
      <c r="AY20" s="5"/>
      <c r="AZ20" s="5"/>
      <c r="BA20" s="5"/>
    </row>
    <row r="21" spans="1:53" ht="32.4" customHeight="1">
      <c r="A21" s="22">
        <v>5.0999999999999996</v>
      </c>
      <c r="B21" s="23" t="s">
        <v>1596</v>
      </c>
      <c r="C21" s="23" t="s">
        <v>436</v>
      </c>
      <c r="D21" s="23" t="s">
        <v>437</v>
      </c>
      <c r="E21" s="23" t="s">
        <v>265</v>
      </c>
      <c r="F21" s="8" t="s">
        <v>438</v>
      </c>
      <c r="G21" s="9"/>
      <c r="H21" s="9"/>
      <c r="I21" s="9"/>
      <c r="J21" s="9"/>
      <c r="K21" s="166"/>
      <c r="L21" s="13" t="s">
        <v>437</v>
      </c>
      <c r="M21" s="13" t="s">
        <v>1578</v>
      </c>
      <c r="N21" s="13" t="s">
        <v>439</v>
      </c>
      <c r="O21" s="157" t="s">
        <v>309</v>
      </c>
      <c r="P21" s="157" t="s">
        <v>279</v>
      </c>
      <c r="Q21" s="157">
        <v>0</v>
      </c>
      <c r="R21" s="157">
        <v>100</v>
      </c>
      <c r="S21" s="157" t="s">
        <v>80</v>
      </c>
      <c r="T21" s="157"/>
      <c r="U21" s="157"/>
      <c r="V21" s="166"/>
      <c r="W21" s="17" t="s">
        <v>440</v>
      </c>
      <c r="X21" s="157" t="s">
        <v>327</v>
      </c>
      <c r="Y21" s="157" t="s">
        <v>441</v>
      </c>
      <c r="Z21" s="157" t="s">
        <v>441</v>
      </c>
      <c r="AA21" s="157"/>
      <c r="AB21" s="157" t="s">
        <v>442</v>
      </c>
      <c r="AC21" s="157"/>
      <c r="AD21" s="166"/>
      <c r="AE21" s="12"/>
      <c r="AF21" s="13"/>
      <c r="AG21" s="13"/>
      <c r="AH21" s="13"/>
      <c r="AI21" s="13"/>
      <c r="AJ21" s="13"/>
      <c r="AK21" s="23">
        <v>3</v>
      </c>
      <c r="AL21" s="5" t="s">
        <v>80</v>
      </c>
      <c r="AM21" s="5" t="s">
        <v>80</v>
      </c>
      <c r="AN21" s="5" t="s">
        <v>80</v>
      </c>
      <c r="AO21" s="5" t="s">
        <v>80</v>
      </c>
      <c r="AP21" s="5" t="s">
        <v>80</v>
      </c>
      <c r="AQ21" s="5" t="s">
        <v>80</v>
      </c>
      <c r="AR21" s="5" t="s">
        <v>80</v>
      </c>
      <c r="AS21" s="5" t="s">
        <v>80</v>
      </c>
      <c r="AT21" s="5"/>
      <c r="AU21" s="5"/>
      <c r="AV21" s="5"/>
      <c r="AW21" s="5"/>
      <c r="AX21" s="5"/>
      <c r="AY21" s="5"/>
      <c r="AZ21" s="5"/>
      <c r="BA21" s="5"/>
    </row>
    <row r="22" spans="1:53" ht="32.4" customHeight="1">
      <c r="A22" s="24">
        <v>6</v>
      </c>
      <c r="B22" s="24" t="s">
        <v>520</v>
      </c>
      <c r="C22" s="24" t="s">
        <v>521</v>
      </c>
      <c r="D22" s="24" t="s">
        <v>522</v>
      </c>
      <c r="E22" s="24" t="s">
        <v>265</v>
      </c>
      <c r="F22" s="12"/>
      <c r="G22" s="13"/>
      <c r="H22" s="13"/>
      <c r="I22" s="13"/>
      <c r="J22" s="13"/>
      <c r="K22" s="167"/>
      <c r="L22" s="13" t="s">
        <v>522</v>
      </c>
      <c r="M22" s="13" t="s">
        <v>1585</v>
      </c>
      <c r="N22" s="13" t="s">
        <v>523</v>
      </c>
      <c r="O22" s="157" t="s">
        <v>309</v>
      </c>
      <c r="P22" s="157" t="s">
        <v>524</v>
      </c>
      <c r="Q22" s="157">
        <v>0</v>
      </c>
      <c r="R22" s="157">
        <v>180</v>
      </c>
      <c r="S22" s="157" t="s">
        <v>80</v>
      </c>
      <c r="T22" s="157"/>
      <c r="U22" s="157"/>
      <c r="V22" s="167"/>
      <c r="W22" s="17" t="s">
        <v>525</v>
      </c>
      <c r="X22" s="491" t="s">
        <v>526</v>
      </c>
      <c r="Y22" s="464"/>
      <c r="Z22" s="157" t="s">
        <v>527</v>
      </c>
      <c r="AA22" s="157" t="s">
        <v>524</v>
      </c>
      <c r="AB22" s="157"/>
      <c r="AC22" s="157"/>
      <c r="AD22" s="167"/>
      <c r="AE22" s="12" t="s">
        <v>521</v>
      </c>
      <c r="AF22" s="185" t="s">
        <v>522</v>
      </c>
      <c r="AG22" s="13" t="s">
        <v>528</v>
      </c>
      <c r="AH22" s="13" t="s">
        <v>524</v>
      </c>
      <c r="AI22" s="13"/>
      <c r="AJ22" s="13"/>
      <c r="AK22" s="24">
        <v>3</v>
      </c>
      <c r="AL22" s="5" t="s">
        <v>1610</v>
      </c>
      <c r="AM22" s="5" t="s">
        <v>1613</v>
      </c>
      <c r="AN22" s="5" t="s">
        <v>1266</v>
      </c>
      <c r="AO22" s="5" t="s">
        <v>1270</v>
      </c>
      <c r="AP22" s="5" t="s">
        <v>1610</v>
      </c>
      <c r="AQ22" s="5" t="s">
        <v>1266</v>
      </c>
      <c r="AR22" s="5" t="s">
        <v>1611</v>
      </c>
      <c r="AS22" s="5" t="s">
        <v>1611</v>
      </c>
      <c r="AT22" s="5"/>
      <c r="AU22" s="5"/>
      <c r="AV22" s="5"/>
      <c r="AW22" s="5"/>
      <c r="AX22" s="5"/>
      <c r="AY22" s="5"/>
      <c r="AZ22" s="5"/>
      <c r="BA22" s="5"/>
    </row>
    <row r="23" spans="1:53" ht="32.4" customHeight="1">
      <c r="A23" s="1">
        <v>7</v>
      </c>
      <c r="B23" s="1" t="s">
        <v>568</v>
      </c>
      <c r="C23" s="1" t="s">
        <v>569</v>
      </c>
      <c r="D23" s="1" t="s">
        <v>570</v>
      </c>
      <c r="E23" s="1" t="s">
        <v>265</v>
      </c>
      <c r="F23" s="8" t="s">
        <v>570</v>
      </c>
      <c r="G23" s="9"/>
      <c r="H23" s="9"/>
      <c r="I23" s="9"/>
      <c r="J23" s="9"/>
      <c r="K23" s="166"/>
      <c r="L23" s="13" t="s">
        <v>570</v>
      </c>
      <c r="M23" s="13" t="s">
        <v>570</v>
      </c>
      <c r="N23" s="13" t="s">
        <v>571</v>
      </c>
      <c r="O23" s="157" t="s">
        <v>371</v>
      </c>
      <c r="P23" s="157" t="s">
        <v>572</v>
      </c>
      <c r="Q23" s="157">
        <v>1</v>
      </c>
      <c r="R23" s="157">
        <v>4098</v>
      </c>
      <c r="S23" s="157" t="s">
        <v>388</v>
      </c>
      <c r="T23" s="157"/>
      <c r="U23" s="157"/>
      <c r="V23" s="166"/>
      <c r="W23" s="12"/>
      <c r="X23" s="13"/>
      <c r="Y23" s="13"/>
      <c r="Z23" s="13"/>
      <c r="AA23" s="13"/>
      <c r="AB23" s="13"/>
      <c r="AC23" s="13"/>
      <c r="AD23" s="166"/>
      <c r="AE23" s="12" t="s">
        <v>569</v>
      </c>
      <c r="AF23" s="13" t="s">
        <v>570</v>
      </c>
      <c r="AG23" s="13" t="s">
        <v>573</v>
      </c>
      <c r="AH23" s="13" t="s">
        <v>250</v>
      </c>
      <c r="AI23" s="13"/>
      <c r="AJ23" s="13"/>
      <c r="AK23" s="1">
        <v>3</v>
      </c>
      <c r="AL23" s="5" t="s">
        <v>1610</v>
      </c>
      <c r="AM23" s="5" t="s">
        <v>1613</v>
      </c>
      <c r="AN23" s="5" t="s">
        <v>1610</v>
      </c>
      <c r="AO23" s="5" t="s">
        <v>1610</v>
      </c>
      <c r="AP23" s="5"/>
      <c r="AQ23" s="5" t="s">
        <v>1610</v>
      </c>
      <c r="AR23" s="5" t="s">
        <v>1610</v>
      </c>
      <c r="AS23" s="5" t="s">
        <v>1611</v>
      </c>
      <c r="AT23" s="5"/>
      <c r="AU23" s="5"/>
      <c r="AV23" s="5"/>
      <c r="AW23" s="5"/>
      <c r="AX23" s="5"/>
      <c r="AY23" s="5"/>
      <c r="AZ23" s="5"/>
      <c r="BA23" s="5"/>
    </row>
    <row r="24" spans="1:53" ht="32.4" customHeight="1">
      <c r="A24" s="1">
        <v>7</v>
      </c>
      <c r="B24" s="1" t="s">
        <v>568</v>
      </c>
      <c r="C24" s="1" t="s">
        <v>574</v>
      </c>
      <c r="D24" s="1" t="s">
        <v>1584</v>
      </c>
      <c r="E24" s="1" t="s">
        <v>265</v>
      </c>
      <c r="F24" s="8" t="s">
        <v>576</v>
      </c>
      <c r="G24" s="9"/>
      <c r="H24" s="9"/>
      <c r="I24" s="9"/>
      <c r="J24" s="9"/>
      <c r="K24" s="166"/>
      <c r="L24" s="13" t="s">
        <v>575</v>
      </c>
      <c r="M24" s="13" t="s">
        <v>1583</v>
      </c>
      <c r="N24" s="13" t="s">
        <v>577</v>
      </c>
      <c r="O24" s="157" t="s">
        <v>309</v>
      </c>
      <c r="P24" s="157" t="s">
        <v>279</v>
      </c>
      <c r="Q24" s="157">
        <v>0</v>
      </c>
      <c r="R24" s="157">
        <v>100</v>
      </c>
      <c r="S24" s="157" t="s">
        <v>578</v>
      </c>
      <c r="T24" s="157"/>
      <c r="U24" s="157"/>
      <c r="V24" s="166"/>
      <c r="W24" s="12"/>
      <c r="X24" s="13"/>
      <c r="Y24" s="13"/>
      <c r="Z24" s="13"/>
      <c r="AA24" s="13"/>
      <c r="AB24" s="13"/>
      <c r="AC24" s="13"/>
      <c r="AD24" s="166"/>
      <c r="AE24" s="12" t="s">
        <v>574</v>
      </c>
      <c r="AF24" s="13" t="s">
        <v>1571</v>
      </c>
      <c r="AG24" s="13" t="s">
        <v>579</v>
      </c>
      <c r="AH24" s="13" t="s">
        <v>331</v>
      </c>
      <c r="AI24" s="13"/>
      <c r="AJ24" s="13"/>
      <c r="AK24" s="1">
        <v>3</v>
      </c>
      <c r="AL24" s="5" t="s">
        <v>80</v>
      </c>
      <c r="AM24" s="5" t="s">
        <v>80</v>
      </c>
      <c r="AN24" s="5" t="s">
        <v>80</v>
      </c>
      <c r="AO24" s="5" t="s">
        <v>80</v>
      </c>
      <c r="AP24" s="5" t="s">
        <v>80</v>
      </c>
      <c r="AQ24" s="5" t="s">
        <v>80</v>
      </c>
      <c r="AR24" s="5" t="s">
        <v>80</v>
      </c>
      <c r="AS24" s="5" t="s">
        <v>80</v>
      </c>
      <c r="AT24" s="5"/>
      <c r="AU24" s="5"/>
      <c r="AV24" s="5"/>
      <c r="AW24" s="5"/>
      <c r="AX24" s="5"/>
      <c r="AY24" s="5"/>
      <c r="AZ24" s="5"/>
      <c r="BA24" s="5"/>
    </row>
    <row r="25" spans="1:53" ht="32.4" customHeight="1">
      <c r="A25" s="1">
        <v>7</v>
      </c>
      <c r="B25" s="1" t="s">
        <v>568</v>
      </c>
      <c r="C25" s="1" t="s">
        <v>580</v>
      </c>
      <c r="D25" s="1" t="s">
        <v>581</v>
      </c>
      <c r="E25" s="1" t="s">
        <v>265</v>
      </c>
      <c r="F25" s="12" t="s">
        <v>582</v>
      </c>
      <c r="G25" s="13"/>
      <c r="H25" s="13"/>
      <c r="I25" s="13"/>
      <c r="J25" s="13"/>
      <c r="K25" s="167"/>
      <c r="L25" s="13" t="s">
        <v>583</v>
      </c>
      <c r="M25" s="13" t="s">
        <v>593</v>
      </c>
      <c r="N25" s="13" t="s">
        <v>584</v>
      </c>
      <c r="O25" s="157" t="s">
        <v>309</v>
      </c>
      <c r="P25" s="157" t="s">
        <v>279</v>
      </c>
      <c r="Q25" s="157">
        <v>0</v>
      </c>
      <c r="R25" s="157">
        <v>100</v>
      </c>
      <c r="S25" s="157" t="s">
        <v>585</v>
      </c>
      <c r="T25" s="157"/>
      <c r="U25" s="157"/>
      <c r="V25" s="167"/>
      <c r="W25" s="17" t="s">
        <v>586</v>
      </c>
      <c r="X25" s="157" t="s">
        <v>587</v>
      </c>
      <c r="Y25" s="157" t="s">
        <v>588</v>
      </c>
      <c r="Z25" s="157" t="s">
        <v>588</v>
      </c>
      <c r="AA25" s="13" t="s">
        <v>279</v>
      </c>
      <c r="AB25" s="13"/>
      <c r="AC25" s="13"/>
      <c r="AD25" s="167"/>
      <c r="AE25" s="12"/>
      <c r="AF25" s="13"/>
      <c r="AG25" s="13"/>
      <c r="AH25" s="13"/>
      <c r="AI25" s="13"/>
      <c r="AJ25" s="13"/>
      <c r="AK25" s="1">
        <v>3</v>
      </c>
      <c r="AL25" s="5" t="s">
        <v>80</v>
      </c>
      <c r="AM25" s="5" t="s">
        <v>80</v>
      </c>
      <c r="AN25" s="5" t="s">
        <v>80</v>
      </c>
      <c r="AO25" s="5" t="s">
        <v>80</v>
      </c>
      <c r="AP25" s="5" t="s">
        <v>80</v>
      </c>
      <c r="AQ25" s="5" t="s">
        <v>80</v>
      </c>
      <c r="AR25" s="5" t="s">
        <v>80</v>
      </c>
      <c r="AS25" s="5" t="s">
        <v>80</v>
      </c>
      <c r="AT25" s="5"/>
      <c r="AU25" s="5"/>
      <c r="AV25" s="5"/>
      <c r="AW25" s="5"/>
      <c r="AX25" s="5"/>
      <c r="AY25" s="5"/>
      <c r="AZ25" s="5"/>
      <c r="BA25" s="5"/>
    </row>
    <row r="26" spans="1:53" ht="32.4" customHeight="1">
      <c r="A26" s="1">
        <v>7</v>
      </c>
      <c r="B26" s="1" t="s">
        <v>568</v>
      </c>
      <c r="C26" s="1" t="s">
        <v>589</v>
      </c>
      <c r="D26" s="1" t="s">
        <v>590</v>
      </c>
      <c r="E26" s="1" t="s">
        <v>265</v>
      </c>
      <c r="F26" s="12" t="s">
        <v>591</v>
      </c>
      <c r="G26" s="13"/>
      <c r="H26" s="13"/>
      <c r="I26" s="13"/>
      <c r="J26" s="13"/>
      <c r="K26" s="167"/>
      <c r="L26" s="13" t="s">
        <v>590</v>
      </c>
      <c r="M26" s="13" t="s">
        <v>1582</v>
      </c>
      <c r="N26" s="13" t="s">
        <v>592</v>
      </c>
      <c r="O26" s="157" t="s">
        <v>309</v>
      </c>
      <c r="P26" s="157" t="s">
        <v>279</v>
      </c>
      <c r="Q26" s="157">
        <v>0</v>
      </c>
      <c r="R26" s="157">
        <v>100</v>
      </c>
      <c r="S26" s="157" t="s">
        <v>585</v>
      </c>
      <c r="T26" s="157"/>
      <c r="U26" s="157"/>
      <c r="V26" s="167"/>
      <c r="W26" s="17" t="s">
        <v>593</v>
      </c>
      <c r="X26" s="157" t="s">
        <v>587</v>
      </c>
      <c r="Y26" s="157" t="s">
        <v>594</v>
      </c>
      <c r="Z26" s="157" t="s">
        <v>594</v>
      </c>
      <c r="AA26" s="157" t="s">
        <v>279</v>
      </c>
      <c r="AB26" s="157"/>
      <c r="AC26" s="157"/>
      <c r="AD26" s="167"/>
      <c r="AE26" s="12"/>
      <c r="AF26" s="13"/>
      <c r="AG26" s="13"/>
      <c r="AH26" s="13"/>
      <c r="AI26" s="13"/>
      <c r="AJ26" s="13"/>
      <c r="AK26" s="1">
        <v>3</v>
      </c>
      <c r="AL26" s="5" t="s">
        <v>1610</v>
      </c>
      <c r="AM26" s="5" t="s">
        <v>1613</v>
      </c>
      <c r="AN26" s="5" t="s">
        <v>1266</v>
      </c>
      <c r="AO26" s="5" t="s">
        <v>1270</v>
      </c>
      <c r="AP26" s="5"/>
      <c r="AQ26" s="5" t="s">
        <v>1270</v>
      </c>
      <c r="AR26" s="5" t="s">
        <v>1610</v>
      </c>
      <c r="AS26" s="5" t="s">
        <v>1611</v>
      </c>
      <c r="AT26" s="5"/>
      <c r="AU26" s="5"/>
      <c r="AV26" s="5"/>
      <c r="AW26" s="5"/>
      <c r="AX26" s="5"/>
      <c r="AY26" s="5"/>
      <c r="AZ26" s="5"/>
      <c r="BA26" s="5"/>
    </row>
    <row r="27" spans="1:53" ht="32.4" customHeight="1">
      <c r="A27" s="27">
        <v>9</v>
      </c>
      <c r="B27" s="27" t="s">
        <v>713</v>
      </c>
      <c r="C27" s="27" t="s">
        <v>714</v>
      </c>
      <c r="D27" s="27" t="s">
        <v>715</v>
      </c>
      <c r="E27" s="27" t="s">
        <v>265</v>
      </c>
      <c r="F27" s="12"/>
      <c r="G27" s="13"/>
      <c r="H27" s="13"/>
      <c r="I27" s="13"/>
      <c r="J27" s="13"/>
      <c r="K27" s="167"/>
      <c r="L27" s="13" t="s">
        <v>715</v>
      </c>
      <c r="M27" s="13" t="s">
        <v>1580</v>
      </c>
      <c r="N27" s="13" t="s">
        <v>716</v>
      </c>
      <c r="O27" s="157" t="s">
        <v>371</v>
      </c>
      <c r="P27" s="157" t="s">
        <v>717</v>
      </c>
      <c r="Q27" s="157">
        <v>0</v>
      </c>
      <c r="R27" s="157" t="s">
        <v>161</v>
      </c>
      <c r="S27" s="157" t="s">
        <v>80</v>
      </c>
      <c r="T27" s="157"/>
      <c r="U27" s="157"/>
      <c r="V27" s="167"/>
      <c r="W27" s="17" t="s">
        <v>718</v>
      </c>
      <c r="X27" s="157" t="s">
        <v>719</v>
      </c>
      <c r="Y27" s="157" t="s">
        <v>720</v>
      </c>
      <c r="Z27" s="157" t="s">
        <v>720</v>
      </c>
      <c r="AA27" s="157" t="s">
        <v>721</v>
      </c>
      <c r="AB27" s="157"/>
      <c r="AC27" s="157"/>
      <c r="AD27" s="167"/>
      <c r="AE27" s="12" t="s">
        <v>714</v>
      </c>
      <c r="AF27" s="13" t="s">
        <v>1573</v>
      </c>
      <c r="AG27" s="13" t="s">
        <v>722</v>
      </c>
      <c r="AH27" s="13" t="s">
        <v>723</v>
      </c>
      <c r="AI27" s="13"/>
      <c r="AJ27" s="13"/>
      <c r="AK27" s="27">
        <v>3</v>
      </c>
      <c r="AL27" s="5" t="s">
        <v>1611</v>
      </c>
      <c r="AM27" s="5" t="s">
        <v>1270</v>
      </c>
      <c r="AN27" s="5" t="s">
        <v>1611</v>
      </c>
      <c r="AO27" s="5" t="s">
        <v>1270</v>
      </c>
      <c r="AP27" s="5" t="s">
        <v>1610</v>
      </c>
      <c r="AQ27" s="5" t="s">
        <v>1270</v>
      </c>
      <c r="AR27" s="5" t="s">
        <v>1610</v>
      </c>
      <c r="AS27" s="5" t="s">
        <v>1610</v>
      </c>
      <c r="AT27" s="5"/>
      <c r="AU27" s="5"/>
      <c r="AV27" s="5"/>
      <c r="AW27" s="5"/>
      <c r="AX27" s="5"/>
      <c r="AY27" s="5"/>
      <c r="AZ27" s="5"/>
      <c r="BA27" s="5"/>
    </row>
    <row r="28" spans="1:53" ht="32.4" customHeight="1">
      <c r="A28" s="27">
        <v>9</v>
      </c>
      <c r="B28" s="27" t="s">
        <v>713</v>
      </c>
      <c r="C28" s="27" t="s">
        <v>724</v>
      </c>
      <c r="D28" s="27" t="s">
        <v>725</v>
      </c>
      <c r="E28" s="27" t="s">
        <v>265</v>
      </c>
      <c r="F28" s="12"/>
      <c r="G28" s="13"/>
      <c r="H28" s="13"/>
      <c r="I28" s="13"/>
      <c r="J28" s="13"/>
      <c r="K28" s="167"/>
      <c r="L28" s="13" t="s">
        <v>725</v>
      </c>
      <c r="M28" s="13" t="s">
        <v>1581</v>
      </c>
      <c r="N28" s="13" t="s">
        <v>726</v>
      </c>
      <c r="O28" s="157" t="s">
        <v>371</v>
      </c>
      <c r="P28" s="157" t="s">
        <v>727</v>
      </c>
      <c r="Q28" s="157">
        <v>0</v>
      </c>
      <c r="R28" s="157" t="s">
        <v>161</v>
      </c>
      <c r="S28" s="157" t="s">
        <v>80</v>
      </c>
      <c r="T28" s="157"/>
      <c r="U28" s="157"/>
      <c r="V28" s="167"/>
      <c r="W28" s="17" t="s">
        <v>728</v>
      </c>
      <c r="X28" s="21" t="s">
        <v>719</v>
      </c>
      <c r="Y28" s="21" t="s">
        <v>729</v>
      </c>
      <c r="Z28" s="157" t="s">
        <v>729</v>
      </c>
      <c r="AA28" s="21" t="s">
        <v>730</v>
      </c>
      <c r="AB28" s="21"/>
      <c r="AC28" s="21"/>
      <c r="AD28" s="167"/>
      <c r="AE28" s="12" t="s">
        <v>724</v>
      </c>
      <c r="AF28" s="13" t="s">
        <v>731</v>
      </c>
      <c r="AG28" s="13" t="s">
        <v>732</v>
      </c>
      <c r="AH28" s="13" t="s">
        <v>733</v>
      </c>
      <c r="AI28" s="13"/>
      <c r="AJ28" s="13"/>
      <c r="AK28" s="27">
        <v>3</v>
      </c>
      <c r="AL28" s="5" t="s">
        <v>1611</v>
      </c>
      <c r="AM28" s="5" t="s">
        <v>1611</v>
      </c>
      <c r="AN28" s="5" t="s">
        <v>1611</v>
      </c>
      <c r="AO28" s="5" t="s">
        <v>1611</v>
      </c>
      <c r="AP28" s="5" t="s">
        <v>1610</v>
      </c>
      <c r="AQ28" s="5" t="s">
        <v>1270</v>
      </c>
      <c r="AR28" s="5" t="s">
        <v>1611</v>
      </c>
      <c r="AS28" s="5" t="s">
        <v>1610</v>
      </c>
      <c r="AT28" s="5"/>
      <c r="AU28" s="5"/>
      <c r="AV28" s="5"/>
      <c r="AW28" s="5"/>
      <c r="AX28" s="5"/>
      <c r="AY28" s="5"/>
      <c r="AZ28" s="5"/>
      <c r="BA28" s="5"/>
    </row>
  </sheetData>
  <autoFilter ref="A2:AN28" xr:uid="{FB074301-FE37-4F8D-A942-B61B0FDFBDDF}"/>
  <mergeCells count="1">
    <mergeCell ref="X22:Y22"/>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Program Design</vt:lpstr>
      <vt:lpstr>FAIR Assessment</vt:lpstr>
      <vt:lpstr>Master_crosswalk </vt:lpstr>
      <vt:lpstr>Master_crosswalk_Metadata</vt:lpstr>
      <vt:lpstr>Terminology</vt:lpstr>
      <vt:lpstr>AREMP</vt:lpstr>
      <vt:lpstr>BLM </vt:lpstr>
      <vt:lpstr>PIBO </vt:lpstr>
      <vt:lpstr>PIBO_Invert</vt:lpstr>
      <vt:lpstr>Sheet1</vt:lpstr>
      <vt:lpstr>EPA 20014-10 04-05 physical hab</vt:lpstr>
      <vt:lpstr>EPA 2015-09 08-09 physical ha</vt:lpstr>
      <vt:lpstr>EPA 2008 Macroinvertbrate</vt:lpstr>
      <vt:lpstr>BLM Benchmarks</vt:lpstr>
      <vt:lpstr>Covairates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Scully, Rebecca A.</dc:creator>
  <cp:lastModifiedBy>Scully, Rebecca A.</cp:lastModifiedBy>
  <dcterms:created xsi:type="dcterms:W3CDTF">2020-02-07T22:32:47Z</dcterms:created>
  <dcterms:modified xsi:type="dcterms:W3CDTF">2020-08-05T15:53:23Z</dcterms:modified>
</cp:coreProperties>
</file>